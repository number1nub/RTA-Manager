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9525" yWindow="135" windowWidth="4725" windowHeight="8250"/>
  </bookViews>
  <sheets>
    <sheet name="Intro Checker" sheetId="10" r:id="rId1"/>
    <sheet name="RTA Manager" sheetId="4" state="hidden" r:id="rId2"/>
    <sheet name="Settings" sheetId="3" state="hidden" r:id="rId3"/>
    <sheet name="RTAimport" sheetId="5" state="hidden" r:id="rId4"/>
    <sheet name="PriorityLoad" sheetId="9" state="hidden" r:id="rId5"/>
    <sheet name="Report" sheetId="7" state="hidden" r:id="rId6"/>
  </sheets>
  <functionGroups builtInGroupCount="17"/>
  <definedNames>
    <definedName name="_xlnm._FilterDatabase" localSheetId="1" hidden="1">'RTA Manager'!$A$1:$C$1</definedName>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 localSheetId="0">#REF!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Manager'!$K:$P,'RTA Manager'!$Q:$Q,'RTA Manager'!$S:$AJ,'RTA Manager'!$E:$E</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Settings!$D$29:$D$73</definedName>
    <definedName name="FullScreenMode">Settings!$Q$9</definedName>
    <definedName name="inProc">Settings!$O$9</definedName>
    <definedName name="ltRange">Settings!#REF!</definedName>
    <definedName name="my_Version">Settings!$Q$13</definedName>
    <definedName name="nameQuery">'RTA Manager'!$I$4</definedName>
    <definedName name="Permanent_Monitoring_Names" localSheetId="2" hidden="1">Settings!$C$29:$C$53</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Manager'!$E$6:$E$1477,'RTA Manager'!$I$6:$I$1477,'RTA Manager'!$K$6:$Q$1477,'RTA Manager'!$S$6:$W$1477,'RTA Manager'!$X:$X,'RTA Manager'!$Y:$Y,'RTA Manager'!$Z:$Z,'RTA Manager'!$X:$X,'RTA Manager'!$Y:$Y,'RTA Manager'!$Z:$Z,'RTA Manager'!$S:$W,'RTA Manager'!$S:$S,'RTA Manager'!$T:$T,'RTA Manager'!$U:$U,'RTA Manager'!$V:$V,'RTA Manager'!$W:$W,'RTA Manager'!$T:$T,'RTA Manager'!$T:$T,'RTA Manager'!$S:$S,'RTA Manager'!$S:$S,'RTA Manager'!$S:$S,'RTA Manager'!$U:$U,'RTA Manager'!$V:$V,'RTA Manager'!$S:$AA,'RTA Manager'!$U:$U,'RTA Manager'!$V:$V</definedName>
    <definedName name="PMtype">Settings!$D$3:$M$3</definedName>
    <definedName name="_xlnm.Print_Area" localSheetId="1">'RTA Manager'!$A$5:$R$81</definedName>
    <definedName name="reportHide">'RTA Manager'!$E:$E,'RTA Manager'!$G:$G,'RTA Manager'!$G:$G,'RTA Manager'!$G:$H,'RTA Manager'!$K:$Q,'RTA Manager'!$S:$AA</definedName>
    <definedName name="rtaDatesHide">'RTA Manager'!$G:$K,'RTA Manager'!$M:$P,'RTA Manager'!$S:$W,'RTA Manager'!$J:$J,'RTA Manager'!$X:$X,'RTA Manager'!$Y:$Y,'RTA Manager'!$Z:$Z,'RTA Manager'!$AA:$AA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Settings!$F$29:$F$39</definedName>
    <definedName name="sortCol">Settings!$O$11</definedName>
    <definedName name="sortOrder">Settings!$Q$11</definedName>
    <definedName name="Sstate">Settings!$D$24:$M$24</definedName>
    <definedName name="Stype">Settings!$D$21:$M$21</definedName>
    <definedName name="trackRtaHide">'RTA Manager'!$E:$H,'RTA Manager'!$K:$Q,'RTA Manager'!$S:$S,'RTA Manager'!$T:$T,'RTA Manager'!$V:$W,'RTA Manager'!$X:$X,'RTA Manager'!$R:$R</definedName>
    <definedName name="Unique_Depts" localSheetId="2" hidden="1">Settings!$G$28:$G$40</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Manager'!$B$5:$AA$1477</definedName>
  </definedNames>
  <calcPr calcId="145621"/>
</workbook>
</file>

<file path=xl/calcChain.xml><?xml version="1.0" encoding="utf-8"?>
<calcChain xmlns="http://schemas.openxmlformats.org/spreadsheetml/2006/main">
  <c r="H136" i="4" l="1"/>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106"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75" i="4"/>
  <c r="H267" i="4"/>
  <c r="H268" i="4"/>
  <c r="H269" i="4"/>
  <c r="H270" i="4"/>
  <c r="H271" i="4"/>
  <c r="H272" i="4"/>
  <c r="H273" i="4"/>
  <c r="H274" i="4"/>
  <c r="H275" i="4"/>
  <c r="H276" i="4"/>
  <c r="H277" i="4"/>
  <c r="H50"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6"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12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101" i="4"/>
  <c r="H419" i="4"/>
  <c r="H420" i="4"/>
  <c r="H421" i="4"/>
  <c r="H422" i="4"/>
  <c r="H423" i="4"/>
  <c r="H424" i="4"/>
  <c r="H425" i="4"/>
  <c r="H426" i="4"/>
  <c r="H67"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84" i="4"/>
  <c r="H127" i="4"/>
  <c r="H88" i="4"/>
  <c r="H614" i="4"/>
  <c r="H615" i="4"/>
  <c r="H616" i="4"/>
  <c r="H617" i="4"/>
  <c r="H618" i="4"/>
  <c r="H619" i="4"/>
  <c r="H620" i="4"/>
  <c r="H621" i="4"/>
  <c r="H119" i="4"/>
  <c r="H622" i="4"/>
  <c r="H623" i="4"/>
  <c r="H95"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38" i="4"/>
  <c r="H9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107"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110" i="4"/>
  <c r="H32"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7"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111"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77" i="4"/>
  <c r="H1004" i="4"/>
  <c r="H1005" i="4"/>
  <c r="H1006" i="4"/>
  <c r="H1007" i="4"/>
  <c r="H1008" i="4"/>
  <c r="H1009" i="4"/>
  <c r="H1010" i="4"/>
  <c r="H1011" i="4"/>
  <c r="H1012" i="4"/>
  <c r="H66"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8" i="4"/>
  <c r="H1063" i="4"/>
  <c r="H1064" i="4"/>
  <c r="H1065" i="4"/>
  <c r="H1066" i="4"/>
  <c r="H1067" i="4"/>
  <c r="H1068" i="4"/>
  <c r="H1069" i="4"/>
  <c r="H1070" i="4"/>
  <c r="H51" i="4"/>
  <c r="H1071" i="4"/>
  <c r="H1072" i="4"/>
  <c r="H1073" i="4"/>
  <c r="H1074" i="4"/>
  <c r="H1075" i="4"/>
  <c r="H1076" i="4"/>
  <c r="H1077" i="4"/>
  <c r="H1078" i="4"/>
  <c r="H1079" i="4"/>
  <c r="H1080" i="4"/>
  <c r="H91" i="4"/>
  <c r="H1081" i="4"/>
  <c r="H1082" i="4"/>
  <c r="H1083" i="4"/>
  <c r="H15" i="4"/>
  <c r="H55"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37" i="4"/>
  <c r="H9" i="4"/>
  <c r="H1109" i="4"/>
  <c r="H97"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26" i="4"/>
  <c r="H1134" i="4"/>
  <c r="H1135" i="4"/>
  <c r="H1136" i="4"/>
  <c r="H1137" i="4"/>
  <c r="H1138" i="4"/>
  <c r="H1139" i="4"/>
  <c r="H114" i="4"/>
  <c r="H1140" i="4"/>
  <c r="H1141" i="4"/>
  <c r="H1142" i="4"/>
  <c r="H1143" i="4"/>
  <c r="H1144" i="4"/>
  <c r="H1145" i="4"/>
  <c r="H1146" i="4"/>
  <c r="H1147" i="4"/>
  <c r="H1148" i="4"/>
  <c r="H1149" i="4"/>
  <c r="H1150" i="4"/>
  <c r="H1151" i="4"/>
  <c r="H1152" i="4"/>
  <c r="H1153" i="4"/>
  <c r="H1154" i="4"/>
  <c r="H1155" i="4"/>
  <c r="H1156" i="4"/>
  <c r="H1157" i="4"/>
  <c r="H1158" i="4"/>
  <c r="H1159" i="4"/>
  <c r="H61"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39" i="4"/>
  <c r="H29" i="4"/>
  <c r="H41" i="4"/>
  <c r="H34" i="4"/>
  <c r="H1205" i="4"/>
  <c r="H1206" i="4"/>
  <c r="H1207" i="4"/>
  <c r="H1208" i="4"/>
  <c r="H1209" i="4"/>
  <c r="H1210" i="4"/>
  <c r="H1211" i="4"/>
  <c r="H1212" i="4"/>
  <c r="H1213" i="4"/>
  <c r="H1214" i="4"/>
  <c r="H1215" i="4"/>
  <c r="H1216" i="4"/>
  <c r="H1217" i="4"/>
  <c r="H1218" i="4"/>
  <c r="H1219" i="4"/>
  <c r="H1220" i="4"/>
  <c r="H1221" i="4"/>
  <c r="H1222" i="4"/>
  <c r="H1223" i="4"/>
  <c r="H1224" i="4"/>
  <c r="H78" i="4"/>
  <c r="H1225" i="4"/>
  <c r="H1226" i="4"/>
  <c r="H1227" i="4"/>
  <c r="H1228" i="4"/>
  <c r="H1229" i="4"/>
  <c r="H135" i="4"/>
  <c r="H1230" i="4"/>
  <c r="H1231" i="4"/>
  <c r="H1456" i="4"/>
  <c r="H1232" i="4"/>
  <c r="H1233" i="4"/>
  <c r="H1234" i="4"/>
  <c r="H1235" i="4"/>
  <c r="H1236" i="4"/>
  <c r="H1237" i="4"/>
  <c r="H1238" i="4"/>
  <c r="H1239" i="4"/>
  <c r="H1240" i="4"/>
  <c r="H1241" i="4"/>
  <c r="H1242" i="4"/>
  <c r="H1243" i="4"/>
  <c r="H1244" i="4"/>
  <c r="H1245" i="4"/>
  <c r="H1246" i="4"/>
  <c r="H1247" i="4"/>
  <c r="H1248" i="4"/>
  <c r="H1249" i="4"/>
  <c r="H1250" i="4"/>
  <c r="H1251" i="4"/>
  <c r="H129" i="4"/>
  <c r="H1252" i="4"/>
  <c r="H1253" i="4"/>
  <c r="H1254" i="4"/>
  <c r="H1255" i="4"/>
  <c r="H1256" i="4"/>
  <c r="H1257" i="4"/>
  <c r="H1258" i="4"/>
  <c r="H1458" i="4"/>
  <c r="H1259" i="4"/>
  <c r="H45" i="4"/>
  <c r="H49" i="4"/>
  <c r="H1260" i="4"/>
  <c r="H1261" i="4"/>
  <c r="H1262" i="4"/>
  <c r="H1263" i="4"/>
  <c r="H1264" i="4"/>
  <c r="H125" i="4"/>
  <c r="H73" i="4"/>
  <c r="H102" i="4"/>
  <c r="H112" i="4"/>
  <c r="H1265" i="4"/>
  <c r="H1266" i="4"/>
  <c r="H1267" i="4"/>
  <c r="H1268" i="4"/>
  <c r="H1269" i="4"/>
  <c r="H1270" i="4"/>
  <c r="H1271" i="4"/>
  <c r="H1272" i="4"/>
  <c r="H1273" i="4"/>
  <c r="H1274" i="4"/>
  <c r="H1275" i="4"/>
  <c r="H1276" i="4"/>
  <c r="H1277" i="4"/>
  <c r="H1278" i="4"/>
  <c r="H1279" i="4"/>
  <c r="H1280" i="4"/>
  <c r="H1281" i="4"/>
  <c r="H1282" i="4"/>
  <c r="H1283" i="4"/>
  <c r="H1284" i="4"/>
  <c r="H28" i="4"/>
  <c r="H1285" i="4"/>
  <c r="H30" i="4"/>
  <c r="H1286" i="4"/>
  <c r="H1287" i="4"/>
  <c r="H1288" i="4"/>
  <c r="H1289" i="4"/>
  <c r="H1290" i="4"/>
  <c r="H1291" i="4"/>
  <c r="H1292" i="4"/>
  <c r="H1293" i="4"/>
  <c r="H35" i="4"/>
  <c r="H1294" i="4"/>
  <c r="H1295" i="4"/>
  <c r="H1296" i="4"/>
  <c r="H1297" i="4"/>
  <c r="H1298" i="4"/>
  <c r="H1299" i="4"/>
  <c r="H1300" i="4"/>
  <c r="H1301" i="4"/>
  <c r="H1302" i="4"/>
  <c r="H1303" i="4"/>
  <c r="H1304" i="4"/>
  <c r="H1305" i="4"/>
  <c r="H1306" i="4"/>
  <c r="H117" i="4"/>
  <c r="H1307" i="4"/>
  <c r="H1308" i="4"/>
  <c r="H1309" i="4"/>
  <c r="H1310" i="4"/>
  <c r="H1311" i="4"/>
  <c r="H1312" i="4"/>
  <c r="H1313" i="4"/>
  <c r="H1314" i="4"/>
  <c r="H1315" i="4"/>
  <c r="H33" i="4"/>
  <c r="H1316" i="4"/>
  <c r="H1317" i="4"/>
  <c r="H1318" i="4"/>
  <c r="H1319" i="4"/>
  <c r="H1320" i="4"/>
  <c r="H1321" i="4"/>
  <c r="H1322" i="4"/>
  <c r="H1323" i="4"/>
  <c r="H1324" i="4"/>
  <c r="H1325" i="4"/>
  <c r="H1326" i="4"/>
  <c r="H1327" i="4"/>
  <c r="H1328" i="4"/>
  <c r="H1329" i="4"/>
  <c r="H1330" i="4"/>
  <c r="H1331" i="4"/>
  <c r="H1332" i="4"/>
  <c r="H1333" i="4"/>
  <c r="H1334" i="4"/>
  <c r="H1335" i="4"/>
  <c r="H62" i="4"/>
  <c r="H1336" i="4"/>
  <c r="H1337" i="4"/>
  <c r="H123" i="4"/>
  <c r="H1338" i="4"/>
  <c r="H1339" i="4"/>
  <c r="H1340" i="4"/>
  <c r="H1341" i="4"/>
  <c r="H1342" i="4"/>
  <c r="H1343" i="4"/>
  <c r="H1344" i="4"/>
  <c r="H1345" i="4"/>
  <c r="H1346" i="4"/>
  <c r="H1347" i="4"/>
  <c r="H1348" i="4"/>
  <c r="H1349" i="4"/>
  <c r="H1350" i="4"/>
  <c r="H1351" i="4"/>
  <c r="H1352" i="4"/>
  <c r="H1353" i="4"/>
  <c r="H1354" i="4"/>
  <c r="H1459" i="4"/>
  <c r="H1460" i="4"/>
  <c r="H1355" i="4"/>
  <c r="H1356" i="4"/>
  <c r="H1357" i="4"/>
  <c r="H1358" i="4"/>
  <c r="H1359" i="4"/>
  <c r="H1360" i="4"/>
  <c r="H1361" i="4"/>
  <c r="H1362" i="4"/>
  <c r="H1363" i="4"/>
  <c r="H1364" i="4"/>
  <c r="H1365" i="4"/>
  <c r="H1366" i="4"/>
  <c r="H1367" i="4"/>
  <c r="H1368" i="4"/>
  <c r="H1369" i="4"/>
  <c r="H1370" i="4"/>
  <c r="H1371"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30" i="4"/>
  <c r="H1403" i="4"/>
  <c r="H1404" i="4"/>
  <c r="H1405" i="4"/>
  <c r="H1406" i="4"/>
  <c r="H1407" i="4"/>
  <c r="H10" i="4"/>
  <c r="H1408" i="4"/>
  <c r="H1409" i="4"/>
  <c r="H1461" i="4"/>
  <c r="H1410" i="4"/>
  <c r="H14" i="4"/>
  <c r="H1411" i="4"/>
  <c r="H1412" i="4"/>
  <c r="H133" i="4"/>
  <c r="H131" i="4"/>
  <c r="H1413" i="4"/>
  <c r="H1414" i="4"/>
  <c r="H93" i="4"/>
  <c r="H1415" i="4"/>
  <c r="H53" i="4"/>
  <c r="H1462" i="4"/>
  <c r="H16" i="4"/>
  <c r="H94" i="4"/>
  <c r="H1416" i="4"/>
  <c r="H1417" i="4"/>
  <c r="H1418" i="4"/>
  <c r="H68" i="4"/>
  <c r="H36" i="4"/>
  <c r="H1419" i="4"/>
  <c r="H1420" i="4"/>
  <c r="H1421" i="4"/>
  <c r="H63" i="4"/>
  <c r="H1422" i="4"/>
  <c r="H126" i="4"/>
  <c r="H128" i="4"/>
  <c r="H124" i="4"/>
  <c r="H122" i="4"/>
  <c r="H103" i="4"/>
  <c r="H21" i="4"/>
  <c r="H1423" i="4"/>
  <c r="H1424" i="4"/>
  <c r="H1425" i="4"/>
  <c r="H1426" i="4"/>
  <c r="H105" i="4"/>
  <c r="H1427" i="4"/>
  <c r="H1428" i="4"/>
  <c r="H1429" i="4"/>
  <c r="H1430" i="4"/>
  <c r="H1431" i="4"/>
  <c r="H1432" i="4"/>
  <c r="H1463" i="4"/>
  <c r="H82" i="4"/>
  <c r="H1433" i="4"/>
  <c r="H1434" i="4"/>
  <c r="H1465" i="4"/>
  <c r="H11" i="4"/>
  <c r="H17" i="4"/>
  <c r="H70" i="4"/>
  <c r="H1435" i="4"/>
  <c r="H1436" i="4"/>
  <c r="H19" i="4"/>
  <c r="H1470" i="4"/>
  <c r="H12" i="4"/>
  <c r="H1437" i="4"/>
  <c r="H134" i="4"/>
  <c r="H1438" i="4"/>
  <c r="H1439" i="4"/>
  <c r="H43" i="4"/>
  <c r="H1440" i="4"/>
  <c r="H1441" i="4"/>
  <c r="H80" i="4"/>
  <c r="H1442" i="4"/>
  <c r="H1443" i="4"/>
  <c r="H1444" i="4"/>
  <c r="H1445" i="4"/>
  <c r="H109" i="4"/>
  <c r="H1446" i="4"/>
  <c r="H23" i="4"/>
  <c r="H1447" i="4"/>
  <c r="H1448" i="4"/>
  <c r="H1449" i="4"/>
  <c r="H116" i="4"/>
  <c r="H20" i="4"/>
  <c r="H74" i="4"/>
  <c r="H64" i="4"/>
  <c r="H25" i="4"/>
  <c r="H1450" i="4"/>
  <c r="H86" i="4"/>
  <c r="H47" i="4"/>
  <c r="H46" i="4"/>
  <c r="H54" i="4"/>
  <c r="H108" i="4"/>
  <c r="H18" i="4"/>
  <c r="H71" i="4"/>
  <c r="H132" i="4"/>
  <c r="H57" i="4"/>
  <c r="H24" i="4"/>
  <c r="H113" i="4"/>
  <c r="H115" i="4"/>
  <c r="H1451" i="4"/>
  <c r="H31" i="4"/>
  <c r="H42" i="4"/>
  <c r="H22" i="4"/>
  <c r="H48" i="4"/>
  <c r="H27" i="4"/>
  <c r="H1452" i="4"/>
  <c r="H58" i="4"/>
  <c r="H90" i="4"/>
  <c r="H44" i="4"/>
  <c r="H1453" i="4"/>
  <c r="H13" i="4"/>
  <c r="H69" i="4"/>
  <c r="H1454" i="4"/>
  <c r="H1455" i="4"/>
  <c r="H120" i="4"/>
  <c r="H83" i="4"/>
  <c r="H76" i="4"/>
  <c r="H85" i="4"/>
  <c r="H72" i="4"/>
  <c r="H52" i="4"/>
  <c r="H1457" i="4"/>
  <c r="H79" i="4"/>
  <c r="H98" i="4"/>
  <c r="H89" i="4"/>
  <c r="H40" i="4"/>
  <c r="H96" i="4"/>
  <c r="H56" i="4"/>
  <c r="H65" i="4"/>
  <c r="H99" i="4"/>
  <c r="H87" i="4"/>
  <c r="H118" i="4"/>
  <c r="H104" i="4"/>
  <c r="H81" i="4"/>
  <c r="H100" i="4"/>
  <c r="H1464" i="4"/>
  <c r="H60" i="4"/>
  <c r="H1466" i="4"/>
  <c r="H1467" i="4"/>
  <c r="H1468" i="4"/>
  <c r="H1469" i="4"/>
  <c r="H59" i="4"/>
  <c r="H1471" i="4"/>
  <c r="H1472" i="4"/>
  <c r="H1473" i="4"/>
  <c r="H1474" i="4"/>
  <c r="H1475" i="4"/>
  <c r="H1476" i="4"/>
  <c r="H1477"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106"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75" i="4"/>
  <c r="M267" i="4"/>
  <c r="M268" i="4"/>
  <c r="M269" i="4"/>
  <c r="M270" i="4"/>
  <c r="M271" i="4"/>
  <c r="M272" i="4"/>
  <c r="M273" i="4"/>
  <c r="M274" i="4"/>
  <c r="M275" i="4"/>
  <c r="M276" i="4"/>
  <c r="M277" i="4"/>
  <c r="M50"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6"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12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101" i="4"/>
  <c r="M419" i="4"/>
  <c r="M420" i="4"/>
  <c r="M421" i="4"/>
  <c r="M422" i="4"/>
  <c r="M423" i="4"/>
  <c r="M424" i="4"/>
  <c r="M425" i="4"/>
  <c r="M426" i="4"/>
  <c r="M67"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84" i="4"/>
  <c r="M127" i="4"/>
  <c r="M88" i="4"/>
  <c r="M614" i="4"/>
  <c r="M615" i="4"/>
  <c r="M616" i="4"/>
  <c r="M617" i="4"/>
  <c r="M618" i="4"/>
  <c r="M619" i="4"/>
  <c r="M620" i="4"/>
  <c r="M621" i="4"/>
  <c r="M119" i="4"/>
  <c r="M622" i="4"/>
  <c r="M623" i="4"/>
  <c r="M95"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38" i="4"/>
  <c r="M9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107"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110" i="4"/>
  <c r="M32"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7"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111"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1002" i="4"/>
  <c r="M1003" i="4"/>
  <c r="M77" i="4"/>
  <c r="M1004" i="4"/>
  <c r="M1005" i="4"/>
  <c r="M1006" i="4"/>
  <c r="M1007" i="4"/>
  <c r="M1008" i="4"/>
  <c r="M1009" i="4"/>
  <c r="M1010" i="4"/>
  <c r="M1011" i="4"/>
  <c r="M1012" i="4"/>
  <c r="M66"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8" i="4"/>
  <c r="M1063" i="4"/>
  <c r="M1064" i="4"/>
  <c r="M1065" i="4"/>
  <c r="M1066" i="4"/>
  <c r="M1067" i="4"/>
  <c r="M1068" i="4"/>
  <c r="M1069" i="4"/>
  <c r="M1070" i="4"/>
  <c r="M51" i="4"/>
  <c r="M1071" i="4"/>
  <c r="M1072" i="4"/>
  <c r="M1073" i="4"/>
  <c r="M1074" i="4"/>
  <c r="M1075" i="4"/>
  <c r="M1076" i="4"/>
  <c r="M1077" i="4"/>
  <c r="M1078" i="4"/>
  <c r="M1079" i="4"/>
  <c r="M1080" i="4"/>
  <c r="M91" i="4"/>
  <c r="M1081" i="4"/>
  <c r="M1082" i="4"/>
  <c r="M1083" i="4"/>
  <c r="M15" i="4"/>
  <c r="M55"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37" i="4"/>
  <c r="M9" i="4"/>
  <c r="M1109" i="4"/>
  <c r="M97"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26" i="4"/>
  <c r="M1134" i="4"/>
  <c r="M1135" i="4"/>
  <c r="M1136" i="4"/>
  <c r="M1137" i="4"/>
  <c r="M1138" i="4"/>
  <c r="M1139" i="4"/>
  <c r="M114" i="4"/>
  <c r="M1140" i="4"/>
  <c r="M1141" i="4"/>
  <c r="M1142" i="4"/>
  <c r="M1143" i="4"/>
  <c r="M1144" i="4"/>
  <c r="M1145" i="4"/>
  <c r="M1146" i="4"/>
  <c r="M1147" i="4"/>
  <c r="M1148" i="4"/>
  <c r="M1149" i="4"/>
  <c r="M1150" i="4"/>
  <c r="M1151" i="4"/>
  <c r="M1152" i="4"/>
  <c r="M1153" i="4"/>
  <c r="M1154" i="4"/>
  <c r="M1155" i="4"/>
  <c r="M1156" i="4"/>
  <c r="M1157" i="4"/>
  <c r="M1158" i="4"/>
  <c r="M1159" i="4"/>
  <c r="M61"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M1202" i="4"/>
  <c r="M1203" i="4"/>
  <c r="M1204" i="4"/>
  <c r="M39" i="4"/>
  <c r="M29" i="4"/>
  <c r="M41" i="4"/>
  <c r="M34" i="4"/>
  <c r="M1205" i="4"/>
  <c r="M1206" i="4"/>
  <c r="M1207" i="4"/>
  <c r="M1208" i="4"/>
  <c r="M1209" i="4"/>
  <c r="M1210" i="4"/>
  <c r="M1211" i="4"/>
  <c r="M1212" i="4"/>
  <c r="M1213" i="4"/>
  <c r="M1214" i="4"/>
  <c r="M1215" i="4"/>
  <c r="M1216" i="4"/>
  <c r="M1217" i="4"/>
  <c r="M1218" i="4"/>
  <c r="M1219" i="4"/>
  <c r="M1220" i="4"/>
  <c r="M1221" i="4"/>
  <c r="M1222" i="4"/>
  <c r="M1223" i="4"/>
  <c r="M1224" i="4"/>
  <c r="M78" i="4"/>
  <c r="M1225" i="4"/>
  <c r="M1226" i="4"/>
  <c r="M1227" i="4"/>
  <c r="M1228" i="4"/>
  <c r="M1229" i="4"/>
  <c r="M135" i="4"/>
  <c r="M1230" i="4"/>
  <c r="M1231" i="4"/>
  <c r="M1456" i="4"/>
  <c r="M1232" i="4"/>
  <c r="M1233" i="4"/>
  <c r="M1234" i="4"/>
  <c r="M1235" i="4"/>
  <c r="M1236" i="4"/>
  <c r="M1237" i="4"/>
  <c r="M1238" i="4"/>
  <c r="M1239" i="4"/>
  <c r="M1240" i="4"/>
  <c r="M1241" i="4"/>
  <c r="M1242" i="4"/>
  <c r="M1243" i="4"/>
  <c r="M1244" i="4"/>
  <c r="M1245" i="4"/>
  <c r="M1246" i="4"/>
  <c r="M1247" i="4"/>
  <c r="M1248" i="4"/>
  <c r="M1249" i="4"/>
  <c r="M1250" i="4"/>
  <c r="M1251" i="4"/>
  <c r="M129" i="4"/>
  <c r="M1252" i="4"/>
  <c r="M1253" i="4"/>
  <c r="M1254" i="4"/>
  <c r="M1255" i="4"/>
  <c r="M1256" i="4"/>
  <c r="M1257" i="4"/>
  <c r="M1258" i="4"/>
  <c r="M1458" i="4"/>
  <c r="M1259" i="4"/>
  <c r="M45" i="4"/>
  <c r="M49" i="4"/>
  <c r="M1260" i="4"/>
  <c r="M1261" i="4"/>
  <c r="M1262" i="4"/>
  <c r="M1263" i="4"/>
  <c r="M1264" i="4"/>
  <c r="M125" i="4"/>
  <c r="M73" i="4"/>
  <c r="M102" i="4"/>
  <c r="M112" i="4"/>
  <c r="M1265" i="4"/>
  <c r="M1266" i="4"/>
  <c r="M1267" i="4"/>
  <c r="M1268" i="4"/>
  <c r="M1269" i="4"/>
  <c r="M1270" i="4"/>
  <c r="M1271" i="4"/>
  <c r="M1272" i="4"/>
  <c r="M1273" i="4"/>
  <c r="M1274" i="4"/>
  <c r="M1275" i="4"/>
  <c r="M1276" i="4"/>
  <c r="M1277" i="4"/>
  <c r="M1278" i="4"/>
  <c r="M1279" i="4"/>
  <c r="M1280" i="4"/>
  <c r="M1281" i="4"/>
  <c r="M1282" i="4"/>
  <c r="M1283" i="4"/>
  <c r="M1284" i="4"/>
  <c r="M28" i="4"/>
  <c r="M1285" i="4"/>
  <c r="M30" i="4"/>
  <c r="M1286" i="4"/>
  <c r="M1287" i="4"/>
  <c r="M1288" i="4"/>
  <c r="M1289" i="4"/>
  <c r="M1290" i="4"/>
  <c r="M1291" i="4"/>
  <c r="M1292" i="4"/>
  <c r="M1293" i="4"/>
  <c r="M35" i="4"/>
  <c r="M1294" i="4"/>
  <c r="M1295" i="4"/>
  <c r="M1296" i="4"/>
  <c r="M1297" i="4"/>
  <c r="M1298" i="4"/>
  <c r="M1299" i="4"/>
  <c r="M1300" i="4"/>
  <c r="M1301" i="4"/>
  <c r="M1302" i="4"/>
  <c r="M1303" i="4"/>
  <c r="M1304" i="4"/>
  <c r="M1305" i="4"/>
  <c r="M1306" i="4"/>
  <c r="M117" i="4"/>
  <c r="M1307" i="4"/>
  <c r="M1308" i="4"/>
  <c r="M1309" i="4"/>
  <c r="M1310" i="4"/>
  <c r="M1311" i="4"/>
  <c r="M1312" i="4"/>
  <c r="M1313" i="4"/>
  <c r="M1314" i="4"/>
  <c r="M1315" i="4"/>
  <c r="M33" i="4"/>
  <c r="M1316" i="4"/>
  <c r="M1317" i="4"/>
  <c r="M1318" i="4"/>
  <c r="M1319" i="4"/>
  <c r="M1320" i="4"/>
  <c r="M1321" i="4"/>
  <c r="M1322" i="4"/>
  <c r="M1323" i="4"/>
  <c r="M1324" i="4"/>
  <c r="M1325" i="4"/>
  <c r="M1326" i="4"/>
  <c r="M1327" i="4"/>
  <c r="M1328" i="4"/>
  <c r="M1329" i="4"/>
  <c r="M1330" i="4"/>
  <c r="M1331" i="4"/>
  <c r="M1332" i="4"/>
  <c r="M1333" i="4"/>
  <c r="M1334" i="4"/>
  <c r="M1335" i="4"/>
  <c r="M62" i="4"/>
  <c r="M1336" i="4"/>
  <c r="M1337" i="4"/>
  <c r="M123" i="4"/>
  <c r="M1338" i="4"/>
  <c r="M1339" i="4"/>
  <c r="M1340" i="4"/>
  <c r="M1341" i="4"/>
  <c r="M1342" i="4"/>
  <c r="M1343" i="4"/>
  <c r="M1344" i="4"/>
  <c r="M1345" i="4"/>
  <c r="M1346" i="4"/>
  <c r="M1347" i="4"/>
  <c r="M1348" i="4"/>
  <c r="M1349" i="4"/>
  <c r="M1350" i="4"/>
  <c r="M1351" i="4"/>
  <c r="M1352" i="4"/>
  <c r="M1353" i="4"/>
  <c r="M1354" i="4"/>
  <c r="M1459" i="4"/>
  <c r="M1460" i="4"/>
  <c r="M1355" i="4"/>
  <c r="M1356" i="4"/>
  <c r="M1357" i="4"/>
  <c r="M1358" i="4"/>
  <c r="M1359" i="4"/>
  <c r="M1360" i="4"/>
  <c r="M1361" i="4"/>
  <c r="M1362" i="4"/>
  <c r="M1363" i="4"/>
  <c r="M1364" i="4"/>
  <c r="M1365" i="4"/>
  <c r="M1366" i="4"/>
  <c r="M1367" i="4"/>
  <c r="M1368" i="4"/>
  <c r="M1369" i="4"/>
  <c r="M1370" i="4"/>
  <c r="M1371" i="4"/>
  <c r="M1372" i="4"/>
  <c r="M1373" i="4"/>
  <c r="M1374" i="4"/>
  <c r="M1375"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30" i="4"/>
  <c r="M1403" i="4"/>
  <c r="M1404" i="4"/>
  <c r="M1405" i="4"/>
  <c r="M1406" i="4"/>
  <c r="M1407" i="4"/>
  <c r="M10" i="4"/>
  <c r="M1408" i="4"/>
  <c r="M1409" i="4"/>
  <c r="M1461" i="4"/>
  <c r="M1410" i="4"/>
  <c r="M14" i="4"/>
  <c r="M1411" i="4"/>
  <c r="M1412" i="4"/>
  <c r="M133" i="4"/>
  <c r="M131" i="4"/>
  <c r="M1413" i="4"/>
  <c r="M1414" i="4"/>
  <c r="M93" i="4"/>
  <c r="M1415" i="4"/>
  <c r="M53" i="4"/>
  <c r="M1462" i="4"/>
  <c r="M16" i="4"/>
  <c r="M94" i="4"/>
  <c r="M1416" i="4"/>
  <c r="M1417" i="4"/>
  <c r="M1418" i="4"/>
  <c r="M68" i="4"/>
  <c r="M36" i="4"/>
  <c r="M1419" i="4"/>
  <c r="M1420" i="4"/>
  <c r="M1421" i="4"/>
  <c r="M63" i="4"/>
  <c r="M1422" i="4"/>
  <c r="M126" i="4"/>
  <c r="M128" i="4"/>
  <c r="M124" i="4"/>
  <c r="M122" i="4"/>
  <c r="M103" i="4"/>
  <c r="M21" i="4"/>
  <c r="M1423" i="4"/>
  <c r="M1424" i="4"/>
  <c r="M1425" i="4"/>
  <c r="M1426" i="4"/>
  <c r="M105" i="4"/>
  <c r="M1427" i="4"/>
  <c r="M1428" i="4"/>
  <c r="M1429" i="4"/>
  <c r="M1430" i="4"/>
  <c r="M1431" i="4"/>
  <c r="M1432" i="4"/>
  <c r="M1463" i="4"/>
  <c r="M82" i="4"/>
  <c r="M1433" i="4"/>
  <c r="M1434" i="4"/>
  <c r="M1465" i="4"/>
  <c r="M11" i="4"/>
  <c r="M17" i="4"/>
  <c r="M70" i="4"/>
  <c r="M1435" i="4"/>
  <c r="M1436" i="4"/>
  <c r="M19" i="4"/>
  <c r="M1470" i="4"/>
  <c r="M12" i="4"/>
  <c r="M1437" i="4"/>
  <c r="M134" i="4"/>
  <c r="M1438" i="4"/>
  <c r="M1439" i="4"/>
  <c r="M43" i="4"/>
  <c r="M1440" i="4"/>
  <c r="M1441" i="4"/>
  <c r="M80" i="4"/>
  <c r="M1442" i="4"/>
  <c r="M1443" i="4"/>
  <c r="M1444" i="4"/>
  <c r="M1445" i="4"/>
  <c r="M109" i="4"/>
  <c r="M1446" i="4"/>
  <c r="M23" i="4"/>
  <c r="M1447" i="4"/>
  <c r="M1448" i="4"/>
  <c r="M1449" i="4"/>
  <c r="M116" i="4"/>
  <c r="M20" i="4"/>
  <c r="M74" i="4"/>
  <c r="M64" i="4"/>
  <c r="M25" i="4"/>
  <c r="M1450" i="4"/>
  <c r="M86" i="4"/>
  <c r="M47" i="4"/>
  <c r="M46" i="4"/>
  <c r="M54" i="4"/>
  <c r="M108" i="4"/>
  <c r="M18" i="4"/>
  <c r="M71" i="4"/>
  <c r="M132" i="4"/>
  <c r="M57" i="4"/>
  <c r="M24" i="4"/>
  <c r="M113" i="4"/>
  <c r="M115" i="4"/>
  <c r="M1451" i="4"/>
  <c r="M31" i="4"/>
  <c r="M42" i="4"/>
  <c r="M22" i="4"/>
  <c r="M48" i="4"/>
  <c r="M27" i="4"/>
  <c r="M1452" i="4"/>
  <c r="M58" i="4"/>
  <c r="M90" i="4"/>
  <c r="M44" i="4"/>
  <c r="M1453" i="4"/>
  <c r="M13" i="4"/>
  <c r="M69" i="4"/>
  <c r="M1454" i="4"/>
  <c r="M1455" i="4"/>
  <c r="M120" i="4"/>
  <c r="M83" i="4"/>
  <c r="M76" i="4"/>
  <c r="M85" i="4"/>
  <c r="M72" i="4"/>
  <c r="M52" i="4"/>
  <c r="M1457" i="4"/>
  <c r="M79" i="4"/>
  <c r="M98" i="4"/>
  <c r="M89" i="4"/>
  <c r="M40" i="4"/>
  <c r="M96" i="4"/>
  <c r="M56" i="4"/>
  <c r="M65" i="4"/>
  <c r="M99" i="4"/>
  <c r="M87" i="4"/>
  <c r="M118" i="4"/>
  <c r="M104" i="4"/>
  <c r="M81" i="4"/>
  <c r="M100" i="4"/>
  <c r="M1464" i="4"/>
  <c r="M60" i="4"/>
  <c r="M1466" i="4"/>
  <c r="M1467" i="4"/>
  <c r="M1468" i="4"/>
  <c r="M1469" i="4"/>
  <c r="M59" i="4"/>
  <c r="M1471" i="4"/>
  <c r="M1472" i="4"/>
  <c r="M1473" i="4"/>
  <c r="M1474" i="4"/>
  <c r="M1475" i="4"/>
  <c r="M1476" i="4"/>
  <c r="M1477"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106"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75" i="4"/>
  <c r="N267" i="4"/>
  <c r="N268" i="4"/>
  <c r="N269" i="4"/>
  <c r="N270" i="4"/>
  <c r="N271" i="4"/>
  <c r="N272" i="4"/>
  <c r="N273" i="4"/>
  <c r="N274" i="4"/>
  <c r="N275" i="4"/>
  <c r="N276" i="4"/>
  <c r="N277" i="4"/>
  <c r="N50"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6"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12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101" i="4"/>
  <c r="N419" i="4"/>
  <c r="N420" i="4"/>
  <c r="N421" i="4"/>
  <c r="N422" i="4"/>
  <c r="N423" i="4"/>
  <c r="N424" i="4"/>
  <c r="N425" i="4"/>
  <c r="N426" i="4"/>
  <c r="N67"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84" i="4"/>
  <c r="N127" i="4"/>
  <c r="N88" i="4"/>
  <c r="N614" i="4"/>
  <c r="N615" i="4"/>
  <c r="N616" i="4"/>
  <c r="N617" i="4"/>
  <c r="N618" i="4"/>
  <c r="N619" i="4"/>
  <c r="N620" i="4"/>
  <c r="N621" i="4"/>
  <c r="N119" i="4"/>
  <c r="N622" i="4"/>
  <c r="N623" i="4"/>
  <c r="N95"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38" i="4"/>
  <c r="N9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107"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110" i="4"/>
  <c r="N32"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7"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111"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1002" i="4"/>
  <c r="N1003" i="4"/>
  <c r="N77" i="4"/>
  <c r="N1004" i="4"/>
  <c r="N1005" i="4"/>
  <c r="N1006" i="4"/>
  <c r="N1007" i="4"/>
  <c r="N1008" i="4"/>
  <c r="N1009" i="4"/>
  <c r="N1010" i="4"/>
  <c r="N1011" i="4"/>
  <c r="N1012" i="4"/>
  <c r="N66"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1054" i="4"/>
  <c r="N1055" i="4"/>
  <c r="N1056" i="4"/>
  <c r="N1057" i="4"/>
  <c r="N1058" i="4"/>
  <c r="N1059" i="4"/>
  <c r="N1060" i="4"/>
  <c r="N1061" i="4"/>
  <c r="N1062" i="4"/>
  <c r="N8" i="4"/>
  <c r="N1063" i="4"/>
  <c r="N1064" i="4"/>
  <c r="N1065" i="4"/>
  <c r="N1066" i="4"/>
  <c r="N1067" i="4"/>
  <c r="N1068" i="4"/>
  <c r="N1069" i="4"/>
  <c r="N1070" i="4"/>
  <c r="N51" i="4"/>
  <c r="N1071" i="4"/>
  <c r="N1072" i="4"/>
  <c r="N1073" i="4"/>
  <c r="N1074" i="4"/>
  <c r="N1075" i="4"/>
  <c r="N1076" i="4"/>
  <c r="N1077" i="4"/>
  <c r="N1078" i="4"/>
  <c r="N1079" i="4"/>
  <c r="N1080" i="4"/>
  <c r="N91" i="4"/>
  <c r="N1081" i="4"/>
  <c r="N1082" i="4"/>
  <c r="N1083" i="4"/>
  <c r="N15" i="4"/>
  <c r="N55" i="4"/>
  <c r="N1084" i="4"/>
  <c r="N1085" i="4"/>
  <c r="N1086" i="4"/>
  <c r="N1087" i="4"/>
  <c r="N1088" i="4"/>
  <c r="N1089" i="4"/>
  <c r="N1090" i="4"/>
  <c r="N1091" i="4"/>
  <c r="N1092" i="4"/>
  <c r="N1093" i="4"/>
  <c r="N1094" i="4"/>
  <c r="N1095" i="4"/>
  <c r="N1096" i="4"/>
  <c r="N1097" i="4"/>
  <c r="N1098" i="4"/>
  <c r="N1099" i="4"/>
  <c r="N1100" i="4"/>
  <c r="N1101" i="4"/>
  <c r="N1102" i="4"/>
  <c r="N1103" i="4"/>
  <c r="N1104" i="4"/>
  <c r="N1105" i="4"/>
  <c r="N1106" i="4"/>
  <c r="N1107" i="4"/>
  <c r="N1108" i="4"/>
  <c r="N37" i="4"/>
  <c r="N9" i="4"/>
  <c r="N1109" i="4"/>
  <c r="N97" i="4"/>
  <c r="N1110" i="4"/>
  <c r="N1111" i="4"/>
  <c r="N1112" i="4"/>
  <c r="N1113" i="4"/>
  <c r="N1114" i="4"/>
  <c r="N1115" i="4"/>
  <c r="N1116" i="4"/>
  <c r="N1117" i="4"/>
  <c r="N1118" i="4"/>
  <c r="N1119" i="4"/>
  <c r="N1120" i="4"/>
  <c r="N1121" i="4"/>
  <c r="N1122" i="4"/>
  <c r="N1123" i="4"/>
  <c r="N1124" i="4"/>
  <c r="N1125" i="4"/>
  <c r="N1126" i="4"/>
  <c r="N1127" i="4"/>
  <c r="N1128" i="4"/>
  <c r="N1129" i="4"/>
  <c r="N1130" i="4"/>
  <c r="N1131" i="4"/>
  <c r="N1132" i="4"/>
  <c r="N1133" i="4"/>
  <c r="N26" i="4"/>
  <c r="N1134" i="4"/>
  <c r="N1135" i="4"/>
  <c r="N1136" i="4"/>
  <c r="N1137" i="4"/>
  <c r="N1138" i="4"/>
  <c r="N1139" i="4"/>
  <c r="N114" i="4"/>
  <c r="N1140" i="4"/>
  <c r="N1141" i="4"/>
  <c r="N1142" i="4"/>
  <c r="N1143" i="4"/>
  <c r="N1144" i="4"/>
  <c r="N1145" i="4"/>
  <c r="N1146" i="4"/>
  <c r="N1147" i="4"/>
  <c r="N1148" i="4"/>
  <c r="N1149" i="4"/>
  <c r="N1150" i="4"/>
  <c r="N1151" i="4"/>
  <c r="N1152" i="4"/>
  <c r="N1153" i="4"/>
  <c r="N1154" i="4"/>
  <c r="N1155" i="4"/>
  <c r="N1156" i="4"/>
  <c r="N1157" i="4"/>
  <c r="N1158" i="4"/>
  <c r="N1159" i="4"/>
  <c r="N61" i="4"/>
  <c r="N1160" i="4"/>
  <c r="N1161" i="4"/>
  <c r="N1162" i="4"/>
  <c r="N1163" i="4"/>
  <c r="N1164" i="4"/>
  <c r="N1165" i="4"/>
  <c r="N1166" i="4"/>
  <c r="N1167" i="4"/>
  <c r="N1168" i="4"/>
  <c r="N1169" i="4"/>
  <c r="N1170" i="4"/>
  <c r="N1171" i="4"/>
  <c r="N1172" i="4"/>
  <c r="N1173" i="4"/>
  <c r="N1174" i="4"/>
  <c r="N1175" i="4"/>
  <c r="N1176" i="4"/>
  <c r="N1177" i="4"/>
  <c r="N1178" i="4"/>
  <c r="N1179" i="4"/>
  <c r="N1180" i="4"/>
  <c r="N1181" i="4"/>
  <c r="N1182" i="4"/>
  <c r="N1183" i="4"/>
  <c r="N1184" i="4"/>
  <c r="N1185" i="4"/>
  <c r="N1186" i="4"/>
  <c r="N1187" i="4"/>
  <c r="N1188" i="4"/>
  <c r="N1189" i="4"/>
  <c r="N1190" i="4"/>
  <c r="N1191" i="4"/>
  <c r="N1192" i="4"/>
  <c r="N1193" i="4"/>
  <c r="N1194" i="4"/>
  <c r="N1195" i="4"/>
  <c r="N1196" i="4"/>
  <c r="N1197" i="4"/>
  <c r="N1198" i="4"/>
  <c r="N1199" i="4"/>
  <c r="N1200" i="4"/>
  <c r="N1201" i="4"/>
  <c r="N1202" i="4"/>
  <c r="N1203" i="4"/>
  <c r="N1204" i="4"/>
  <c r="N39" i="4"/>
  <c r="N29" i="4"/>
  <c r="N41" i="4"/>
  <c r="N34" i="4"/>
  <c r="N1205" i="4"/>
  <c r="N1206" i="4"/>
  <c r="N1207" i="4"/>
  <c r="N1208" i="4"/>
  <c r="N1209" i="4"/>
  <c r="N1210" i="4"/>
  <c r="N1211" i="4"/>
  <c r="N1212" i="4"/>
  <c r="N1213" i="4"/>
  <c r="N1214" i="4"/>
  <c r="N1215" i="4"/>
  <c r="N1216" i="4"/>
  <c r="N1217" i="4"/>
  <c r="N1218" i="4"/>
  <c r="N1219" i="4"/>
  <c r="N1220" i="4"/>
  <c r="N1221" i="4"/>
  <c r="N1222" i="4"/>
  <c r="N1223" i="4"/>
  <c r="N1224" i="4"/>
  <c r="N78" i="4"/>
  <c r="N1225" i="4"/>
  <c r="N1226" i="4"/>
  <c r="N1227" i="4"/>
  <c r="N1228" i="4"/>
  <c r="N1229" i="4"/>
  <c r="N135" i="4"/>
  <c r="N1230" i="4"/>
  <c r="N1231" i="4"/>
  <c r="N1456" i="4"/>
  <c r="N1232" i="4"/>
  <c r="N1233" i="4"/>
  <c r="N1234" i="4"/>
  <c r="N1235" i="4"/>
  <c r="N1236" i="4"/>
  <c r="N1237" i="4"/>
  <c r="N1238" i="4"/>
  <c r="N1239" i="4"/>
  <c r="N1240" i="4"/>
  <c r="N1241" i="4"/>
  <c r="N1242" i="4"/>
  <c r="N1243" i="4"/>
  <c r="N1244" i="4"/>
  <c r="N1245" i="4"/>
  <c r="N1246" i="4"/>
  <c r="N1247" i="4"/>
  <c r="N1248" i="4"/>
  <c r="N1249" i="4"/>
  <c r="N1250" i="4"/>
  <c r="N1251" i="4"/>
  <c r="N129" i="4"/>
  <c r="N1252" i="4"/>
  <c r="N1253" i="4"/>
  <c r="N1254" i="4"/>
  <c r="N1255" i="4"/>
  <c r="N1256" i="4"/>
  <c r="N1257" i="4"/>
  <c r="N1258" i="4"/>
  <c r="N1458" i="4"/>
  <c r="N1259" i="4"/>
  <c r="N45" i="4"/>
  <c r="N49" i="4"/>
  <c r="N1260" i="4"/>
  <c r="N1261" i="4"/>
  <c r="N1262" i="4"/>
  <c r="N1263" i="4"/>
  <c r="N1264" i="4"/>
  <c r="N125" i="4"/>
  <c r="N73" i="4"/>
  <c r="N102" i="4"/>
  <c r="N112" i="4"/>
  <c r="N1265" i="4"/>
  <c r="N1266" i="4"/>
  <c r="N1267" i="4"/>
  <c r="N1268" i="4"/>
  <c r="N1269" i="4"/>
  <c r="N1270" i="4"/>
  <c r="N1271" i="4"/>
  <c r="N1272" i="4"/>
  <c r="N1273" i="4"/>
  <c r="N1274" i="4"/>
  <c r="N1275" i="4"/>
  <c r="N1276" i="4"/>
  <c r="N1277" i="4"/>
  <c r="N1278" i="4"/>
  <c r="N1279" i="4"/>
  <c r="N1280" i="4"/>
  <c r="N1281" i="4"/>
  <c r="N1282" i="4"/>
  <c r="N1283" i="4"/>
  <c r="N1284" i="4"/>
  <c r="N28" i="4"/>
  <c r="N1285" i="4"/>
  <c r="N30" i="4"/>
  <c r="N1286" i="4"/>
  <c r="N1287" i="4"/>
  <c r="N1288" i="4"/>
  <c r="N1289" i="4"/>
  <c r="N1290" i="4"/>
  <c r="N1291" i="4"/>
  <c r="N1292" i="4"/>
  <c r="N1293" i="4"/>
  <c r="N35" i="4"/>
  <c r="N1294" i="4"/>
  <c r="N1295" i="4"/>
  <c r="N1296" i="4"/>
  <c r="N1297" i="4"/>
  <c r="N1298" i="4"/>
  <c r="N1299" i="4"/>
  <c r="N1300" i="4"/>
  <c r="N1301" i="4"/>
  <c r="N1302" i="4"/>
  <c r="N1303" i="4"/>
  <c r="N1304" i="4"/>
  <c r="N1305" i="4"/>
  <c r="N1306" i="4"/>
  <c r="N117" i="4"/>
  <c r="N1307" i="4"/>
  <c r="N1308" i="4"/>
  <c r="N1309" i="4"/>
  <c r="N1310" i="4"/>
  <c r="N1311" i="4"/>
  <c r="N1312" i="4"/>
  <c r="N1313" i="4"/>
  <c r="N1314" i="4"/>
  <c r="N1315" i="4"/>
  <c r="N33" i="4"/>
  <c r="N1316" i="4"/>
  <c r="N1317" i="4"/>
  <c r="N1318" i="4"/>
  <c r="N1319" i="4"/>
  <c r="N1320" i="4"/>
  <c r="N1321" i="4"/>
  <c r="N1322" i="4"/>
  <c r="N1323" i="4"/>
  <c r="N1324" i="4"/>
  <c r="N1325" i="4"/>
  <c r="N1326" i="4"/>
  <c r="N1327" i="4"/>
  <c r="N1328" i="4"/>
  <c r="N1329" i="4"/>
  <c r="N1330" i="4"/>
  <c r="N1331" i="4"/>
  <c r="N1332" i="4"/>
  <c r="N1333" i="4"/>
  <c r="N1334" i="4"/>
  <c r="N1335" i="4"/>
  <c r="N62" i="4"/>
  <c r="N1336" i="4"/>
  <c r="N1337" i="4"/>
  <c r="N123" i="4"/>
  <c r="N1338" i="4"/>
  <c r="N1339" i="4"/>
  <c r="N1340" i="4"/>
  <c r="N1341" i="4"/>
  <c r="N1342" i="4"/>
  <c r="N1343" i="4"/>
  <c r="N1344" i="4"/>
  <c r="N1345" i="4"/>
  <c r="N1346" i="4"/>
  <c r="N1347" i="4"/>
  <c r="N1348" i="4"/>
  <c r="N1349" i="4"/>
  <c r="N1350" i="4"/>
  <c r="N1351" i="4"/>
  <c r="N1352" i="4"/>
  <c r="N1353" i="4"/>
  <c r="N1354" i="4"/>
  <c r="N1459" i="4"/>
  <c r="N1460" i="4"/>
  <c r="N1355" i="4"/>
  <c r="N1356" i="4"/>
  <c r="N1357" i="4"/>
  <c r="N1358" i="4"/>
  <c r="N1359" i="4"/>
  <c r="N1360" i="4"/>
  <c r="N1361" i="4"/>
  <c r="N1362" i="4"/>
  <c r="N1363" i="4"/>
  <c r="N1364" i="4"/>
  <c r="N1365" i="4"/>
  <c r="N1366" i="4"/>
  <c r="N1367" i="4"/>
  <c r="N1368" i="4"/>
  <c r="N1369" i="4"/>
  <c r="N1370" i="4"/>
  <c r="N1371" i="4"/>
  <c r="N1372" i="4"/>
  <c r="N1373" i="4"/>
  <c r="N1374" i="4"/>
  <c r="N1375" i="4"/>
  <c r="N1376" i="4"/>
  <c r="N1377" i="4"/>
  <c r="N1378" i="4"/>
  <c r="N1379" i="4"/>
  <c r="N1380" i="4"/>
  <c r="N1381" i="4"/>
  <c r="N1382" i="4"/>
  <c r="N1383" i="4"/>
  <c r="N1384" i="4"/>
  <c r="N1385" i="4"/>
  <c r="N1386" i="4"/>
  <c r="N1387" i="4"/>
  <c r="N1388" i="4"/>
  <c r="N1389" i="4"/>
  <c r="N1390" i="4"/>
  <c r="N1391" i="4"/>
  <c r="N1392" i="4"/>
  <c r="N1393" i="4"/>
  <c r="N1394" i="4"/>
  <c r="N1395" i="4"/>
  <c r="N1396" i="4"/>
  <c r="N1397" i="4"/>
  <c r="N1398" i="4"/>
  <c r="N1399" i="4"/>
  <c r="N1400" i="4"/>
  <c r="N1401" i="4"/>
  <c r="N1402" i="4"/>
  <c r="N130" i="4"/>
  <c r="N1403" i="4"/>
  <c r="N1404" i="4"/>
  <c r="N1405" i="4"/>
  <c r="N1406" i="4"/>
  <c r="N1407" i="4"/>
  <c r="N10" i="4"/>
  <c r="N1408" i="4"/>
  <c r="N1409" i="4"/>
  <c r="N1461" i="4"/>
  <c r="N1410" i="4"/>
  <c r="N14" i="4"/>
  <c r="N1411" i="4"/>
  <c r="N1412" i="4"/>
  <c r="N133" i="4"/>
  <c r="N131" i="4"/>
  <c r="N1413" i="4"/>
  <c r="N1414" i="4"/>
  <c r="N93" i="4"/>
  <c r="N1415" i="4"/>
  <c r="N53" i="4"/>
  <c r="N1462" i="4"/>
  <c r="N16" i="4"/>
  <c r="N94" i="4"/>
  <c r="N1416" i="4"/>
  <c r="N1417" i="4"/>
  <c r="N1418" i="4"/>
  <c r="N68" i="4"/>
  <c r="N36" i="4"/>
  <c r="N1419" i="4"/>
  <c r="N1420" i="4"/>
  <c r="N1421" i="4"/>
  <c r="N63" i="4"/>
  <c r="N1422" i="4"/>
  <c r="N126" i="4"/>
  <c r="N128" i="4"/>
  <c r="N124" i="4"/>
  <c r="N122" i="4"/>
  <c r="N103" i="4"/>
  <c r="N21" i="4"/>
  <c r="N1423" i="4"/>
  <c r="N1424" i="4"/>
  <c r="N1425" i="4"/>
  <c r="N1426" i="4"/>
  <c r="N105" i="4"/>
  <c r="N1427" i="4"/>
  <c r="N1428" i="4"/>
  <c r="N1429" i="4"/>
  <c r="N1430" i="4"/>
  <c r="N1431" i="4"/>
  <c r="N1432" i="4"/>
  <c r="N1463" i="4"/>
  <c r="N82" i="4"/>
  <c r="N1433" i="4"/>
  <c r="N1434" i="4"/>
  <c r="N1465" i="4"/>
  <c r="N11" i="4"/>
  <c r="N17" i="4"/>
  <c r="N70" i="4"/>
  <c r="N1435" i="4"/>
  <c r="N1436" i="4"/>
  <c r="N19" i="4"/>
  <c r="N1470" i="4"/>
  <c r="N12" i="4"/>
  <c r="N1437" i="4"/>
  <c r="N134" i="4"/>
  <c r="N1438" i="4"/>
  <c r="N1439" i="4"/>
  <c r="N43" i="4"/>
  <c r="N1440" i="4"/>
  <c r="N1441" i="4"/>
  <c r="N80" i="4"/>
  <c r="N1442" i="4"/>
  <c r="N1443" i="4"/>
  <c r="N1444" i="4"/>
  <c r="N1445" i="4"/>
  <c r="N109" i="4"/>
  <c r="N1446" i="4"/>
  <c r="N23" i="4"/>
  <c r="N1447" i="4"/>
  <c r="N1448" i="4"/>
  <c r="N1449" i="4"/>
  <c r="N116" i="4"/>
  <c r="N20" i="4"/>
  <c r="N74" i="4"/>
  <c r="N64" i="4"/>
  <c r="N25" i="4"/>
  <c r="N1450" i="4"/>
  <c r="N86" i="4"/>
  <c r="N47" i="4"/>
  <c r="N46" i="4"/>
  <c r="N54" i="4"/>
  <c r="N108" i="4"/>
  <c r="N18" i="4"/>
  <c r="N71" i="4"/>
  <c r="N132" i="4"/>
  <c r="N57" i="4"/>
  <c r="N24" i="4"/>
  <c r="N113" i="4"/>
  <c r="N115" i="4"/>
  <c r="N1451" i="4"/>
  <c r="N31" i="4"/>
  <c r="N42" i="4"/>
  <c r="N22" i="4"/>
  <c r="N48" i="4"/>
  <c r="N27" i="4"/>
  <c r="N1452" i="4"/>
  <c r="N58" i="4"/>
  <c r="N90" i="4"/>
  <c r="N44" i="4"/>
  <c r="N1453" i="4"/>
  <c r="N13" i="4"/>
  <c r="N69" i="4"/>
  <c r="N1454" i="4"/>
  <c r="N1455" i="4"/>
  <c r="N120" i="4"/>
  <c r="N83" i="4"/>
  <c r="N76" i="4"/>
  <c r="N85" i="4"/>
  <c r="N72" i="4"/>
  <c r="N52" i="4"/>
  <c r="N1457" i="4"/>
  <c r="N79" i="4"/>
  <c r="N98" i="4"/>
  <c r="N89" i="4"/>
  <c r="N40" i="4"/>
  <c r="N96" i="4"/>
  <c r="N56" i="4"/>
  <c r="N65" i="4"/>
  <c r="N99" i="4"/>
  <c r="N87" i="4"/>
  <c r="N118" i="4"/>
  <c r="N104" i="4"/>
  <c r="N81" i="4"/>
  <c r="N100" i="4"/>
  <c r="N1464" i="4"/>
  <c r="N60" i="4"/>
  <c r="N1466" i="4"/>
  <c r="N1467" i="4"/>
  <c r="N1468" i="4"/>
  <c r="N1469" i="4"/>
  <c r="N59" i="4"/>
  <c r="N1471" i="4"/>
  <c r="N1472" i="4"/>
  <c r="N1473" i="4"/>
  <c r="N1474" i="4"/>
  <c r="N1475" i="4"/>
  <c r="N1476" i="4"/>
  <c r="N1477"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106"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75" i="4"/>
  <c r="O267" i="4"/>
  <c r="O268" i="4"/>
  <c r="O269" i="4"/>
  <c r="O270" i="4"/>
  <c r="O271" i="4"/>
  <c r="O272" i="4"/>
  <c r="O273" i="4"/>
  <c r="O274" i="4"/>
  <c r="O275" i="4"/>
  <c r="O276" i="4"/>
  <c r="O277" i="4"/>
  <c r="O50"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6"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12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101" i="4"/>
  <c r="O419" i="4"/>
  <c r="O420" i="4"/>
  <c r="O421" i="4"/>
  <c r="O422" i="4"/>
  <c r="O423" i="4"/>
  <c r="O424" i="4"/>
  <c r="O425" i="4"/>
  <c r="O426" i="4"/>
  <c r="O67"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84" i="4"/>
  <c r="O127" i="4"/>
  <c r="O88" i="4"/>
  <c r="O614" i="4"/>
  <c r="O615" i="4"/>
  <c r="O616" i="4"/>
  <c r="O617" i="4"/>
  <c r="O618" i="4"/>
  <c r="O619" i="4"/>
  <c r="O620" i="4"/>
  <c r="O621" i="4"/>
  <c r="O119" i="4"/>
  <c r="O622" i="4"/>
  <c r="O623" i="4"/>
  <c r="O95"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38" i="4"/>
  <c r="O9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107"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110" i="4"/>
  <c r="O32"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7"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111"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1002" i="4"/>
  <c r="O1003" i="4"/>
  <c r="O77" i="4"/>
  <c r="O1004" i="4"/>
  <c r="O1005" i="4"/>
  <c r="O1006" i="4"/>
  <c r="O1007" i="4"/>
  <c r="O1008" i="4"/>
  <c r="O1009" i="4"/>
  <c r="O1010" i="4"/>
  <c r="O1011" i="4"/>
  <c r="O1012" i="4"/>
  <c r="O66"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8" i="4"/>
  <c r="O1063" i="4"/>
  <c r="O1064" i="4"/>
  <c r="O1065" i="4"/>
  <c r="O1066" i="4"/>
  <c r="O1067" i="4"/>
  <c r="O1068" i="4"/>
  <c r="O1069" i="4"/>
  <c r="O1070" i="4"/>
  <c r="O51" i="4"/>
  <c r="O1071" i="4"/>
  <c r="O1072" i="4"/>
  <c r="O1073" i="4"/>
  <c r="O1074" i="4"/>
  <c r="O1075" i="4"/>
  <c r="O1076" i="4"/>
  <c r="O1077" i="4"/>
  <c r="O1078" i="4"/>
  <c r="O1079" i="4"/>
  <c r="O1080" i="4"/>
  <c r="O91" i="4"/>
  <c r="O1081" i="4"/>
  <c r="O1082" i="4"/>
  <c r="O1083" i="4"/>
  <c r="O15" i="4"/>
  <c r="O55"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37" i="4"/>
  <c r="O9" i="4"/>
  <c r="O1109" i="4"/>
  <c r="O97"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26" i="4"/>
  <c r="O1134" i="4"/>
  <c r="O1135" i="4"/>
  <c r="O1136" i="4"/>
  <c r="O1137" i="4"/>
  <c r="O1138" i="4"/>
  <c r="O1139" i="4"/>
  <c r="O114" i="4"/>
  <c r="O1140" i="4"/>
  <c r="O1141" i="4"/>
  <c r="O1142" i="4"/>
  <c r="O1143" i="4"/>
  <c r="O1144" i="4"/>
  <c r="O1145" i="4"/>
  <c r="O1146" i="4"/>
  <c r="O1147" i="4"/>
  <c r="O1148" i="4"/>
  <c r="O1149" i="4"/>
  <c r="O1150" i="4"/>
  <c r="O1151" i="4"/>
  <c r="O1152" i="4"/>
  <c r="O1153" i="4"/>
  <c r="O1154" i="4"/>
  <c r="O1155" i="4"/>
  <c r="O1156" i="4"/>
  <c r="O1157" i="4"/>
  <c r="O1158" i="4"/>
  <c r="O1159" i="4"/>
  <c r="O61"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1197" i="4"/>
  <c r="O1198" i="4"/>
  <c r="O1199" i="4"/>
  <c r="O1200" i="4"/>
  <c r="O1201" i="4"/>
  <c r="O1202" i="4"/>
  <c r="O1203" i="4"/>
  <c r="O1204" i="4"/>
  <c r="O39" i="4"/>
  <c r="O29" i="4"/>
  <c r="O41" i="4"/>
  <c r="O34" i="4"/>
  <c r="O1205" i="4"/>
  <c r="O1206" i="4"/>
  <c r="O1207" i="4"/>
  <c r="O1208" i="4"/>
  <c r="O1209" i="4"/>
  <c r="O1210" i="4"/>
  <c r="O1211" i="4"/>
  <c r="O1212" i="4"/>
  <c r="O1213" i="4"/>
  <c r="O1214" i="4"/>
  <c r="O1215" i="4"/>
  <c r="O1216" i="4"/>
  <c r="O1217" i="4"/>
  <c r="O1218" i="4"/>
  <c r="O1219" i="4"/>
  <c r="O1220" i="4"/>
  <c r="O1221" i="4"/>
  <c r="O1222" i="4"/>
  <c r="O1223" i="4"/>
  <c r="O1224" i="4"/>
  <c r="O78" i="4"/>
  <c r="O1225" i="4"/>
  <c r="O1226" i="4"/>
  <c r="O1227" i="4"/>
  <c r="O1228" i="4"/>
  <c r="O1229" i="4"/>
  <c r="O135" i="4"/>
  <c r="O1230" i="4"/>
  <c r="O1231" i="4"/>
  <c r="O1456" i="4"/>
  <c r="O1232" i="4"/>
  <c r="O1233" i="4"/>
  <c r="O1234" i="4"/>
  <c r="O1235" i="4"/>
  <c r="O1236" i="4"/>
  <c r="O1237" i="4"/>
  <c r="O1238" i="4"/>
  <c r="O1239" i="4"/>
  <c r="O1240" i="4"/>
  <c r="O1241" i="4"/>
  <c r="O1242" i="4"/>
  <c r="O1243" i="4"/>
  <c r="O1244" i="4"/>
  <c r="O1245" i="4"/>
  <c r="O1246" i="4"/>
  <c r="O1247" i="4"/>
  <c r="O1248" i="4"/>
  <c r="O1249" i="4"/>
  <c r="O1250" i="4"/>
  <c r="O1251" i="4"/>
  <c r="O129" i="4"/>
  <c r="O1252" i="4"/>
  <c r="O1253" i="4"/>
  <c r="O1254" i="4"/>
  <c r="O1255" i="4"/>
  <c r="O1256" i="4"/>
  <c r="O1257" i="4"/>
  <c r="O1258" i="4"/>
  <c r="O1458" i="4"/>
  <c r="O1259" i="4"/>
  <c r="O45" i="4"/>
  <c r="O49" i="4"/>
  <c r="O1260" i="4"/>
  <c r="O1261" i="4"/>
  <c r="O1262" i="4"/>
  <c r="O1263" i="4"/>
  <c r="O1264" i="4"/>
  <c r="O125" i="4"/>
  <c r="O73" i="4"/>
  <c r="O102" i="4"/>
  <c r="O112" i="4"/>
  <c r="O1265" i="4"/>
  <c r="O1266" i="4"/>
  <c r="O1267" i="4"/>
  <c r="O1268" i="4"/>
  <c r="O1269" i="4"/>
  <c r="O1270" i="4"/>
  <c r="O1271" i="4"/>
  <c r="O1272" i="4"/>
  <c r="O1273" i="4"/>
  <c r="O1274" i="4"/>
  <c r="O1275" i="4"/>
  <c r="O1276" i="4"/>
  <c r="O1277" i="4"/>
  <c r="O1278" i="4"/>
  <c r="O1279" i="4"/>
  <c r="O1280" i="4"/>
  <c r="O1281" i="4"/>
  <c r="O1282" i="4"/>
  <c r="O1283" i="4"/>
  <c r="O1284" i="4"/>
  <c r="O28" i="4"/>
  <c r="O1285" i="4"/>
  <c r="O30" i="4"/>
  <c r="O1286" i="4"/>
  <c r="O1287" i="4"/>
  <c r="O1288" i="4"/>
  <c r="O1289" i="4"/>
  <c r="O1290" i="4"/>
  <c r="O1291" i="4"/>
  <c r="O1292" i="4"/>
  <c r="O1293" i="4"/>
  <c r="O35" i="4"/>
  <c r="O1294" i="4"/>
  <c r="O1295" i="4"/>
  <c r="O1296" i="4"/>
  <c r="O1297" i="4"/>
  <c r="O1298" i="4"/>
  <c r="O1299" i="4"/>
  <c r="O1300" i="4"/>
  <c r="O1301" i="4"/>
  <c r="O1302" i="4"/>
  <c r="O1303" i="4"/>
  <c r="O1304" i="4"/>
  <c r="O1305" i="4"/>
  <c r="O1306" i="4"/>
  <c r="O117" i="4"/>
  <c r="O1307" i="4"/>
  <c r="O1308" i="4"/>
  <c r="O1309" i="4"/>
  <c r="O1310" i="4"/>
  <c r="O1311" i="4"/>
  <c r="O1312" i="4"/>
  <c r="O1313" i="4"/>
  <c r="O1314" i="4"/>
  <c r="O1315" i="4"/>
  <c r="O33" i="4"/>
  <c r="O1316" i="4"/>
  <c r="O1317" i="4"/>
  <c r="O1318" i="4"/>
  <c r="O1319" i="4"/>
  <c r="O1320" i="4"/>
  <c r="O1321" i="4"/>
  <c r="O1322" i="4"/>
  <c r="O1323" i="4"/>
  <c r="O1324" i="4"/>
  <c r="O1325" i="4"/>
  <c r="O1326" i="4"/>
  <c r="O1327" i="4"/>
  <c r="O1328" i="4"/>
  <c r="O1329" i="4"/>
  <c r="O1330" i="4"/>
  <c r="O1331" i="4"/>
  <c r="O1332" i="4"/>
  <c r="O1333" i="4"/>
  <c r="O1334" i="4"/>
  <c r="O1335" i="4"/>
  <c r="O62" i="4"/>
  <c r="O1336" i="4"/>
  <c r="O1337" i="4"/>
  <c r="O123" i="4"/>
  <c r="O1338" i="4"/>
  <c r="O1339" i="4"/>
  <c r="O1340" i="4"/>
  <c r="O1341" i="4"/>
  <c r="O1342" i="4"/>
  <c r="O1343" i="4"/>
  <c r="O1344" i="4"/>
  <c r="O1345" i="4"/>
  <c r="O1346" i="4"/>
  <c r="O1347" i="4"/>
  <c r="O1348" i="4"/>
  <c r="O1349" i="4"/>
  <c r="O1350" i="4"/>
  <c r="O1351" i="4"/>
  <c r="O1352" i="4"/>
  <c r="O1353" i="4"/>
  <c r="O1354" i="4"/>
  <c r="O1459" i="4"/>
  <c r="O1460" i="4"/>
  <c r="O1355" i="4"/>
  <c r="O1356" i="4"/>
  <c r="O1357" i="4"/>
  <c r="O1358" i="4"/>
  <c r="O1359" i="4"/>
  <c r="O1360" i="4"/>
  <c r="O1361" i="4"/>
  <c r="O1362" i="4"/>
  <c r="O1363" i="4"/>
  <c r="O1364" i="4"/>
  <c r="O1365" i="4"/>
  <c r="O1366" i="4"/>
  <c r="O1367" i="4"/>
  <c r="O1368" i="4"/>
  <c r="O1369" i="4"/>
  <c r="O1370" i="4"/>
  <c r="O1371" i="4"/>
  <c r="O1372" i="4"/>
  <c r="O1373" i="4"/>
  <c r="O1374" i="4"/>
  <c r="O1375"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30" i="4"/>
  <c r="O1403" i="4"/>
  <c r="O1404" i="4"/>
  <c r="O1405" i="4"/>
  <c r="O1406" i="4"/>
  <c r="O1407" i="4"/>
  <c r="O10" i="4"/>
  <c r="O1408" i="4"/>
  <c r="O1409" i="4"/>
  <c r="O1461" i="4"/>
  <c r="O1410" i="4"/>
  <c r="O14" i="4"/>
  <c r="O1411" i="4"/>
  <c r="O1412" i="4"/>
  <c r="O133" i="4"/>
  <c r="O131" i="4"/>
  <c r="O1413" i="4"/>
  <c r="O1414" i="4"/>
  <c r="O93" i="4"/>
  <c r="O1415" i="4"/>
  <c r="O53" i="4"/>
  <c r="O1462" i="4"/>
  <c r="O16" i="4"/>
  <c r="O94" i="4"/>
  <c r="O1416" i="4"/>
  <c r="O1417" i="4"/>
  <c r="O1418" i="4"/>
  <c r="O68" i="4"/>
  <c r="O36" i="4"/>
  <c r="O1419" i="4"/>
  <c r="O1420" i="4"/>
  <c r="O1421" i="4"/>
  <c r="O63" i="4"/>
  <c r="O1422" i="4"/>
  <c r="O126" i="4"/>
  <c r="O128" i="4"/>
  <c r="O124" i="4"/>
  <c r="O122" i="4"/>
  <c r="O103" i="4"/>
  <c r="O21" i="4"/>
  <c r="O1423" i="4"/>
  <c r="O1424" i="4"/>
  <c r="O1425" i="4"/>
  <c r="O1426" i="4"/>
  <c r="O105" i="4"/>
  <c r="O1427" i="4"/>
  <c r="O1428" i="4"/>
  <c r="O1429" i="4"/>
  <c r="O1430" i="4"/>
  <c r="O1431" i="4"/>
  <c r="O1432" i="4"/>
  <c r="O1463" i="4"/>
  <c r="O82" i="4"/>
  <c r="O1433" i="4"/>
  <c r="O1434" i="4"/>
  <c r="O1465" i="4"/>
  <c r="O11" i="4"/>
  <c r="O17" i="4"/>
  <c r="O70" i="4"/>
  <c r="O1435" i="4"/>
  <c r="O1436" i="4"/>
  <c r="O19" i="4"/>
  <c r="O1470" i="4"/>
  <c r="O12" i="4"/>
  <c r="O1437" i="4"/>
  <c r="O134" i="4"/>
  <c r="O1438" i="4"/>
  <c r="O1439" i="4"/>
  <c r="O43" i="4"/>
  <c r="O1440" i="4"/>
  <c r="O1441" i="4"/>
  <c r="O80" i="4"/>
  <c r="O1442" i="4"/>
  <c r="O1443" i="4"/>
  <c r="O1444" i="4"/>
  <c r="O1445" i="4"/>
  <c r="O109" i="4"/>
  <c r="O1446" i="4"/>
  <c r="O23" i="4"/>
  <c r="O1447" i="4"/>
  <c r="O1448" i="4"/>
  <c r="O1449" i="4"/>
  <c r="O116" i="4"/>
  <c r="O20" i="4"/>
  <c r="O74" i="4"/>
  <c r="O64" i="4"/>
  <c r="O25" i="4"/>
  <c r="O1450" i="4"/>
  <c r="O86" i="4"/>
  <c r="O47" i="4"/>
  <c r="O46" i="4"/>
  <c r="O54" i="4"/>
  <c r="O108" i="4"/>
  <c r="O18" i="4"/>
  <c r="O71" i="4"/>
  <c r="O132" i="4"/>
  <c r="O57" i="4"/>
  <c r="O24" i="4"/>
  <c r="O113" i="4"/>
  <c r="O115" i="4"/>
  <c r="O1451" i="4"/>
  <c r="O31" i="4"/>
  <c r="O42" i="4"/>
  <c r="O22" i="4"/>
  <c r="O48" i="4"/>
  <c r="O27" i="4"/>
  <c r="O1452" i="4"/>
  <c r="O58" i="4"/>
  <c r="O90" i="4"/>
  <c r="O44" i="4"/>
  <c r="O1453" i="4"/>
  <c r="O13" i="4"/>
  <c r="O69" i="4"/>
  <c r="O1454" i="4"/>
  <c r="O1455" i="4"/>
  <c r="O120" i="4"/>
  <c r="O83" i="4"/>
  <c r="O76" i="4"/>
  <c r="O85" i="4"/>
  <c r="O72" i="4"/>
  <c r="O52" i="4"/>
  <c r="O1457" i="4"/>
  <c r="O79" i="4"/>
  <c r="O98" i="4"/>
  <c r="O89" i="4"/>
  <c r="O40" i="4"/>
  <c r="O96" i="4"/>
  <c r="O56" i="4"/>
  <c r="O65" i="4"/>
  <c r="O99" i="4"/>
  <c r="O87" i="4"/>
  <c r="O118" i="4"/>
  <c r="O104" i="4"/>
  <c r="O81" i="4"/>
  <c r="O100" i="4"/>
  <c r="O1464" i="4"/>
  <c r="O60" i="4"/>
  <c r="O1466" i="4"/>
  <c r="O1467" i="4"/>
  <c r="O1468" i="4"/>
  <c r="O1469" i="4"/>
  <c r="O59" i="4"/>
  <c r="O1471" i="4"/>
  <c r="O1472" i="4"/>
  <c r="O1473" i="4"/>
  <c r="O1474" i="4"/>
  <c r="O1475" i="4"/>
  <c r="O1476" i="4"/>
  <c r="O1477"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106"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75" i="4"/>
  <c r="P267" i="4"/>
  <c r="P268" i="4"/>
  <c r="P269" i="4"/>
  <c r="P270" i="4"/>
  <c r="P271" i="4"/>
  <c r="P272" i="4"/>
  <c r="P273" i="4"/>
  <c r="P274" i="4"/>
  <c r="P275" i="4"/>
  <c r="P276" i="4"/>
  <c r="P277" i="4"/>
  <c r="P50"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6"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12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101" i="4"/>
  <c r="P419" i="4"/>
  <c r="P420" i="4"/>
  <c r="P421" i="4"/>
  <c r="P422" i="4"/>
  <c r="P423" i="4"/>
  <c r="P424" i="4"/>
  <c r="P425" i="4"/>
  <c r="P426" i="4"/>
  <c r="P67"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84" i="4"/>
  <c r="P127" i="4"/>
  <c r="P88" i="4"/>
  <c r="P614" i="4"/>
  <c r="P615" i="4"/>
  <c r="P616" i="4"/>
  <c r="P617" i="4"/>
  <c r="P618" i="4"/>
  <c r="P619" i="4"/>
  <c r="P620" i="4"/>
  <c r="P621" i="4"/>
  <c r="P119" i="4"/>
  <c r="P622" i="4"/>
  <c r="P623" i="4"/>
  <c r="P95"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38" i="4"/>
  <c r="P9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107"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110" i="4"/>
  <c r="P32"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7"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111"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1002" i="4"/>
  <c r="P1003" i="4"/>
  <c r="P77" i="4"/>
  <c r="P1004" i="4"/>
  <c r="P1005" i="4"/>
  <c r="P1006" i="4"/>
  <c r="P1007" i="4"/>
  <c r="P1008" i="4"/>
  <c r="P1009" i="4"/>
  <c r="P1010" i="4"/>
  <c r="P1011" i="4"/>
  <c r="P1012" i="4"/>
  <c r="P66"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1055" i="4"/>
  <c r="P1056" i="4"/>
  <c r="P1057" i="4"/>
  <c r="P1058" i="4"/>
  <c r="P1059" i="4"/>
  <c r="P1060" i="4"/>
  <c r="P1061" i="4"/>
  <c r="P1062" i="4"/>
  <c r="P8" i="4"/>
  <c r="P1063" i="4"/>
  <c r="P1064" i="4"/>
  <c r="P1065" i="4"/>
  <c r="P1066" i="4"/>
  <c r="P1067" i="4"/>
  <c r="P1068" i="4"/>
  <c r="P1069" i="4"/>
  <c r="P1070" i="4"/>
  <c r="P51" i="4"/>
  <c r="P1071" i="4"/>
  <c r="P1072" i="4"/>
  <c r="P1073" i="4"/>
  <c r="P1074" i="4"/>
  <c r="P1075" i="4"/>
  <c r="P1076" i="4"/>
  <c r="P1077" i="4"/>
  <c r="P1078" i="4"/>
  <c r="P1079" i="4"/>
  <c r="P1080" i="4"/>
  <c r="P91" i="4"/>
  <c r="P1081" i="4"/>
  <c r="P1082" i="4"/>
  <c r="P1083" i="4"/>
  <c r="P15" i="4"/>
  <c r="P55" i="4"/>
  <c r="P1084" i="4"/>
  <c r="P1085" i="4"/>
  <c r="P1086" i="4"/>
  <c r="P1087" i="4"/>
  <c r="P1088" i="4"/>
  <c r="P1089" i="4"/>
  <c r="P1090" i="4"/>
  <c r="P1091" i="4"/>
  <c r="P1092" i="4"/>
  <c r="P1093" i="4"/>
  <c r="P1094" i="4"/>
  <c r="P1095" i="4"/>
  <c r="P1096" i="4"/>
  <c r="P1097" i="4"/>
  <c r="P1098" i="4"/>
  <c r="P1099" i="4"/>
  <c r="P1100" i="4"/>
  <c r="P1101" i="4"/>
  <c r="P1102" i="4"/>
  <c r="P1103" i="4"/>
  <c r="P1104" i="4"/>
  <c r="P1105" i="4"/>
  <c r="P1106" i="4"/>
  <c r="P1107" i="4"/>
  <c r="P1108" i="4"/>
  <c r="P37" i="4"/>
  <c r="P9" i="4"/>
  <c r="P1109" i="4"/>
  <c r="P97" i="4"/>
  <c r="P1110" i="4"/>
  <c r="P1111" i="4"/>
  <c r="P1112" i="4"/>
  <c r="P1113" i="4"/>
  <c r="P1114" i="4"/>
  <c r="P1115" i="4"/>
  <c r="P1116" i="4"/>
  <c r="P1117" i="4"/>
  <c r="P1118" i="4"/>
  <c r="P1119" i="4"/>
  <c r="P1120" i="4"/>
  <c r="P1121" i="4"/>
  <c r="P1122" i="4"/>
  <c r="P1123" i="4"/>
  <c r="P1124" i="4"/>
  <c r="P1125" i="4"/>
  <c r="P1126" i="4"/>
  <c r="P1127" i="4"/>
  <c r="P1128" i="4"/>
  <c r="P1129" i="4"/>
  <c r="P1130" i="4"/>
  <c r="P1131" i="4"/>
  <c r="P1132" i="4"/>
  <c r="P1133" i="4"/>
  <c r="P26" i="4"/>
  <c r="P1134" i="4"/>
  <c r="P1135" i="4"/>
  <c r="P1136" i="4"/>
  <c r="P1137" i="4"/>
  <c r="P1138" i="4"/>
  <c r="P1139" i="4"/>
  <c r="P114" i="4"/>
  <c r="P1140" i="4"/>
  <c r="P1141" i="4"/>
  <c r="P1142" i="4"/>
  <c r="P1143" i="4"/>
  <c r="P1144" i="4"/>
  <c r="P1145" i="4"/>
  <c r="P1146" i="4"/>
  <c r="P1147" i="4"/>
  <c r="P1148" i="4"/>
  <c r="P1149" i="4"/>
  <c r="P1150" i="4"/>
  <c r="P1151" i="4"/>
  <c r="P1152" i="4"/>
  <c r="P1153" i="4"/>
  <c r="P1154" i="4"/>
  <c r="P1155" i="4"/>
  <c r="P1156" i="4"/>
  <c r="P1157" i="4"/>
  <c r="P1158" i="4"/>
  <c r="P1159" i="4"/>
  <c r="P61" i="4"/>
  <c r="P1160" i="4"/>
  <c r="P1161" i="4"/>
  <c r="P1162" i="4"/>
  <c r="P1163" i="4"/>
  <c r="P1164" i="4"/>
  <c r="P1165" i="4"/>
  <c r="P1166" i="4"/>
  <c r="P1167" i="4"/>
  <c r="P1168" i="4"/>
  <c r="P1169" i="4"/>
  <c r="P1170" i="4"/>
  <c r="P1171" i="4"/>
  <c r="P1172" i="4"/>
  <c r="P1173" i="4"/>
  <c r="P1174" i="4"/>
  <c r="P1175" i="4"/>
  <c r="P1176" i="4"/>
  <c r="P1177" i="4"/>
  <c r="P1178" i="4"/>
  <c r="P1179" i="4"/>
  <c r="P1180" i="4"/>
  <c r="P1181" i="4"/>
  <c r="P1182" i="4"/>
  <c r="P1183" i="4"/>
  <c r="P1184" i="4"/>
  <c r="P1185" i="4"/>
  <c r="P1186" i="4"/>
  <c r="P1187" i="4"/>
  <c r="P1188" i="4"/>
  <c r="P1189" i="4"/>
  <c r="P1190" i="4"/>
  <c r="P1191" i="4"/>
  <c r="P1192" i="4"/>
  <c r="P1193" i="4"/>
  <c r="P1194" i="4"/>
  <c r="P1195" i="4"/>
  <c r="P1196" i="4"/>
  <c r="P1197" i="4"/>
  <c r="P1198" i="4"/>
  <c r="P1199" i="4"/>
  <c r="P1200" i="4"/>
  <c r="P1201" i="4"/>
  <c r="P1202" i="4"/>
  <c r="P1203" i="4"/>
  <c r="P1204" i="4"/>
  <c r="P39" i="4"/>
  <c r="P29" i="4"/>
  <c r="P41" i="4"/>
  <c r="P34" i="4"/>
  <c r="P1205" i="4"/>
  <c r="P1206" i="4"/>
  <c r="P1207" i="4"/>
  <c r="P1208" i="4"/>
  <c r="P1209" i="4"/>
  <c r="P1210" i="4"/>
  <c r="P1211" i="4"/>
  <c r="P1212" i="4"/>
  <c r="P1213" i="4"/>
  <c r="P1214" i="4"/>
  <c r="P1215" i="4"/>
  <c r="P1216" i="4"/>
  <c r="P1217" i="4"/>
  <c r="P1218" i="4"/>
  <c r="P1219" i="4"/>
  <c r="P1220" i="4"/>
  <c r="P1221" i="4"/>
  <c r="P1222" i="4"/>
  <c r="P1223" i="4"/>
  <c r="P1224" i="4"/>
  <c r="P78" i="4"/>
  <c r="P1225" i="4"/>
  <c r="P1226" i="4"/>
  <c r="P1227" i="4"/>
  <c r="P1228" i="4"/>
  <c r="P1229" i="4"/>
  <c r="P135" i="4"/>
  <c r="P1230" i="4"/>
  <c r="P1231" i="4"/>
  <c r="P1456" i="4"/>
  <c r="P1232" i="4"/>
  <c r="P1233" i="4"/>
  <c r="P1234" i="4"/>
  <c r="P1235" i="4"/>
  <c r="P1236" i="4"/>
  <c r="P1237" i="4"/>
  <c r="P1238" i="4"/>
  <c r="P1239" i="4"/>
  <c r="P1240" i="4"/>
  <c r="P1241" i="4"/>
  <c r="P1242" i="4"/>
  <c r="P1243" i="4"/>
  <c r="P1244" i="4"/>
  <c r="P1245" i="4"/>
  <c r="P1246" i="4"/>
  <c r="P1247" i="4"/>
  <c r="P1248" i="4"/>
  <c r="P1249" i="4"/>
  <c r="P1250" i="4"/>
  <c r="P1251" i="4"/>
  <c r="P129" i="4"/>
  <c r="P1252" i="4"/>
  <c r="P1253" i="4"/>
  <c r="P1254" i="4"/>
  <c r="P1255" i="4"/>
  <c r="P1256" i="4"/>
  <c r="P1257" i="4"/>
  <c r="P1258" i="4"/>
  <c r="P1458" i="4"/>
  <c r="P1259" i="4"/>
  <c r="P45" i="4"/>
  <c r="P49" i="4"/>
  <c r="P1260" i="4"/>
  <c r="P1261" i="4"/>
  <c r="P1262" i="4"/>
  <c r="P1263" i="4"/>
  <c r="P1264" i="4"/>
  <c r="P125" i="4"/>
  <c r="P73" i="4"/>
  <c r="P102" i="4"/>
  <c r="P112" i="4"/>
  <c r="P1265" i="4"/>
  <c r="P1266" i="4"/>
  <c r="P1267" i="4"/>
  <c r="P1268" i="4"/>
  <c r="P1269" i="4"/>
  <c r="P1270" i="4"/>
  <c r="P1271" i="4"/>
  <c r="P1272" i="4"/>
  <c r="P1273" i="4"/>
  <c r="P1274" i="4"/>
  <c r="P1275" i="4"/>
  <c r="P1276" i="4"/>
  <c r="P1277" i="4"/>
  <c r="P1278" i="4"/>
  <c r="P1279" i="4"/>
  <c r="P1280" i="4"/>
  <c r="P1281" i="4"/>
  <c r="P1282" i="4"/>
  <c r="P1283" i="4"/>
  <c r="P1284" i="4"/>
  <c r="P28" i="4"/>
  <c r="P1285" i="4"/>
  <c r="P30" i="4"/>
  <c r="P1286" i="4"/>
  <c r="P1287" i="4"/>
  <c r="P1288" i="4"/>
  <c r="P1289" i="4"/>
  <c r="P1290" i="4"/>
  <c r="P1291" i="4"/>
  <c r="P1292" i="4"/>
  <c r="P1293" i="4"/>
  <c r="P35" i="4"/>
  <c r="P1294" i="4"/>
  <c r="P1295" i="4"/>
  <c r="P1296" i="4"/>
  <c r="P1297" i="4"/>
  <c r="P1298" i="4"/>
  <c r="P1299" i="4"/>
  <c r="P1300" i="4"/>
  <c r="P1301" i="4"/>
  <c r="P1302" i="4"/>
  <c r="P1303" i="4"/>
  <c r="P1304" i="4"/>
  <c r="P1305" i="4"/>
  <c r="P1306" i="4"/>
  <c r="P117" i="4"/>
  <c r="P1307" i="4"/>
  <c r="P1308" i="4"/>
  <c r="P1309" i="4"/>
  <c r="P1310" i="4"/>
  <c r="P1311" i="4"/>
  <c r="P1312" i="4"/>
  <c r="P1313" i="4"/>
  <c r="P1314" i="4"/>
  <c r="P1315" i="4"/>
  <c r="P33" i="4"/>
  <c r="P1316" i="4"/>
  <c r="P1317" i="4"/>
  <c r="P1318" i="4"/>
  <c r="P1319" i="4"/>
  <c r="P1320" i="4"/>
  <c r="P1321" i="4"/>
  <c r="P1322" i="4"/>
  <c r="P1323" i="4"/>
  <c r="P1324" i="4"/>
  <c r="P1325" i="4"/>
  <c r="P1326" i="4"/>
  <c r="P1327" i="4"/>
  <c r="P1328" i="4"/>
  <c r="P1329" i="4"/>
  <c r="P1330" i="4"/>
  <c r="P1331" i="4"/>
  <c r="P1332" i="4"/>
  <c r="P1333" i="4"/>
  <c r="P1334" i="4"/>
  <c r="P1335" i="4"/>
  <c r="P62" i="4"/>
  <c r="P1336" i="4"/>
  <c r="P1337" i="4"/>
  <c r="P123" i="4"/>
  <c r="P1338" i="4"/>
  <c r="P1339" i="4"/>
  <c r="P1340" i="4"/>
  <c r="P1341" i="4"/>
  <c r="P1342" i="4"/>
  <c r="P1343" i="4"/>
  <c r="P1344" i="4"/>
  <c r="P1345" i="4"/>
  <c r="P1346" i="4"/>
  <c r="P1347" i="4"/>
  <c r="P1348" i="4"/>
  <c r="P1349" i="4"/>
  <c r="P1350" i="4"/>
  <c r="P1351" i="4"/>
  <c r="P1352" i="4"/>
  <c r="P1353" i="4"/>
  <c r="P1354" i="4"/>
  <c r="P1459" i="4"/>
  <c r="P1460" i="4"/>
  <c r="P1355" i="4"/>
  <c r="P1356" i="4"/>
  <c r="P1357" i="4"/>
  <c r="P1358" i="4"/>
  <c r="P1359" i="4"/>
  <c r="P1360" i="4"/>
  <c r="P1361" i="4"/>
  <c r="P1362" i="4"/>
  <c r="P1363" i="4"/>
  <c r="P1364" i="4"/>
  <c r="P1365" i="4"/>
  <c r="P1366" i="4"/>
  <c r="P1367" i="4"/>
  <c r="P1368" i="4"/>
  <c r="P1369" i="4"/>
  <c r="P1370" i="4"/>
  <c r="P1371" i="4"/>
  <c r="P1372" i="4"/>
  <c r="P1373" i="4"/>
  <c r="P1374" i="4"/>
  <c r="P1375" i="4"/>
  <c r="P1376" i="4"/>
  <c r="P1377" i="4"/>
  <c r="P1378" i="4"/>
  <c r="P1379" i="4"/>
  <c r="P1380" i="4"/>
  <c r="P1381" i="4"/>
  <c r="P1382" i="4"/>
  <c r="P1383" i="4"/>
  <c r="P1384" i="4"/>
  <c r="P1385" i="4"/>
  <c r="P1386" i="4"/>
  <c r="P1387" i="4"/>
  <c r="P1388" i="4"/>
  <c r="P1389" i="4"/>
  <c r="P1390" i="4"/>
  <c r="P1391" i="4"/>
  <c r="P1392" i="4"/>
  <c r="P1393" i="4"/>
  <c r="P1394" i="4"/>
  <c r="P1395" i="4"/>
  <c r="P1396" i="4"/>
  <c r="P1397" i="4"/>
  <c r="P1398" i="4"/>
  <c r="P1399" i="4"/>
  <c r="P1400" i="4"/>
  <c r="P1401" i="4"/>
  <c r="P1402" i="4"/>
  <c r="P130" i="4"/>
  <c r="P1403" i="4"/>
  <c r="P1404" i="4"/>
  <c r="P1405" i="4"/>
  <c r="P1406" i="4"/>
  <c r="P1407" i="4"/>
  <c r="P10" i="4"/>
  <c r="P1408" i="4"/>
  <c r="P1409" i="4"/>
  <c r="P1461" i="4"/>
  <c r="P1410" i="4"/>
  <c r="P14" i="4"/>
  <c r="P1411" i="4"/>
  <c r="P1412" i="4"/>
  <c r="P133" i="4"/>
  <c r="P131" i="4"/>
  <c r="P1413" i="4"/>
  <c r="P1414" i="4"/>
  <c r="P93" i="4"/>
  <c r="P1415" i="4"/>
  <c r="P53" i="4"/>
  <c r="P1462" i="4"/>
  <c r="P16" i="4"/>
  <c r="P94" i="4"/>
  <c r="P1416" i="4"/>
  <c r="P1417" i="4"/>
  <c r="P1418" i="4"/>
  <c r="P68" i="4"/>
  <c r="P36" i="4"/>
  <c r="P1419" i="4"/>
  <c r="P1420" i="4"/>
  <c r="P1421" i="4"/>
  <c r="P63" i="4"/>
  <c r="P1422" i="4"/>
  <c r="P126" i="4"/>
  <c r="P128" i="4"/>
  <c r="P124" i="4"/>
  <c r="P122" i="4"/>
  <c r="P103" i="4"/>
  <c r="P21" i="4"/>
  <c r="P1423" i="4"/>
  <c r="P1424" i="4"/>
  <c r="P1425" i="4"/>
  <c r="P1426" i="4"/>
  <c r="P105" i="4"/>
  <c r="P1427" i="4"/>
  <c r="P1428" i="4"/>
  <c r="P1429" i="4"/>
  <c r="P1430" i="4"/>
  <c r="P1431" i="4"/>
  <c r="P1432" i="4"/>
  <c r="P1463" i="4"/>
  <c r="P82" i="4"/>
  <c r="P1433" i="4"/>
  <c r="P1434" i="4"/>
  <c r="P1465" i="4"/>
  <c r="P11" i="4"/>
  <c r="P17" i="4"/>
  <c r="P70" i="4"/>
  <c r="P1435" i="4"/>
  <c r="P1436" i="4"/>
  <c r="P19" i="4"/>
  <c r="P1470" i="4"/>
  <c r="P12" i="4"/>
  <c r="P1437" i="4"/>
  <c r="P134" i="4"/>
  <c r="P1438" i="4"/>
  <c r="P1439" i="4"/>
  <c r="P43" i="4"/>
  <c r="P1440" i="4"/>
  <c r="P1441" i="4"/>
  <c r="P80" i="4"/>
  <c r="P1442" i="4"/>
  <c r="P1443" i="4"/>
  <c r="P1444" i="4"/>
  <c r="P1445" i="4"/>
  <c r="P109" i="4"/>
  <c r="P1446" i="4"/>
  <c r="P23" i="4"/>
  <c r="P1447" i="4"/>
  <c r="P1448" i="4"/>
  <c r="P1449" i="4"/>
  <c r="P116" i="4"/>
  <c r="P20" i="4"/>
  <c r="P74" i="4"/>
  <c r="P64" i="4"/>
  <c r="P25" i="4"/>
  <c r="P1450" i="4"/>
  <c r="P86" i="4"/>
  <c r="P47" i="4"/>
  <c r="P46" i="4"/>
  <c r="P54" i="4"/>
  <c r="P108" i="4"/>
  <c r="P18" i="4"/>
  <c r="P71" i="4"/>
  <c r="P132" i="4"/>
  <c r="P57" i="4"/>
  <c r="P24" i="4"/>
  <c r="P113" i="4"/>
  <c r="P115" i="4"/>
  <c r="P1451" i="4"/>
  <c r="P31" i="4"/>
  <c r="P42" i="4"/>
  <c r="P22" i="4"/>
  <c r="P48" i="4"/>
  <c r="P27" i="4"/>
  <c r="P1452" i="4"/>
  <c r="P58" i="4"/>
  <c r="P90" i="4"/>
  <c r="P44" i="4"/>
  <c r="P1453" i="4"/>
  <c r="P13" i="4"/>
  <c r="P69" i="4"/>
  <c r="P1454" i="4"/>
  <c r="P1455" i="4"/>
  <c r="P120" i="4"/>
  <c r="P83" i="4"/>
  <c r="P76" i="4"/>
  <c r="P85" i="4"/>
  <c r="P72" i="4"/>
  <c r="P52" i="4"/>
  <c r="P1457" i="4"/>
  <c r="P79" i="4"/>
  <c r="P98" i="4"/>
  <c r="P89" i="4"/>
  <c r="P40" i="4"/>
  <c r="P96" i="4"/>
  <c r="P56" i="4"/>
  <c r="P65" i="4"/>
  <c r="P99" i="4"/>
  <c r="P87" i="4"/>
  <c r="P118" i="4"/>
  <c r="P104" i="4"/>
  <c r="P81" i="4"/>
  <c r="P100" i="4"/>
  <c r="P1464" i="4"/>
  <c r="P60" i="4"/>
  <c r="P1466" i="4"/>
  <c r="P1467" i="4"/>
  <c r="P1468" i="4"/>
  <c r="P1469" i="4"/>
  <c r="P59" i="4"/>
  <c r="P1471" i="4"/>
  <c r="P1472" i="4"/>
  <c r="P1473" i="4"/>
  <c r="P1474" i="4"/>
  <c r="P1475" i="4"/>
  <c r="P1476" i="4"/>
  <c r="P1477" i="4"/>
  <c r="A136" i="4"/>
  <c r="A140" i="4"/>
  <c r="A144" i="4"/>
  <c r="A148" i="4"/>
  <c r="A152" i="4"/>
  <c r="A156" i="4"/>
  <c r="A160" i="4"/>
  <c r="A164" i="4"/>
  <c r="A168" i="4"/>
  <c r="A172" i="4"/>
  <c r="A176" i="4"/>
  <c r="A180" i="4"/>
  <c r="A184" i="4"/>
  <c r="A188" i="4"/>
  <c r="A192" i="4"/>
  <c r="A196" i="4"/>
  <c r="A200" i="4"/>
  <c r="A204" i="4"/>
  <c r="A207" i="4"/>
  <c r="A211" i="4"/>
  <c r="A215" i="4"/>
  <c r="A219" i="4"/>
  <c r="A223" i="4"/>
  <c r="A227" i="4"/>
  <c r="A231" i="4"/>
  <c r="A235" i="4"/>
  <c r="A239" i="4"/>
  <c r="A243" i="4"/>
  <c r="A247" i="4"/>
  <c r="A251" i="4"/>
  <c r="A255" i="4"/>
  <c r="A259" i="4"/>
  <c r="A263" i="4"/>
  <c r="A75" i="4"/>
  <c r="A270" i="4"/>
  <c r="A274" i="4"/>
  <c r="A50" i="4"/>
  <c r="A281" i="4"/>
  <c r="A285" i="4"/>
  <c r="A289" i="4"/>
  <c r="A293" i="4"/>
  <c r="A297" i="4"/>
  <c r="A301" i="4"/>
  <c r="A305" i="4"/>
  <c r="A309" i="4"/>
  <c r="A6" i="4"/>
  <c r="A316" i="4"/>
  <c r="A320" i="4"/>
  <c r="A324" i="4"/>
  <c r="A328" i="4"/>
  <c r="A332" i="4"/>
  <c r="A336" i="4"/>
  <c r="A340" i="4"/>
  <c r="A343" i="4"/>
  <c r="A347" i="4"/>
  <c r="A351" i="4"/>
  <c r="A355" i="4"/>
  <c r="A359" i="4"/>
  <c r="A363" i="4"/>
  <c r="A367" i="4"/>
  <c r="A371" i="4"/>
  <c r="A375" i="4"/>
  <c r="A379" i="4"/>
  <c r="A383" i="4"/>
  <c r="A387" i="4"/>
  <c r="A391" i="4"/>
  <c r="A395" i="4"/>
  <c r="A399" i="4"/>
  <c r="A403" i="4"/>
  <c r="A407" i="4"/>
  <c r="A411" i="4"/>
  <c r="A415" i="4"/>
  <c r="A101" i="4"/>
  <c r="A422" i="4"/>
  <c r="A426" i="4"/>
  <c r="A429" i="4"/>
  <c r="A433" i="4"/>
  <c r="A437" i="4"/>
  <c r="A441" i="4"/>
  <c r="A445" i="4"/>
  <c r="A449" i="4"/>
  <c r="A453" i="4"/>
  <c r="A457" i="4"/>
  <c r="A461" i="4"/>
  <c r="A465" i="4"/>
  <c r="A469" i="4"/>
  <c r="A473" i="4"/>
  <c r="A477" i="4"/>
  <c r="A481" i="4"/>
  <c r="A485" i="4"/>
  <c r="A489" i="4"/>
  <c r="A493" i="4"/>
  <c r="A497" i="4"/>
  <c r="A501" i="4"/>
  <c r="A505" i="4"/>
  <c r="A509" i="4"/>
  <c r="A513" i="4"/>
  <c r="A517" i="4"/>
  <c r="A521" i="4"/>
  <c r="A525" i="4"/>
  <c r="A529" i="4"/>
  <c r="A533" i="4"/>
  <c r="A537" i="4"/>
  <c r="A541" i="4"/>
  <c r="A545" i="4"/>
  <c r="A549" i="4"/>
  <c r="A553" i="4"/>
  <c r="A557" i="4"/>
  <c r="A561" i="4"/>
  <c r="A565" i="4"/>
  <c r="A569" i="4"/>
  <c r="A573" i="4"/>
  <c r="A577" i="4"/>
  <c r="A581" i="4"/>
  <c r="A585" i="4"/>
  <c r="A589" i="4"/>
  <c r="A593" i="4"/>
  <c r="A597" i="4"/>
  <c r="A601" i="4"/>
  <c r="A605" i="4"/>
  <c r="A609" i="4"/>
  <c r="A613" i="4"/>
  <c r="A614" i="4"/>
  <c r="A618" i="4"/>
  <c r="A119" i="4"/>
  <c r="A624" i="4"/>
  <c r="A628" i="4"/>
  <c r="A632" i="4"/>
  <c r="A137" i="4"/>
  <c r="A141" i="4"/>
  <c r="A145" i="4"/>
  <c r="A149" i="4"/>
  <c r="A153" i="4"/>
  <c r="A157" i="4"/>
  <c r="A161" i="4"/>
  <c r="A165" i="4"/>
  <c r="A169" i="4"/>
  <c r="A173" i="4"/>
  <c r="A177" i="4"/>
  <c r="A181" i="4"/>
  <c r="A185" i="4"/>
  <c r="A189" i="4"/>
  <c r="A193" i="4"/>
  <c r="A197" i="4"/>
  <c r="A201" i="4"/>
  <c r="A106" i="4"/>
  <c r="A208" i="4"/>
  <c r="A212" i="4"/>
  <c r="A216" i="4"/>
  <c r="A220" i="4"/>
  <c r="A224" i="4"/>
  <c r="A228" i="4"/>
  <c r="A232" i="4"/>
  <c r="A236" i="4"/>
  <c r="A240" i="4"/>
  <c r="A244" i="4"/>
  <c r="A248" i="4"/>
  <c r="A252" i="4"/>
  <c r="A256" i="4"/>
  <c r="A260" i="4"/>
  <c r="A264" i="4"/>
  <c r="A267" i="4"/>
  <c r="A271" i="4"/>
  <c r="A275" i="4"/>
  <c r="A278" i="4"/>
  <c r="A282" i="4"/>
  <c r="A286" i="4"/>
  <c r="A290" i="4"/>
  <c r="A294" i="4"/>
  <c r="A298" i="4"/>
  <c r="A302" i="4"/>
  <c r="A306" i="4"/>
  <c r="A310" i="4"/>
  <c r="A313" i="4"/>
  <c r="A317" i="4"/>
  <c r="A321" i="4"/>
  <c r="A325" i="4"/>
  <c r="A329" i="4"/>
  <c r="A333" i="4"/>
  <c r="A337" i="4"/>
  <c r="A341" i="4"/>
  <c r="A344" i="4"/>
  <c r="A348" i="4"/>
  <c r="A352" i="4"/>
  <c r="A356" i="4"/>
  <c r="A360" i="4"/>
  <c r="A364" i="4"/>
  <c r="A368" i="4"/>
  <c r="A372" i="4"/>
  <c r="A376" i="4"/>
  <c r="A380" i="4"/>
  <c r="A384" i="4"/>
  <c r="A388" i="4"/>
  <c r="A392" i="4"/>
  <c r="A396" i="4"/>
  <c r="A400" i="4"/>
  <c r="A404" i="4"/>
  <c r="A408" i="4"/>
  <c r="A412" i="4"/>
  <c r="A416" i="4"/>
  <c r="A419" i="4"/>
  <c r="A423" i="4"/>
  <c r="A67" i="4"/>
  <c r="A430" i="4"/>
  <c r="A434" i="4"/>
  <c r="A438" i="4"/>
  <c r="A442" i="4"/>
  <c r="A446" i="4"/>
  <c r="A450" i="4"/>
  <c r="A454" i="4"/>
  <c r="A458" i="4"/>
  <c r="A462" i="4"/>
  <c r="A466" i="4"/>
  <c r="A470" i="4"/>
  <c r="A474" i="4"/>
  <c r="A478" i="4"/>
  <c r="A482" i="4"/>
  <c r="A486" i="4"/>
  <c r="A490" i="4"/>
  <c r="A494" i="4"/>
  <c r="A498" i="4"/>
  <c r="A502" i="4"/>
  <c r="A506" i="4"/>
  <c r="A510" i="4"/>
  <c r="A514" i="4"/>
  <c r="A518" i="4"/>
  <c r="A522" i="4"/>
  <c r="A526" i="4"/>
  <c r="A530" i="4"/>
  <c r="A534" i="4"/>
  <c r="A538" i="4"/>
  <c r="A542" i="4"/>
  <c r="A546" i="4"/>
  <c r="A550" i="4"/>
  <c r="A554" i="4"/>
  <c r="A558" i="4"/>
  <c r="A562" i="4"/>
  <c r="A566" i="4"/>
  <c r="A570" i="4"/>
  <c r="A574" i="4"/>
  <c r="A578" i="4"/>
  <c r="A582" i="4"/>
  <c r="A586" i="4"/>
  <c r="A590" i="4"/>
  <c r="A594" i="4"/>
  <c r="A598" i="4"/>
  <c r="A602" i="4"/>
  <c r="A606" i="4"/>
  <c r="A610" i="4"/>
  <c r="A84" i="4"/>
  <c r="A615" i="4"/>
  <c r="A619" i="4"/>
  <c r="A622" i="4"/>
  <c r="A625" i="4"/>
  <c r="A629" i="4"/>
  <c r="A138" i="4"/>
  <c r="A146" i="4"/>
  <c r="A154" i="4"/>
  <c r="A162" i="4"/>
  <c r="A170" i="4"/>
  <c r="A178" i="4"/>
  <c r="A186" i="4"/>
  <c r="A194" i="4"/>
  <c r="A202" i="4"/>
  <c r="A209" i="4"/>
  <c r="A217" i="4"/>
  <c r="A225" i="4"/>
  <c r="A233" i="4"/>
  <c r="A241" i="4"/>
  <c r="A249" i="4"/>
  <c r="A257" i="4"/>
  <c r="A265" i="4"/>
  <c r="A272" i="4"/>
  <c r="A279" i="4"/>
  <c r="A287" i="4"/>
  <c r="A295" i="4"/>
  <c r="A303" i="4"/>
  <c r="A311" i="4"/>
  <c r="A318" i="4"/>
  <c r="A326" i="4"/>
  <c r="A334" i="4"/>
  <c r="A121" i="4"/>
  <c r="A349" i="4"/>
  <c r="A357" i="4"/>
  <c r="A365" i="4"/>
  <c r="A373" i="4"/>
  <c r="A381" i="4"/>
  <c r="A389" i="4"/>
  <c r="A397" i="4"/>
  <c r="A405" i="4"/>
  <c r="A413" i="4"/>
  <c r="A420" i="4"/>
  <c r="A427" i="4"/>
  <c r="A435" i="4"/>
  <c r="A443" i="4"/>
  <c r="A451" i="4"/>
  <c r="A459" i="4"/>
  <c r="A467" i="4"/>
  <c r="A475" i="4"/>
  <c r="A483" i="4"/>
  <c r="A491" i="4"/>
  <c r="A499" i="4"/>
  <c r="A507" i="4"/>
  <c r="A515" i="4"/>
  <c r="A523" i="4"/>
  <c r="A531" i="4"/>
  <c r="A539" i="4"/>
  <c r="A547" i="4"/>
  <c r="A555" i="4"/>
  <c r="A563" i="4"/>
  <c r="A571" i="4"/>
  <c r="A579" i="4"/>
  <c r="A587" i="4"/>
  <c r="A595" i="4"/>
  <c r="A603" i="4"/>
  <c r="A611" i="4"/>
  <c r="A616" i="4"/>
  <c r="A623" i="4"/>
  <c r="A630" i="4"/>
  <c r="A635" i="4"/>
  <c r="A639" i="4"/>
  <c r="A643" i="4"/>
  <c r="A647" i="4"/>
  <c r="A651" i="4"/>
  <c r="A653" i="4"/>
  <c r="A657" i="4"/>
  <c r="A661" i="4"/>
  <c r="A665" i="4"/>
  <c r="A669" i="4"/>
  <c r="A673" i="4"/>
  <c r="A677" i="4"/>
  <c r="A107" i="4"/>
  <c r="A684" i="4"/>
  <c r="A688" i="4"/>
  <c r="A692" i="4"/>
  <c r="A696" i="4"/>
  <c r="A700" i="4"/>
  <c r="A704" i="4"/>
  <c r="A708" i="4"/>
  <c r="A712" i="4"/>
  <c r="A716" i="4"/>
  <c r="A720" i="4"/>
  <c r="A724" i="4"/>
  <c r="A728" i="4"/>
  <c r="A732" i="4"/>
  <c r="A736" i="4"/>
  <c r="A740" i="4"/>
  <c r="A744" i="4"/>
  <c r="A748" i="4"/>
  <c r="A752" i="4"/>
  <c r="A756" i="4"/>
  <c r="A760" i="4"/>
  <c r="A764" i="4"/>
  <c r="A768" i="4"/>
  <c r="A772" i="4"/>
  <c r="A776" i="4"/>
  <c r="A780" i="4"/>
  <c r="A784" i="4"/>
  <c r="A788" i="4"/>
  <c r="A792" i="4"/>
  <c r="A796" i="4"/>
  <c r="A800" i="4"/>
  <c r="A804" i="4"/>
  <c r="A808" i="4"/>
  <c r="A810" i="4"/>
  <c r="A814" i="4"/>
  <c r="A818" i="4"/>
  <c r="A822" i="4"/>
  <c r="A826" i="4"/>
  <c r="A830" i="4"/>
  <c r="A834" i="4"/>
  <c r="A838" i="4"/>
  <c r="A842" i="4"/>
  <c r="A846" i="4"/>
  <c r="A850" i="4"/>
  <c r="A854" i="4"/>
  <c r="A858" i="4"/>
  <c r="A862" i="4"/>
  <c r="A866" i="4"/>
  <c r="A870" i="4"/>
  <c r="A874" i="4"/>
  <c r="A878" i="4"/>
  <c r="A882" i="4"/>
  <c r="A886" i="4"/>
  <c r="A890" i="4"/>
  <c r="A7" i="4"/>
  <c r="A897" i="4"/>
  <c r="A901" i="4"/>
  <c r="A905" i="4"/>
  <c r="A909" i="4"/>
  <c r="A913" i="4"/>
  <c r="A917" i="4"/>
  <c r="A921" i="4"/>
  <c r="A925" i="4"/>
  <c r="A929" i="4"/>
  <c r="A933" i="4"/>
  <c r="A937" i="4"/>
  <c r="A941" i="4"/>
  <c r="A945" i="4"/>
  <c r="A949" i="4"/>
  <c r="A953" i="4"/>
  <c r="A957" i="4"/>
  <c r="A961" i="4"/>
  <c r="A965" i="4"/>
  <c r="A969" i="4"/>
  <c r="A973" i="4"/>
  <c r="A111" i="4"/>
  <c r="A980" i="4"/>
  <c r="A984" i="4"/>
  <c r="A988" i="4"/>
  <c r="A992" i="4"/>
  <c r="A996" i="4"/>
  <c r="A1000" i="4"/>
  <c r="A77" i="4"/>
  <c r="A1007" i="4"/>
  <c r="A1011" i="4"/>
  <c r="A1014" i="4"/>
  <c r="A1018" i="4"/>
  <c r="A1022" i="4"/>
  <c r="A1026" i="4"/>
  <c r="A1030" i="4"/>
  <c r="A1034" i="4"/>
  <c r="A1038" i="4"/>
  <c r="A1042" i="4"/>
  <c r="A1046" i="4"/>
  <c r="A1050" i="4"/>
  <c r="A1054" i="4"/>
  <c r="A1058" i="4"/>
  <c r="A1062" i="4"/>
  <c r="A1065" i="4"/>
  <c r="A1069" i="4"/>
  <c r="A1072" i="4"/>
  <c r="A1076" i="4"/>
  <c r="A1080" i="4"/>
  <c r="A1083" i="4"/>
  <c r="A1085" i="4"/>
  <c r="A1089" i="4"/>
  <c r="A1093" i="4"/>
  <c r="A1097" i="4"/>
  <c r="A1101" i="4"/>
  <c r="A1105" i="4"/>
  <c r="A37" i="4"/>
  <c r="A1110" i="4"/>
  <c r="A1114" i="4"/>
  <c r="A1118" i="4"/>
  <c r="A1122" i="4"/>
  <c r="A1126" i="4"/>
  <c r="A1130" i="4"/>
  <c r="A26" i="4"/>
  <c r="A1137" i="4"/>
  <c r="A1140" i="4"/>
  <c r="A1144" i="4"/>
  <c r="A1148" i="4"/>
  <c r="A1152" i="4"/>
  <c r="A1156" i="4"/>
  <c r="A61" i="4"/>
  <c r="A1163" i="4"/>
  <c r="A1167" i="4"/>
  <c r="A1171" i="4"/>
  <c r="A1175" i="4"/>
  <c r="A1179" i="4"/>
  <c r="A1183" i="4"/>
  <c r="A1187" i="4"/>
  <c r="A1191" i="4"/>
  <c r="A1195" i="4"/>
  <c r="A1199" i="4"/>
  <c r="A1203" i="4"/>
  <c r="A41" i="4"/>
  <c r="A1207" i="4"/>
  <c r="A1211" i="4"/>
  <c r="A1215" i="4"/>
  <c r="A1219" i="4"/>
  <c r="A1223" i="4"/>
  <c r="A1226" i="4"/>
  <c r="A135" i="4"/>
  <c r="A1232" i="4"/>
  <c r="A1236" i="4"/>
  <c r="A1240" i="4"/>
  <c r="A1244" i="4"/>
  <c r="A1248" i="4"/>
  <c r="A129" i="4"/>
  <c r="A1255" i="4"/>
  <c r="A1458" i="4"/>
  <c r="A1260" i="4"/>
  <c r="A1264" i="4"/>
  <c r="A112" i="4"/>
  <c r="A1268" i="4"/>
  <c r="A1272" i="4"/>
  <c r="A1276" i="4"/>
  <c r="A1280" i="4"/>
  <c r="A1284" i="4"/>
  <c r="A1286" i="4"/>
  <c r="A1290" i="4"/>
  <c r="A35" i="4"/>
  <c r="A1297" i="4"/>
  <c r="A1301" i="4"/>
  <c r="A1305" i="4"/>
  <c r="A1308" i="4"/>
  <c r="A1312" i="4"/>
  <c r="A33" i="4"/>
  <c r="A1319" i="4"/>
  <c r="A1323" i="4"/>
  <c r="A1327" i="4"/>
  <c r="A1331" i="4"/>
  <c r="A1335" i="4"/>
  <c r="A123" i="4"/>
  <c r="A1341" i="4"/>
  <c r="A1345" i="4"/>
  <c r="A1349" i="4"/>
  <c r="A1353" i="4"/>
  <c r="A139" i="4"/>
  <c r="A147" i="4"/>
  <c r="A155" i="4"/>
  <c r="A163" i="4"/>
  <c r="A171" i="4"/>
  <c r="A179" i="4"/>
  <c r="A187" i="4"/>
  <c r="A195" i="4"/>
  <c r="A203" i="4"/>
  <c r="A210" i="4"/>
  <c r="A218" i="4"/>
  <c r="A226" i="4"/>
  <c r="A234" i="4"/>
  <c r="A242" i="4"/>
  <c r="A250" i="4"/>
  <c r="A258" i="4"/>
  <c r="A266" i="4"/>
  <c r="A273" i="4"/>
  <c r="A280" i="4"/>
  <c r="A288" i="4"/>
  <c r="A296" i="4"/>
  <c r="A304" i="4"/>
  <c r="A312" i="4"/>
  <c r="A319" i="4"/>
  <c r="A327" i="4"/>
  <c r="A335" i="4"/>
  <c r="A342" i="4"/>
  <c r="A350" i="4"/>
  <c r="A358" i="4"/>
  <c r="A366" i="4"/>
  <c r="A374" i="4"/>
  <c r="A382" i="4"/>
  <c r="A390" i="4"/>
  <c r="A398" i="4"/>
  <c r="A406" i="4"/>
  <c r="A414" i="4"/>
  <c r="A421" i="4"/>
  <c r="A428" i="4"/>
  <c r="A436" i="4"/>
  <c r="A444" i="4"/>
  <c r="A452" i="4"/>
  <c r="A460" i="4"/>
  <c r="A468" i="4"/>
  <c r="A476" i="4"/>
  <c r="A484" i="4"/>
  <c r="A492" i="4"/>
  <c r="A500" i="4"/>
  <c r="A508" i="4"/>
  <c r="A516" i="4"/>
  <c r="A524" i="4"/>
  <c r="A532" i="4"/>
  <c r="A540" i="4"/>
  <c r="A548" i="4"/>
  <c r="A556" i="4"/>
  <c r="A564" i="4"/>
  <c r="A572" i="4"/>
  <c r="A580" i="4"/>
  <c r="A588" i="4"/>
  <c r="A596" i="4"/>
  <c r="A604" i="4"/>
  <c r="A612" i="4"/>
  <c r="A617" i="4"/>
  <c r="A95" i="4"/>
  <c r="A631" i="4"/>
  <c r="A636" i="4"/>
  <c r="A640" i="4"/>
  <c r="A644" i="4"/>
  <c r="A648" i="4"/>
  <c r="A652" i="4"/>
  <c r="A654" i="4"/>
  <c r="A658" i="4"/>
  <c r="A662" i="4"/>
  <c r="A666" i="4"/>
  <c r="A670" i="4"/>
  <c r="A674" i="4"/>
  <c r="A678" i="4"/>
  <c r="A681" i="4"/>
  <c r="A685" i="4"/>
  <c r="A689" i="4"/>
  <c r="A693" i="4"/>
  <c r="A697" i="4"/>
  <c r="A701" i="4"/>
  <c r="A705" i="4"/>
  <c r="A709" i="4"/>
  <c r="A713" i="4"/>
  <c r="A717" i="4"/>
  <c r="A721" i="4"/>
  <c r="A725" i="4"/>
  <c r="A729" i="4"/>
  <c r="A733" i="4"/>
  <c r="A737" i="4"/>
  <c r="A741" i="4"/>
  <c r="A745" i="4"/>
  <c r="A749" i="4"/>
  <c r="A753" i="4"/>
  <c r="A757" i="4"/>
  <c r="A761" i="4"/>
  <c r="A765" i="4"/>
  <c r="A769" i="4"/>
  <c r="A773" i="4"/>
  <c r="A777" i="4"/>
  <c r="A781" i="4"/>
  <c r="A785" i="4"/>
  <c r="A789" i="4"/>
  <c r="A793" i="4"/>
  <c r="A797" i="4"/>
  <c r="A801" i="4"/>
  <c r="A805" i="4"/>
  <c r="A809" i="4"/>
  <c r="A811" i="4"/>
  <c r="A815" i="4"/>
  <c r="A819" i="4"/>
  <c r="A823" i="4"/>
  <c r="A827" i="4"/>
  <c r="A831" i="4"/>
  <c r="A835" i="4"/>
  <c r="A839" i="4"/>
  <c r="A843" i="4"/>
  <c r="A847" i="4"/>
  <c r="A851" i="4"/>
  <c r="A855" i="4"/>
  <c r="A859" i="4"/>
  <c r="A863" i="4"/>
  <c r="A867" i="4"/>
  <c r="A871" i="4"/>
  <c r="A875" i="4"/>
  <c r="A879" i="4"/>
  <c r="A883" i="4"/>
  <c r="A887" i="4"/>
  <c r="A891" i="4"/>
  <c r="A894" i="4"/>
  <c r="A898" i="4"/>
  <c r="A902" i="4"/>
  <c r="A906" i="4"/>
  <c r="A910" i="4"/>
  <c r="A914" i="4"/>
  <c r="A918" i="4"/>
  <c r="A922" i="4"/>
  <c r="A926" i="4"/>
  <c r="A930" i="4"/>
  <c r="A934" i="4"/>
  <c r="A938" i="4"/>
  <c r="A942" i="4"/>
  <c r="A946" i="4"/>
  <c r="A950" i="4"/>
  <c r="A954" i="4"/>
  <c r="A958" i="4"/>
  <c r="A962" i="4"/>
  <c r="A966" i="4"/>
  <c r="A970" i="4"/>
  <c r="A974" i="4"/>
  <c r="A977" i="4"/>
  <c r="A981" i="4"/>
  <c r="A985" i="4"/>
  <c r="A989" i="4"/>
  <c r="A993" i="4"/>
  <c r="A997" i="4"/>
  <c r="A1001" i="4"/>
  <c r="A1004" i="4"/>
  <c r="A1008" i="4"/>
  <c r="A1012" i="4"/>
  <c r="A1015" i="4"/>
  <c r="A1019" i="4"/>
  <c r="A1023" i="4"/>
  <c r="A1027" i="4"/>
  <c r="A1031" i="4"/>
  <c r="A1035" i="4"/>
  <c r="A1039" i="4"/>
  <c r="A1043" i="4"/>
  <c r="A1047" i="4"/>
  <c r="A1051" i="4"/>
  <c r="A1055" i="4"/>
  <c r="A1059" i="4"/>
  <c r="A8" i="4"/>
  <c r="A1066" i="4"/>
  <c r="A1070" i="4"/>
  <c r="A1073" i="4"/>
  <c r="A1077" i="4"/>
  <c r="A91" i="4"/>
  <c r="A15" i="4"/>
  <c r="A1086" i="4"/>
  <c r="A1090" i="4"/>
  <c r="A1094" i="4"/>
  <c r="A1098" i="4"/>
  <c r="A1102" i="4"/>
  <c r="A1106" i="4"/>
  <c r="A9" i="4"/>
  <c r="A1111" i="4"/>
  <c r="A1115" i="4"/>
  <c r="A1119" i="4"/>
  <c r="A1123" i="4"/>
  <c r="A1127" i="4"/>
  <c r="A1131" i="4"/>
  <c r="A1134" i="4"/>
  <c r="A1138" i="4"/>
  <c r="A1141" i="4"/>
  <c r="A1145" i="4"/>
  <c r="A1149" i="4"/>
  <c r="A1153" i="4"/>
  <c r="A1157" i="4"/>
  <c r="A1160" i="4"/>
  <c r="A1164" i="4"/>
  <c r="A1168" i="4"/>
  <c r="A1172" i="4"/>
  <c r="A1176" i="4"/>
  <c r="A1180" i="4"/>
  <c r="A1184" i="4"/>
  <c r="A1188" i="4"/>
  <c r="A1192" i="4"/>
  <c r="A1196" i="4"/>
  <c r="A1200" i="4"/>
  <c r="A1204" i="4"/>
  <c r="A34" i="4"/>
  <c r="A1208" i="4"/>
  <c r="A1212" i="4"/>
  <c r="A1216" i="4"/>
  <c r="A1220" i="4"/>
  <c r="A1224" i="4"/>
  <c r="A1227" i="4"/>
  <c r="A1230" i="4"/>
  <c r="A1233" i="4"/>
  <c r="A1237" i="4"/>
  <c r="A1241" i="4"/>
  <c r="A1245" i="4"/>
  <c r="A1249" i="4"/>
  <c r="A1252" i="4"/>
  <c r="A1256" i="4"/>
  <c r="A1259" i="4"/>
  <c r="A1261" i="4"/>
  <c r="A125" i="4"/>
  <c r="A1265" i="4"/>
  <c r="A1269" i="4"/>
  <c r="A1273" i="4"/>
  <c r="A1277" i="4"/>
  <c r="A1281" i="4"/>
  <c r="A28" i="4"/>
  <c r="A1287" i="4"/>
  <c r="A1291" i="4"/>
  <c r="A1294" i="4"/>
  <c r="A1298" i="4"/>
  <c r="A1302" i="4"/>
  <c r="A1306" i="4"/>
  <c r="A1309" i="4"/>
  <c r="A1313" i="4"/>
  <c r="A1316" i="4"/>
  <c r="A1320" i="4"/>
  <c r="A1324" i="4"/>
  <c r="A1328" i="4"/>
  <c r="A1332" i="4"/>
  <c r="A62" i="4"/>
  <c r="A1338" i="4"/>
  <c r="A1342" i="4"/>
  <c r="A1346" i="4"/>
  <c r="A1350" i="4"/>
  <c r="A1354" i="4"/>
  <c r="A142" i="4"/>
  <c r="A158" i="4"/>
  <c r="A174" i="4"/>
  <c r="A190" i="4"/>
  <c r="A205" i="4"/>
  <c r="A221" i="4"/>
  <c r="A237" i="4"/>
  <c r="A253" i="4"/>
  <c r="A268" i="4"/>
  <c r="A283" i="4"/>
  <c r="A299" i="4"/>
  <c r="A314" i="4"/>
  <c r="A330" i="4"/>
  <c r="A345" i="4"/>
  <c r="A361" i="4"/>
  <c r="A377" i="4"/>
  <c r="A393" i="4"/>
  <c r="A409" i="4"/>
  <c r="A424" i="4"/>
  <c r="A439" i="4"/>
  <c r="A455" i="4"/>
  <c r="A471" i="4"/>
  <c r="A487" i="4"/>
  <c r="A503" i="4"/>
  <c r="A519" i="4"/>
  <c r="A535" i="4"/>
  <c r="A551" i="4"/>
  <c r="A567" i="4"/>
  <c r="A583" i="4"/>
  <c r="A599" i="4"/>
  <c r="A127" i="4"/>
  <c r="A626" i="4"/>
  <c r="A637" i="4"/>
  <c r="A645" i="4"/>
  <c r="A38" i="4"/>
  <c r="A659" i="4"/>
  <c r="A667" i="4"/>
  <c r="A675" i="4"/>
  <c r="A682" i="4"/>
  <c r="A690" i="4"/>
  <c r="A698" i="4"/>
  <c r="A706" i="4"/>
  <c r="A714" i="4"/>
  <c r="A722" i="4"/>
  <c r="A730" i="4"/>
  <c r="A738" i="4"/>
  <c r="A746" i="4"/>
  <c r="A754" i="4"/>
  <c r="A762" i="4"/>
  <c r="A770" i="4"/>
  <c r="A778" i="4"/>
  <c r="A786" i="4"/>
  <c r="A794" i="4"/>
  <c r="A802" i="4"/>
  <c r="A110" i="4"/>
  <c r="A816" i="4"/>
  <c r="A824" i="4"/>
  <c r="A832" i="4"/>
  <c r="A840" i="4"/>
  <c r="A848" i="4"/>
  <c r="A856" i="4"/>
  <c r="A864" i="4"/>
  <c r="A872" i="4"/>
  <c r="A880" i="4"/>
  <c r="A888" i="4"/>
  <c r="A895" i="4"/>
  <c r="A903" i="4"/>
  <c r="A911" i="4"/>
  <c r="A919" i="4"/>
  <c r="A927" i="4"/>
  <c r="A935" i="4"/>
  <c r="A943" i="4"/>
  <c r="A951" i="4"/>
  <c r="A959" i="4"/>
  <c r="A967" i="4"/>
  <c r="A975" i="4"/>
  <c r="A982" i="4"/>
  <c r="A990" i="4"/>
  <c r="A998" i="4"/>
  <c r="A1005" i="4"/>
  <c r="A66" i="4"/>
  <c r="A1020" i="4"/>
  <c r="A1028" i="4"/>
  <c r="A1036" i="4"/>
  <c r="A1044" i="4"/>
  <c r="A1052" i="4"/>
  <c r="A1060" i="4"/>
  <c r="A1067" i="4"/>
  <c r="A1074" i="4"/>
  <c r="A1081" i="4"/>
  <c r="A1087" i="4"/>
  <c r="A1095" i="4"/>
  <c r="A1103" i="4"/>
  <c r="A1109" i="4"/>
  <c r="A1116" i="4"/>
  <c r="A1124" i="4"/>
  <c r="A1132" i="4"/>
  <c r="A1139" i="4"/>
  <c r="A1146" i="4"/>
  <c r="A1154" i="4"/>
  <c r="A1161" i="4"/>
  <c r="A1169" i="4"/>
  <c r="A1177" i="4"/>
  <c r="A1185" i="4"/>
  <c r="A1193" i="4"/>
  <c r="A1201" i="4"/>
  <c r="A1205" i="4"/>
  <c r="A1213" i="4"/>
  <c r="A1221" i="4"/>
  <c r="A1228" i="4"/>
  <c r="A1234" i="4"/>
  <c r="A1242" i="4"/>
  <c r="A1250" i="4"/>
  <c r="A1257" i="4"/>
  <c r="A1262" i="4"/>
  <c r="A1266" i="4"/>
  <c r="A1274" i="4"/>
  <c r="A1282" i="4"/>
  <c r="A1288" i="4"/>
  <c r="A1295" i="4"/>
  <c r="A1303" i="4"/>
  <c r="A1310" i="4"/>
  <c r="A1317" i="4"/>
  <c r="A1325" i="4"/>
  <c r="A1333" i="4"/>
  <c r="A1339" i="4"/>
  <c r="A1347" i="4"/>
  <c r="A1459" i="4"/>
  <c r="A1357" i="4"/>
  <c r="A1361" i="4"/>
  <c r="A1365" i="4"/>
  <c r="A1369" i="4"/>
  <c r="A1373" i="4"/>
  <c r="A1377" i="4"/>
  <c r="A1381" i="4"/>
  <c r="A1385" i="4"/>
  <c r="A1389" i="4"/>
  <c r="A1393" i="4"/>
  <c r="A1397" i="4"/>
  <c r="A1401" i="4"/>
  <c r="A1404" i="4"/>
  <c r="A10" i="4"/>
  <c r="A1410" i="4"/>
  <c r="A133" i="4"/>
  <c r="A93" i="4"/>
  <c r="A16" i="4"/>
  <c r="A1418" i="4"/>
  <c r="A1420" i="4"/>
  <c r="A126" i="4"/>
  <c r="A103" i="4"/>
  <c r="A1425" i="4"/>
  <c r="A1428" i="4"/>
  <c r="A1432" i="4"/>
  <c r="A1434" i="4"/>
  <c r="A70" i="4"/>
  <c r="A1470" i="4"/>
  <c r="A1438" i="4"/>
  <c r="A1441" i="4"/>
  <c r="A1444" i="4"/>
  <c r="A23" i="4"/>
  <c r="A116" i="4"/>
  <c r="A25" i="4"/>
  <c r="A46" i="4"/>
  <c r="A71" i="4"/>
  <c r="A113" i="4"/>
  <c r="A42" i="4"/>
  <c r="A1452" i="4"/>
  <c r="A1453" i="4"/>
  <c r="A1455" i="4"/>
  <c r="A85" i="4"/>
  <c r="A79" i="4"/>
  <c r="A96" i="4"/>
  <c r="A87" i="4"/>
  <c r="A100" i="4"/>
  <c r="A1467" i="4"/>
  <c r="A1471" i="4"/>
  <c r="A1475" i="4"/>
  <c r="G137" i="4"/>
  <c r="G141" i="4"/>
  <c r="G145" i="4"/>
  <c r="G149" i="4"/>
  <c r="G153" i="4"/>
  <c r="G157" i="4"/>
  <c r="G161" i="4"/>
  <c r="G165" i="4"/>
  <c r="G169" i="4"/>
  <c r="G173" i="4"/>
  <c r="G177" i="4"/>
  <c r="G181" i="4"/>
  <c r="G185" i="4"/>
  <c r="G189" i="4"/>
  <c r="G193" i="4"/>
  <c r="G197" i="4"/>
  <c r="G201" i="4"/>
  <c r="G106" i="4"/>
  <c r="G208" i="4"/>
  <c r="G212" i="4"/>
  <c r="G216" i="4"/>
  <c r="G220" i="4"/>
  <c r="G224" i="4"/>
  <c r="G228" i="4"/>
  <c r="G232" i="4"/>
  <c r="G236" i="4"/>
  <c r="G240" i="4"/>
  <c r="G244" i="4"/>
  <c r="G248" i="4"/>
  <c r="G252" i="4"/>
  <c r="G256" i="4"/>
  <c r="G260" i="4"/>
  <c r="G264" i="4"/>
  <c r="G267" i="4"/>
  <c r="G271" i="4"/>
  <c r="G275" i="4"/>
  <c r="G278" i="4"/>
  <c r="G282" i="4"/>
  <c r="G286" i="4"/>
  <c r="G290" i="4"/>
  <c r="G294" i="4"/>
  <c r="G298" i="4"/>
  <c r="G302" i="4"/>
  <c r="G306" i="4"/>
  <c r="G310" i="4"/>
  <c r="G313" i="4"/>
  <c r="G317" i="4"/>
  <c r="G321" i="4"/>
  <c r="G325" i="4"/>
  <c r="G329" i="4"/>
  <c r="G333" i="4"/>
  <c r="G337" i="4"/>
  <c r="G341" i="4"/>
  <c r="G344" i="4"/>
  <c r="G348" i="4"/>
  <c r="G352" i="4"/>
  <c r="G356" i="4"/>
  <c r="G360" i="4"/>
  <c r="G364" i="4"/>
  <c r="G368" i="4"/>
  <c r="G372" i="4"/>
  <c r="G376" i="4"/>
  <c r="G380" i="4"/>
  <c r="G384" i="4"/>
  <c r="G388" i="4"/>
  <c r="G392" i="4"/>
  <c r="G396" i="4"/>
  <c r="G400" i="4"/>
  <c r="G404" i="4"/>
  <c r="G408" i="4"/>
  <c r="G412" i="4"/>
  <c r="G416" i="4"/>
  <c r="G419" i="4"/>
  <c r="G423" i="4"/>
  <c r="G67" i="4"/>
  <c r="G430" i="4"/>
  <c r="G434" i="4"/>
  <c r="G438" i="4"/>
  <c r="A143" i="4"/>
  <c r="A159" i="4"/>
  <c r="A175" i="4"/>
  <c r="A191" i="4"/>
  <c r="A206" i="4"/>
  <c r="A222" i="4"/>
  <c r="A238" i="4"/>
  <c r="A254" i="4"/>
  <c r="A269" i="4"/>
  <c r="A284" i="4"/>
  <c r="A300" i="4"/>
  <c r="A315" i="4"/>
  <c r="A331" i="4"/>
  <c r="A346" i="4"/>
  <c r="A362" i="4"/>
  <c r="A378" i="4"/>
  <c r="A394" i="4"/>
  <c r="A410" i="4"/>
  <c r="A425" i="4"/>
  <c r="A440" i="4"/>
  <c r="A456" i="4"/>
  <c r="A472" i="4"/>
  <c r="A488" i="4"/>
  <c r="A504" i="4"/>
  <c r="A520" i="4"/>
  <c r="A536" i="4"/>
  <c r="A552" i="4"/>
  <c r="A568" i="4"/>
  <c r="A584" i="4"/>
  <c r="A600" i="4"/>
  <c r="A88" i="4"/>
  <c r="A627" i="4"/>
  <c r="A638" i="4"/>
  <c r="A646" i="4"/>
  <c r="A92" i="4"/>
  <c r="A660" i="4"/>
  <c r="A668" i="4"/>
  <c r="A676" i="4"/>
  <c r="A683" i="4"/>
  <c r="A691" i="4"/>
  <c r="A699" i="4"/>
  <c r="A707" i="4"/>
  <c r="A715" i="4"/>
  <c r="A723" i="4"/>
  <c r="A731" i="4"/>
  <c r="A739" i="4"/>
  <c r="A747" i="4"/>
  <c r="A755" i="4"/>
  <c r="A763" i="4"/>
  <c r="A771" i="4"/>
  <c r="A779" i="4"/>
  <c r="A787" i="4"/>
  <c r="A795" i="4"/>
  <c r="A803" i="4"/>
  <c r="A32" i="4"/>
  <c r="A817" i="4"/>
  <c r="A825" i="4"/>
  <c r="A833" i="4"/>
  <c r="A841" i="4"/>
  <c r="A849" i="4"/>
  <c r="A857" i="4"/>
  <c r="A865" i="4"/>
  <c r="A873" i="4"/>
  <c r="A881" i="4"/>
  <c r="A889" i="4"/>
  <c r="A896" i="4"/>
  <c r="A904" i="4"/>
  <c r="A912" i="4"/>
  <c r="A920" i="4"/>
  <c r="A928" i="4"/>
  <c r="A936" i="4"/>
  <c r="A944" i="4"/>
  <c r="A952" i="4"/>
  <c r="A960" i="4"/>
  <c r="A968" i="4"/>
  <c r="A976" i="4"/>
  <c r="A983" i="4"/>
  <c r="A991" i="4"/>
  <c r="A999" i="4"/>
  <c r="A1006" i="4"/>
  <c r="A1013" i="4"/>
  <c r="A1021" i="4"/>
  <c r="A1029" i="4"/>
  <c r="A1037" i="4"/>
  <c r="A1045" i="4"/>
  <c r="A1053" i="4"/>
  <c r="A1061" i="4"/>
  <c r="A1068" i="4"/>
  <c r="A1075" i="4"/>
  <c r="A1082" i="4"/>
  <c r="A1088" i="4"/>
  <c r="A1096" i="4"/>
  <c r="A1104" i="4"/>
  <c r="A97" i="4"/>
  <c r="A1117" i="4"/>
  <c r="A1125" i="4"/>
  <c r="A1133" i="4"/>
  <c r="A114" i="4"/>
  <c r="A1147" i="4"/>
  <c r="A1155" i="4"/>
  <c r="A1162" i="4"/>
  <c r="A1170" i="4"/>
  <c r="A1178" i="4"/>
  <c r="A1186" i="4"/>
  <c r="A1194" i="4"/>
  <c r="A1202" i="4"/>
  <c r="A1206" i="4"/>
  <c r="A1214" i="4"/>
  <c r="A1222" i="4"/>
  <c r="A1229" i="4"/>
  <c r="A1235" i="4"/>
  <c r="A1243" i="4"/>
  <c r="A1251" i="4"/>
  <c r="A1258" i="4"/>
  <c r="A1263" i="4"/>
  <c r="A1267" i="4"/>
  <c r="A1275" i="4"/>
  <c r="A1283" i="4"/>
  <c r="A1289" i="4"/>
  <c r="A1296" i="4"/>
  <c r="A1304" i="4"/>
  <c r="A1311" i="4"/>
  <c r="A1318" i="4"/>
  <c r="A1326" i="4"/>
  <c r="A1334" i="4"/>
  <c r="A1340" i="4"/>
  <c r="A1348" i="4"/>
  <c r="A1460" i="4"/>
  <c r="A1358" i="4"/>
  <c r="A1362" i="4"/>
  <c r="A1366" i="4"/>
  <c r="A1370" i="4"/>
  <c r="A1374" i="4"/>
  <c r="A1378" i="4"/>
  <c r="A1382" i="4"/>
  <c r="A1386" i="4"/>
  <c r="A1390" i="4"/>
  <c r="A1394" i="4"/>
  <c r="A1398" i="4"/>
  <c r="A1402" i="4"/>
  <c r="A1405" i="4"/>
  <c r="A1408" i="4"/>
  <c r="A14" i="4"/>
  <c r="A131" i="4"/>
  <c r="A1415" i="4"/>
  <c r="A94" i="4"/>
  <c r="A68" i="4"/>
  <c r="A1421" i="4"/>
  <c r="A128" i="4"/>
  <c r="A21" i="4"/>
  <c r="A1426" i="4"/>
  <c r="A1429" i="4"/>
  <c r="A1463" i="4"/>
  <c r="A1465" i="4"/>
  <c r="A1435" i="4"/>
  <c r="A12" i="4"/>
  <c r="A1439" i="4"/>
  <c r="A80" i="4"/>
  <c r="A1445" i="4"/>
  <c r="A1447" i="4"/>
  <c r="A20" i="4"/>
  <c r="A1450" i="4"/>
  <c r="A54" i="4"/>
  <c r="A132" i="4"/>
  <c r="A115" i="4"/>
  <c r="A22" i="4"/>
  <c r="A58" i="4"/>
  <c r="A13" i="4"/>
  <c r="A120" i="4"/>
  <c r="A72" i="4"/>
  <c r="A98" i="4"/>
  <c r="A56" i="4"/>
  <c r="A118" i="4"/>
  <c r="A1464" i="4"/>
  <c r="A1468" i="4"/>
  <c r="A1472" i="4"/>
  <c r="A1476" i="4"/>
  <c r="G138" i="4"/>
  <c r="G142" i="4"/>
  <c r="G146" i="4"/>
  <c r="G150" i="4"/>
  <c r="G154" i="4"/>
  <c r="G158" i="4"/>
  <c r="G162" i="4"/>
  <c r="G166" i="4"/>
  <c r="G170" i="4"/>
  <c r="G174" i="4"/>
  <c r="G178" i="4"/>
  <c r="G182" i="4"/>
  <c r="G186" i="4"/>
  <c r="G190" i="4"/>
  <c r="G194" i="4"/>
  <c r="G198" i="4"/>
  <c r="G202" i="4"/>
  <c r="G205" i="4"/>
  <c r="G209" i="4"/>
  <c r="G213" i="4"/>
  <c r="G217" i="4"/>
  <c r="G221" i="4"/>
  <c r="G225" i="4"/>
  <c r="G229" i="4"/>
  <c r="G233" i="4"/>
  <c r="G237" i="4"/>
  <c r="G241" i="4"/>
  <c r="G245" i="4"/>
  <c r="G249" i="4"/>
  <c r="G253" i="4"/>
  <c r="G257" i="4"/>
  <c r="G261" i="4"/>
  <c r="G265" i="4"/>
  <c r="G268" i="4"/>
  <c r="G272" i="4"/>
  <c r="G276" i="4"/>
  <c r="G279" i="4"/>
  <c r="G283" i="4"/>
  <c r="G287" i="4"/>
  <c r="G291" i="4"/>
  <c r="G295" i="4"/>
  <c r="G299" i="4"/>
  <c r="G303" i="4"/>
  <c r="G307" i="4"/>
  <c r="G311" i="4"/>
  <c r="G314" i="4"/>
  <c r="G318" i="4"/>
  <c r="G322" i="4"/>
  <c r="G326" i="4"/>
  <c r="G330" i="4"/>
  <c r="G334" i="4"/>
  <c r="G338" i="4"/>
  <c r="G121" i="4"/>
  <c r="G345" i="4"/>
  <c r="G349" i="4"/>
  <c r="G353" i="4"/>
  <c r="G357" i="4"/>
  <c r="G361" i="4"/>
  <c r="G365" i="4"/>
  <c r="G369" i="4"/>
  <c r="G373" i="4"/>
  <c r="G377" i="4"/>
  <c r="G381" i="4"/>
  <c r="G385" i="4"/>
  <c r="G389" i="4"/>
  <c r="G393" i="4"/>
  <c r="G397" i="4"/>
  <c r="G401" i="4"/>
  <c r="G405" i="4"/>
  <c r="G409" i="4"/>
  <c r="G413" i="4"/>
  <c r="G417" i="4"/>
  <c r="G420" i="4"/>
  <c r="G424" i="4"/>
  <c r="G427" i="4"/>
  <c r="G431" i="4"/>
  <c r="G435" i="4"/>
  <c r="G439" i="4"/>
  <c r="G443" i="4"/>
  <c r="G447" i="4"/>
  <c r="G451" i="4"/>
  <c r="G455" i="4"/>
  <c r="G459" i="4"/>
  <c r="G463" i="4"/>
  <c r="G467" i="4"/>
  <c r="G471" i="4"/>
  <c r="G475" i="4"/>
  <c r="G479" i="4"/>
  <c r="G483" i="4"/>
  <c r="G487" i="4"/>
  <c r="G491" i="4"/>
  <c r="G495" i="4"/>
  <c r="G499" i="4"/>
  <c r="G503" i="4"/>
  <c r="G507" i="4"/>
  <c r="A150" i="4"/>
  <c r="A182" i="4"/>
  <c r="A213" i="4"/>
  <c r="A245" i="4"/>
  <c r="A276" i="4"/>
  <c r="A307" i="4"/>
  <c r="A338" i="4"/>
  <c r="A369" i="4"/>
  <c r="A401" i="4"/>
  <c r="A431" i="4"/>
  <c r="A463" i="4"/>
  <c r="A495" i="4"/>
  <c r="A527" i="4"/>
  <c r="A559" i="4"/>
  <c r="A591" i="4"/>
  <c r="A620" i="4"/>
  <c r="A641" i="4"/>
  <c r="A655" i="4"/>
  <c r="A671" i="4"/>
  <c r="A686" i="4"/>
  <c r="A702" i="4"/>
  <c r="A718" i="4"/>
  <c r="A734" i="4"/>
  <c r="A750" i="4"/>
  <c r="A766" i="4"/>
  <c r="A782" i="4"/>
  <c r="A798" i="4"/>
  <c r="A812" i="4"/>
  <c r="A828" i="4"/>
  <c r="A844" i="4"/>
  <c r="A860" i="4"/>
  <c r="A876" i="4"/>
  <c r="A892" i="4"/>
  <c r="A907" i="4"/>
  <c r="A923" i="4"/>
  <c r="A939" i="4"/>
  <c r="A955" i="4"/>
  <c r="A971" i="4"/>
  <c r="A986" i="4"/>
  <c r="A1002" i="4"/>
  <c r="A1016" i="4"/>
  <c r="A1032" i="4"/>
  <c r="A1048" i="4"/>
  <c r="A1063" i="4"/>
  <c r="A1078" i="4"/>
  <c r="A1091" i="4"/>
  <c r="A1107" i="4"/>
  <c r="A1120" i="4"/>
  <c r="A1135" i="4"/>
  <c r="A1150" i="4"/>
  <c r="A1165" i="4"/>
  <c r="A1181" i="4"/>
  <c r="A1197" i="4"/>
  <c r="A1209" i="4"/>
  <c r="A78" i="4"/>
  <c r="A1238" i="4"/>
  <c r="A1253" i="4"/>
  <c r="A73" i="4"/>
  <c r="A1278" i="4"/>
  <c r="A1292" i="4"/>
  <c r="A117" i="4"/>
  <c r="A1321" i="4"/>
  <c r="A1336" i="4"/>
  <c r="A1351" i="4"/>
  <c r="A1359" i="4"/>
  <c r="A1367" i="4"/>
  <c r="A1375" i="4"/>
  <c r="A1383" i="4"/>
  <c r="A1391" i="4"/>
  <c r="A1399" i="4"/>
  <c r="A1406" i="4"/>
  <c r="A1411" i="4"/>
  <c r="A53" i="4"/>
  <c r="A36" i="4"/>
  <c r="A124" i="4"/>
  <c r="A105" i="4"/>
  <c r="A82" i="4"/>
  <c r="A1436" i="4"/>
  <c r="A43" i="4"/>
  <c r="A109" i="4"/>
  <c r="A74" i="4"/>
  <c r="A108" i="4"/>
  <c r="A1451" i="4"/>
  <c r="A90" i="4"/>
  <c r="A83" i="4"/>
  <c r="A89" i="4"/>
  <c r="A104" i="4"/>
  <c r="A1469" i="4"/>
  <c r="A1477" i="4"/>
  <c r="G143" i="4"/>
  <c r="G151" i="4"/>
  <c r="G159" i="4"/>
  <c r="G167" i="4"/>
  <c r="G175" i="4"/>
  <c r="G183" i="4"/>
  <c r="G191" i="4"/>
  <c r="G199" i="4"/>
  <c r="G206" i="4"/>
  <c r="G214" i="4"/>
  <c r="G222" i="4"/>
  <c r="G230" i="4"/>
  <c r="G238" i="4"/>
  <c r="G246" i="4"/>
  <c r="G254" i="4"/>
  <c r="G262" i="4"/>
  <c r="G269" i="4"/>
  <c r="G277" i="4"/>
  <c r="G284" i="4"/>
  <c r="G292" i="4"/>
  <c r="G300" i="4"/>
  <c r="G308" i="4"/>
  <c r="G315" i="4"/>
  <c r="G323" i="4"/>
  <c r="G331" i="4"/>
  <c r="G339" i="4"/>
  <c r="G346" i="4"/>
  <c r="G354" i="4"/>
  <c r="G362" i="4"/>
  <c r="G370" i="4"/>
  <c r="G378" i="4"/>
  <c r="G386" i="4"/>
  <c r="G394" i="4"/>
  <c r="G402" i="4"/>
  <c r="G410" i="4"/>
  <c r="G418" i="4"/>
  <c r="G425" i="4"/>
  <c r="G432" i="4"/>
  <c r="G440" i="4"/>
  <c r="G445" i="4"/>
  <c r="G450" i="4"/>
  <c r="G456" i="4"/>
  <c r="G461" i="4"/>
  <c r="G466" i="4"/>
  <c r="G472" i="4"/>
  <c r="G477" i="4"/>
  <c r="G482" i="4"/>
  <c r="G488" i="4"/>
  <c r="G493" i="4"/>
  <c r="G498" i="4"/>
  <c r="G504" i="4"/>
  <c r="G509" i="4"/>
  <c r="G513" i="4"/>
  <c r="G517" i="4"/>
  <c r="G521" i="4"/>
  <c r="G525" i="4"/>
  <c r="G529" i="4"/>
  <c r="G533" i="4"/>
  <c r="G537" i="4"/>
  <c r="G541" i="4"/>
  <c r="G545" i="4"/>
  <c r="G549" i="4"/>
  <c r="G553" i="4"/>
  <c r="G557" i="4"/>
  <c r="G561" i="4"/>
  <c r="G565" i="4"/>
  <c r="G569" i="4"/>
  <c r="G573" i="4"/>
  <c r="G577" i="4"/>
  <c r="G581" i="4"/>
  <c r="G585" i="4"/>
  <c r="G589" i="4"/>
  <c r="G593" i="4"/>
  <c r="G597" i="4"/>
  <c r="G601" i="4"/>
  <c r="G605" i="4"/>
  <c r="G609" i="4"/>
  <c r="G613" i="4"/>
  <c r="G614" i="4"/>
  <c r="G618" i="4"/>
  <c r="G119" i="4"/>
  <c r="G624" i="4"/>
  <c r="G628" i="4"/>
  <c r="G632" i="4"/>
  <c r="G636" i="4"/>
  <c r="G640" i="4"/>
  <c r="G644" i="4"/>
  <c r="G648" i="4"/>
  <c r="G652" i="4"/>
  <c r="G654" i="4"/>
  <c r="G658" i="4"/>
  <c r="G662" i="4"/>
  <c r="G666" i="4"/>
  <c r="G670" i="4"/>
  <c r="G674" i="4"/>
  <c r="G678" i="4"/>
  <c r="G681" i="4"/>
  <c r="G685" i="4"/>
  <c r="G689" i="4"/>
  <c r="G693" i="4"/>
  <c r="G697" i="4"/>
  <c r="G701" i="4"/>
  <c r="G705" i="4"/>
  <c r="G709" i="4"/>
  <c r="G713" i="4"/>
  <c r="G717" i="4"/>
  <c r="G721" i="4"/>
  <c r="G725" i="4"/>
  <c r="G729" i="4"/>
  <c r="G733" i="4"/>
  <c r="G737" i="4"/>
  <c r="G741" i="4"/>
  <c r="G745" i="4"/>
  <c r="G749" i="4"/>
  <c r="G753" i="4"/>
  <c r="G757" i="4"/>
  <c r="G761" i="4"/>
  <c r="G765" i="4"/>
  <c r="G769" i="4"/>
  <c r="G773" i="4"/>
  <c r="G777" i="4"/>
  <c r="G781" i="4"/>
  <c r="G785" i="4"/>
  <c r="G789" i="4"/>
  <c r="G793" i="4"/>
  <c r="G797" i="4"/>
  <c r="G801" i="4"/>
  <c r="G805" i="4"/>
  <c r="G809" i="4"/>
  <c r="G811" i="4"/>
  <c r="G815" i="4"/>
  <c r="G819" i="4"/>
  <c r="G823" i="4"/>
  <c r="G827" i="4"/>
  <c r="G831" i="4"/>
  <c r="G835" i="4"/>
  <c r="G839" i="4"/>
  <c r="G843" i="4"/>
  <c r="G847" i="4"/>
  <c r="G851" i="4"/>
  <c r="G855" i="4"/>
  <c r="G859" i="4"/>
  <c r="G863" i="4"/>
  <c r="G867" i="4"/>
  <c r="G871" i="4"/>
  <c r="G875" i="4"/>
  <c r="G879" i="4"/>
  <c r="G883" i="4"/>
  <c r="G887" i="4"/>
  <c r="G891" i="4"/>
  <c r="G894" i="4"/>
  <c r="G898" i="4"/>
  <c r="G902" i="4"/>
  <c r="G906" i="4"/>
  <c r="G910" i="4"/>
  <c r="G914" i="4"/>
  <c r="G918" i="4"/>
  <c r="G922" i="4"/>
  <c r="G926" i="4"/>
  <c r="G930" i="4"/>
  <c r="G934" i="4"/>
  <c r="G938" i="4"/>
  <c r="G942" i="4"/>
  <c r="G946" i="4"/>
  <c r="G950" i="4"/>
  <c r="G954" i="4"/>
  <c r="G958" i="4"/>
  <c r="G962" i="4"/>
  <c r="G966" i="4"/>
  <c r="G970" i="4"/>
  <c r="G974" i="4"/>
  <c r="G977" i="4"/>
  <c r="G981" i="4"/>
  <c r="G985" i="4"/>
  <c r="G989" i="4"/>
  <c r="G993" i="4"/>
  <c r="G997" i="4"/>
  <c r="G1001" i="4"/>
  <c r="G1004" i="4"/>
  <c r="G1008" i="4"/>
  <c r="G1012" i="4"/>
  <c r="G1015" i="4"/>
  <c r="G1019" i="4"/>
  <c r="G1023" i="4"/>
  <c r="G1027" i="4"/>
  <c r="G1031" i="4"/>
  <c r="G1035" i="4"/>
  <c r="G1039" i="4"/>
  <c r="G1043" i="4"/>
  <c r="G1047" i="4"/>
  <c r="G1051" i="4"/>
  <c r="G1055" i="4"/>
  <c r="G1059" i="4"/>
  <c r="G8" i="4"/>
  <c r="G1066" i="4"/>
  <c r="G1070" i="4"/>
  <c r="G1073" i="4"/>
  <c r="G1077" i="4"/>
  <c r="G91" i="4"/>
  <c r="G15" i="4"/>
  <c r="G1086" i="4"/>
  <c r="G1090" i="4"/>
  <c r="G1094" i="4"/>
  <c r="G1098" i="4"/>
  <c r="G1102" i="4"/>
  <c r="G1106" i="4"/>
  <c r="G9" i="4"/>
  <c r="G1111" i="4"/>
  <c r="G1115" i="4"/>
  <c r="G1119" i="4"/>
  <c r="G1123" i="4"/>
  <c r="G1127" i="4"/>
  <c r="G1131" i="4"/>
  <c r="G1134" i="4"/>
  <c r="G1138" i="4"/>
  <c r="G1141" i="4"/>
  <c r="G1145" i="4"/>
  <c r="G1149" i="4"/>
  <c r="G1153" i="4"/>
  <c r="G1157" i="4"/>
  <c r="G1160" i="4"/>
  <c r="G1164" i="4"/>
  <c r="G1168" i="4"/>
  <c r="G1172" i="4"/>
  <c r="G1176" i="4"/>
  <c r="G1180" i="4"/>
  <c r="G1184" i="4"/>
  <c r="G1188" i="4"/>
  <c r="G1192" i="4"/>
  <c r="G1196" i="4"/>
  <c r="G1200" i="4"/>
  <c r="G1204" i="4"/>
  <c r="G34" i="4"/>
  <c r="G1208" i="4"/>
  <c r="G1212" i="4"/>
  <c r="G1216" i="4"/>
  <c r="G1220" i="4"/>
  <c r="G1224" i="4"/>
  <c r="G1227" i="4"/>
  <c r="G1230" i="4"/>
  <c r="G1233" i="4"/>
  <c r="G1237" i="4"/>
  <c r="G1241" i="4"/>
  <c r="G1245" i="4"/>
  <c r="G1249" i="4"/>
  <c r="G1252" i="4"/>
  <c r="G1256" i="4"/>
  <c r="G1259" i="4"/>
  <c r="G1261" i="4"/>
  <c r="G125" i="4"/>
  <c r="G1265" i="4"/>
  <c r="G1269" i="4"/>
  <c r="G1273" i="4"/>
  <c r="G1277" i="4"/>
  <c r="G1281" i="4"/>
  <c r="G28" i="4"/>
  <c r="G1287" i="4"/>
  <c r="G1291" i="4"/>
  <c r="G1294" i="4"/>
  <c r="G1298" i="4"/>
  <c r="G1302" i="4"/>
  <c r="G1306" i="4"/>
  <c r="G1309" i="4"/>
  <c r="G1313" i="4"/>
  <c r="G1316" i="4"/>
  <c r="G1320" i="4"/>
  <c r="G1324" i="4"/>
  <c r="G1328" i="4"/>
  <c r="G1332" i="4"/>
  <c r="G62" i="4"/>
  <c r="G1338" i="4"/>
  <c r="G1342" i="4"/>
  <c r="G1346" i="4"/>
  <c r="G1350" i="4"/>
  <c r="G1354" i="4"/>
  <c r="G1356" i="4"/>
  <c r="G1360" i="4"/>
  <c r="G1364" i="4"/>
  <c r="G1368" i="4"/>
  <c r="G1372" i="4"/>
  <c r="G1376" i="4"/>
  <c r="G1380" i="4"/>
  <c r="G1384" i="4"/>
  <c r="G1388" i="4"/>
  <c r="G1392" i="4"/>
  <c r="G1396" i="4"/>
  <c r="G1400" i="4"/>
  <c r="G1403" i="4"/>
  <c r="G1407" i="4"/>
  <c r="G1461" i="4"/>
  <c r="G1412" i="4"/>
  <c r="G1414" i="4"/>
  <c r="G1462" i="4"/>
  <c r="G1417" i="4"/>
  <c r="G1419" i="4"/>
  <c r="G1422" i="4"/>
  <c r="G122" i="4"/>
  <c r="G1424" i="4"/>
  <c r="G1427" i="4"/>
  <c r="G1431" i="4"/>
  <c r="G1433" i="4"/>
  <c r="G17" i="4"/>
  <c r="G19" i="4"/>
  <c r="G134" i="4"/>
  <c r="G1440" i="4"/>
  <c r="G1443" i="4"/>
  <c r="G1446" i="4"/>
  <c r="G1449" i="4"/>
  <c r="G64" i="4"/>
  <c r="G47" i="4"/>
  <c r="G18" i="4"/>
  <c r="G24" i="4"/>
  <c r="G31" i="4"/>
  <c r="G27" i="4"/>
  <c r="G44" i="4"/>
  <c r="G1454" i="4"/>
  <c r="G76" i="4"/>
  <c r="G1457" i="4"/>
  <c r="G40" i="4"/>
  <c r="G99" i="4"/>
  <c r="G81" i="4"/>
  <c r="G1466" i="4"/>
  <c r="G59" i="4"/>
  <c r="G1474" i="4"/>
  <c r="A198" i="4"/>
  <c r="A229" i="4"/>
  <c r="A291" i="4"/>
  <c r="A385" i="4"/>
  <c r="A447" i="4"/>
  <c r="A511" i="4"/>
  <c r="A575" i="4"/>
  <c r="A633" i="4"/>
  <c r="A663" i="4"/>
  <c r="A694" i="4"/>
  <c r="A726" i="4"/>
  <c r="A758" i="4"/>
  <c r="A790" i="4"/>
  <c r="A820" i="4"/>
  <c r="A868" i="4"/>
  <c r="A899" i="4"/>
  <c r="A931" i="4"/>
  <c r="A963" i="4"/>
  <c r="A994" i="4"/>
  <c r="A1024" i="4"/>
  <c r="A1056" i="4"/>
  <c r="A55" i="4"/>
  <c r="A1112" i="4"/>
  <c r="A1142" i="4"/>
  <c r="A1173" i="4"/>
  <c r="A39" i="4"/>
  <c r="A1231" i="4"/>
  <c r="A45" i="4"/>
  <c r="A1285" i="4"/>
  <c r="A1314" i="4"/>
  <c r="A1343" i="4"/>
  <c r="A1363" i="4"/>
  <c r="A1379" i="4"/>
  <c r="A1395" i="4"/>
  <c r="A1409" i="4"/>
  <c r="A1416" i="4"/>
  <c r="A1423" i="4"/>
  <c r="A11" i="4"/>
  <c r="A1442" i="4"/>
  <c r="A86" i="4"/>
  <c r="A48" i="4"/>
  <c r="A52" i="4"/>
  <c r="A60" i="4"/>
  <c r="G139" i="4"/>
  <c r="G155" i="4"/>
  <c r="G171" i="4"/>
  <c r="G187" i="4"/>
  <c r="G203" i="4"/>
  <c r="G218" i="4"/>
  <c r="G234" i="4"/>
  <c r="G250" i="4"/>
  <c r="G266" i="4"/>
  <c r="G280" i="4"/>
  <c r="G296" i="4"/>
  <c r="G312" i="4"/>
  <c r="G327" i="4"/>
  <c r="G342" i="4"/>
  <c r="G350" i="4"/>
  <c r="G366" i="4"/>
  <c r="G382" i="4"/>
  <c r="G398" i="4"/>
  <c r="G414" i="4"/>
  <c r="G428" i="4"/>
  <c r="G442" i="4"/>
  <c r="G458" i="4"/>
  <c r="G469" i="4"/>
  <c r="G480" i="4"/>
  <c r="G490" i="4"/>
  <c r="G501" i="4"/>
  <c r="G511" i="4"/>
  <c r="G515" i="4"/>
  <c r="G523" i="4"/>
  <c r="G531" i="4"/>
  <c r="G543" i="4"/>
  <c r="G551" i="4"/>
  <c r="G559" i="4"/>
  <c r="G567" i="4"/>
  <c r="G575" i="4"/>
  <c r="G583" i="4"/>
  <c r="G591" i="4"/>
  <c r="G599" i="4"/>
  <c r="G607" i="4"/>
  <c r="G127" i="4"/>
  <c r="G620" i="4"/>
  <c r="G626" i="4"/>
  <c r="G630" i="4"/>
  <c r="G638" i="4"/>
  <c r="G646" i="4"/>
  <c r="G92" i="4"/>
  <c r="G660" i="4"/>
  <c r="G668" i="4"/>
  <c r="G676" i="4"/>
  <c r="G683" i="4"/>
  <c r="G691" i="4"/>
  <c r="G699" i="4"/>
  <c r="G707" i="4"/>
  <c r="G715" i="4"/>
  <c r="G723" i="4"/>
  <c r="A151" i="4"/>
  <c r="A183" i="4"/>
  <c r="A214" i="4"/>
  <c r="A246" i="4"/>
  <c r="A277" i="4"/>
  <c r="A308" i="4"/>
  <c r="A339" i="4"/>
  <c r="A370" i="4"/>
  <c r="A402" i="4"/>
  <c r="A432" i="4"/>
  <c r="A464" i="4"/>
  <c r="A496" i="4"/>
  <c r="A528" i="4"/>
  <c r="A560" i="4"/>
  <c r="A592" i="4"/>
  <c r="A621" i="4"/>
  <c r="A642" i="4"/>
  <c r="A656" i="4"/>
  <c r="A672" i="4"/>
  <c r="A687" i="4"/>
  <c r="A703" i="4"/>
  <c r="A719" i="4"/>
  <c r="A735" i="4"/>
  <c r="A751" i="4"/>
  <c r="A767" i="4"/>
  <c r="A783" i="4"/>
  <c r="A799" i="4"/>
  <c r="A813" i="4"/>
  <c r="A829" i="4"/>
  <c r="A845" i="4"/>
  <c r="A861" i="4"/>
  <c r="A877" i="4"/>
  <c r="A893" i="4"/>
  <c r="A908" i="4"/>
  <c r="A924" i="4"/>
  <c r="A940" i="4"/>
  <c r="A956" i="4"/>
  <c r="A972" i="4"/>
  <c r="A987" i="4"/>
  <c r="A1003" i="4"/>
  <c r="A1017" i="4"/>
  <c r="A1033" i="4"/>
  <c r="A1049" i="4"/>
  <c r="A1064" i="4"/>
  <c r="A1079" i="4"/>
  <c r="A1092" i="4"/>
  <c r="A1108" i="4"/>
  <c r="A1121" i="4"/>
  <c r="A1136" i="4"/>
  <c r="A1151" i="4"/>
  <c r="A1166" i="4"/>
  <c r="A1182" i="4"/>
  <c r="A1198" i="4"/>
  <c r="A1210" i="4"/>
  <c r="A1225" i="4"/>
  <c r="A1239" i="4"/>
  <c r="A1254" i="4"/>
  <c r="A102" i="4"/>
  <c r="A1279" i="4"/>
  <c r="A1293" i="4"/>
  <c r="A1307" i="4"/>
  <c r="A1322" i="4"/>
  <c r="A1337" i="4"/>
  <c r="A1352" i="4"/>
  <c r="A1360" i="4"/>
  <c r="A1368" i="4"/>
  <c r="A1376" i="4"/>
  <c r="A1384" i="4"/>
  <c r="A1392" i="4"/>
  <c r="A1400" i="4"/>
  <c r="A1407" i="4"/>
  <c r="A1412" i="4"/>
  <c r="A1462" i="4"/>
  <c r="A1419" i="4"/>
  <c r="A122" i="4"/>
  <c r="A1427" i="4"/>
  <c r="A1433" i="4"/>
  <c r="A19" i="4"/>
  <c r="A1440" i="4"/>
  <c r="A1446" i="4"/>
  <c r="A64" i="4"/>
  <c r="A18" i="4"/>
  <c r="A31" i="4"/>
  <c r="A44" i="4"/>
  <c r="A76" i="4"/>
  <c r="A40" i="4"/>
  <c r="A81" i="4"/>
  <c r="A59" i="4"/>
  <c r="G136" i="4"/>
  <c r="G144" i="4"/>
  <c r="G152" i="4"/>
  <c r="G160" i="4"/>
  <c r="G168" i="4"/>
  <c r="G176" i="4"/>
  <c r="G184" i="4"/>
  <c r="G192" i="4"/>
  <c r="G200" i="4"/>
  <c r="G207" i="4"/>
  <c r="G215" i="4"/>
  <c r="G223" i="4"/>
  <c r="G231" i="4"/>
  <c r="G239" i="4"/>
  <c r="G247" i="4"/>
  <c r="G255" i="4"/>
  <c r="G263" i="4"/>
  <c r="G270" i="4"/>
  <c r="G50" i="4"/>
  <c r="G285" i="4"/>
  <c r="G293" i="4"/>
  <c r="G301" i="4"/>
  <c r="G309" i="4"/>
  <c r="G316" i="4"/>
  <c r="G324" i="4"/>
  <c r="G332" i="4"/>
  <c r="G340" i="4"/>
  <c r="G347" i="4"/>
  <c r="G355" i="4"/>
  <c r="G363" i="4"/>
  <c r="G371" i="4"/>
  <c r="G379" i="4"/>
  <c r="G387" i="4"/>
  <c r="G395" i="4"/>
  <c r="G403" i="4"/>
  <c r="G411" i="4"/>
  <c r="G101" i="4"/>
  <c r="G426" i="4"/>
  <c r="G433" i="4"/>
  <c r="G441" i="4"/>
  <c r="G446" i="4"/>
  <c r="G452" i="4"/>
  <c r="G457" i="4"/>
  <c r="G462" i="4"/>
  <c r="G468" i="4"/>
  <c r="G473" i="4"/>
  <c r="G478" i="4"/>
  <c r="G484" i="4"/>
  <c r="G489" i="4"/>
  <c r="G494" i="4"/>
  <c r="G500" i="4"/>
  <c r="G505" i="4"/>
  <c r="G510" i="4"/>
  <c r="G514" i="4"/>
  <c r="G518" i="4"/>
  <c r="G522" i="4"/>
  <c r="G526" i="4"/>
  <c r="G530" i="4"/>
  <c r="G534" i="4"/>
  <c r="G538" i="4"/>
  <c r="G542" i="4"/>
  <c r="G546" i="4"/>
  <c r="G550" i="4"/>
  <c r="G554" i="4"/>
  <c r="G558" i="4"/>
  <c r="G562" i="4"/>
  <c r="G566" i="4"/>
  <c r="G570" i="4"/>
  <c r="G574" i="4"/>
  <c r="G578" i="4"/>
  <c r="G582" i="4"/>
  <c r="G586" i="4"/>
  <c r="G590" i="4"/>
  <c r="G594" i="4"/>
  <c r="G598" i="4"/>
  <c r="G602" i="4"/>
  <c r="G606" i="4"/>
  <c r="G610" i="4"/>
  <c r="G84" i="4"/>
  <c r="G615" i="4"/>
  <c r="G619" i="4"/>
  <c r="G622" i="4"/>
  <c r="G625" i="4"/>
  <c r="G629" i="4"/>
  <c r="G633" i="4"/>
  <c r="G637" i="4"/>
  <c r="G641" i="4"/>
  <c r="G645" i="4"/>
  <c r="G649" i="4"/>
  <c r="G38" i="4"/>
  <c r="G655" i="4"/>
  <c r="G659" i="4"/>
  <c r="G663" i="4"/>
  <c r="G667" i="4"/>
  <c r="G671" i="4"/>
  <c r="G675" i="4"/>
  <c r="G679" i="4"/>
  <c r="G682" i="4"/>
  <c r="G686" i="4"/>
  <c r="G690" i="4"/>
  <c r="G694" i="4"/>
  <c r="G698" i="4"/>
  <c r="G702" i="4"/>
  <c r="G706" i="4"/>
  <c r="G710" i="4"/>
  <c r="G714" i="4"/>
  <c r="G718" i="4"/>
  <c r="G722" i="4"/>
  <c r="G726" i="4"/>
  <c r="G730" i="4"/>
  <c r="G734" i="4"/>
  <c r="G738" i="4"/>
  <c r="G742" i="4"/>
  <c r="G746" i="4"/>
  <c r="G750" i="4"/>
  <c r="G754" i="4"/>
  <c r="G758" i="4"/>
  <c r="G762" i="4"/>
  <c r="G766" i="4"/>
  <c r="G770" i="4"/>
  <c r="G774" i="4"/>
  <c r="G778" i="4"/>
  <c r="G782" i="4"/>
  <c r="G786" i="4"/>
  <c r="G790" i="4"/>
  <c r="G794" i="4"/>
  <c r="G798" i="4"/>
  <c r="G802" i="4"/>
  <c r="G806" i="4"/>
  <c r="G110" i="4"/>
  <c r="G812" i="4"/>
  <c r="G816" i="4"/>
  <c r="G820" i="4"/>
  <c r="G824" i="4"/>
  <c r="G828" i="4"/>
  <c r="G832" i="4"/>
  <c r="G836" i="4"/>
  <c r="G840" i="4"/>
  <c r="G844" i="4"/>
  <c r="G848" i="4"/>
  <c r="G852" i="4"/>
  <c r="G856" i="4"/>
  <c r="G860" i="4"/>
  <c r="G864" i="4"/>
  <c r="G868" i="4"/>
  <c r="G872" i="4"/>
  <c r="G876" i="4"/>
  <c r="G880" i="4"/>
  <c r="G884" i="4"/>
  <c r="G888" i="4"/>
  <c r="G892" i="4"/>
  <c r="G895" i="4"/>
  <c r="G899" i="4"/>
  <c r="G903" i="4"/>
  <c r="G907" i="4"/>
  <c r="G911" i="4"/>
  <c r="G915" i="4"/>
  <c r="G919" i="4"/>
  <c r="G923" i="4"/>
  <c r="G927" i="4"/>
  <c r="G931" i="4"/>
  <c r="G935" i="4"/>
  <c r="G939" i="4"/>
  <c r="G943" i="4"/>
  <c r="G947" i="4"/>
  <c r="G951" i="4"/>
  <c r="G955" i="4"/>
  <c r="G959" i="4"/>
  <c r="G963" i="4"/>
  <c r="G967" i="4"/>
  <c r="G971" i="4"/>
  <c r="G975" i="4"/>
  <c r="G978" i="4"/>
  <c r="G982" i="4"/>
  <c r="G986" i="4"/>
  <c r="G990" i="4"/>
  <c r="G994" i="4"/>
  <c r="G998" i="4"/>
  <c r="G1002" i="4"/>
  <c r="G1005" i="4"/>
  <c r="G1009" i="4"/>
  <c r="G66" i="4"/>
  <c r="G1016" i="4"/>
  <c r="G1020" i="4"/>
  <c r="G1024" i="4"/>
  <c r="G1028" i="4"/>
  <c r="G1032" i="4"/>
  <c r="G1036" i="4"/>
  <c r="G1040" i="4"/>
  <c r="G1044" i="4"/>
  <c r="G1048" i="4"/>
  <c r="G1052" i="4"/>
  <c r="G1056" i="4"/>
  <c r="G1060" i="4"/>
  <c r="G1063" i="4"/>
  <c r="G1067" i="4"/>
  <c r="G51" i="4"/>
  <c r="G1074" i="4"/>
  <c r="G1078" i="4"/>
  <c r="G1081" i="4"/>
  <c r="G55" i="4"/>
  <c r="G1087" i="4"/>
  <c r="G1091" i="4"/>
  <c r="G1095" i="4"/>
  <c r="G1099" i="4"/>
  <c r="G1103" i="4"/>
  <c r="G1107" i="4"/>
  <c r="G1109" i="4"/>
  <c r="G1112" i="4"/>
  <c r="G1116" i="4"/>
  <c r="G1120" i="4"/>
  <c r="G1124" i="4"/>
  <c r="G1128" i="4"/>
  <c r="G1132" i="4"/>
  <c r="G1135" i="4"/>
  <c r="G1139" i="4"/>
  <c r="G1142" i="4"/>
  <c r="G1146" i="4"/>
  <c r="G1150" i="4"/>
  <c r="G1154" i="4"/>
  <c r="G1158" i="4"/>
  <c r="G1161" i="4"/>
  <c r="G1165" i="4"/>
  <c r="G1169" i="4"/>
  <c r="G1173" i="4"/>
  <c r="G1177" i="4"/>
  <c r="G1181" i="4"/>
  <c r="G1185" i="4"/>
  <c r="G1189" i="4"/>
  <c r="G1193" i="4"/>
  <c r="G1197" i="4"/>
  <c r="G1201" i="4"/>
  <c r="G39" i="4"/>
  <c r="G1205" i="4"/>
  <c r="G1209" i="4"/>
  <c r="G1213" i="4"/>
  <c r="G1217" i="4"/>
  <c r="G1221" i="4"/>
  <c r="G78" i="4"/>
  <c r="G1228" i="4"/>
  <c r="G1231" i="4"/>
  <c r="G1234" i="4"/>
  <c r="G1238" i="4"/>
  <c r="G1242" i="4"/>
  <c r="G1246" i="4"/>
  <c r="G1250" i="4"/>
  <c r="G1253" i="4"/>
  <c r="G1257" i="4"/>
  <c r="G45" i="4"/>
  <c r="G1262" i="4"/>
  <c r="G73" i="4"/>
  <c r="G1266" i="4"/>
  <c r="G1270" i="4"/>
  <c r="G1274" i="4"/>
  <c r="G1278" i="4"/>
  <c r="G1282" i="4"/>
  <c r="G1285" i="4"/>
  <c r="G1288" i="4"/>
  <c r="G1292" i="4"/>
  <c r="G1295" i="4"/>
  <c r="G1299" i="4"/>
  <c r="G1303" i="4"/>
  <c r="G117" i="4"/>
  <c r="G1310" i="4"/>
  <c r="G1314" i="4"/>
  <c r="G1317" i="4"/>
  <c r="G1321" i="4"/>
  <c r="G1325" i="4"/>
  <c r="G1329" i="4"/>
  <c r="G1333" i="4"/>
  <c r="G1336" i="4"/>
  <c r="G1339" i="4"/>
  <c r="G1343" i="4"/>
  <c r="G1347" i="4"/>
  <c r="G1351" i="4"/>
  <c r="G1459" i="4"/>
  <c r="G1357" i="4"/>
  <c r="G1361" i="4"/>
  <c r="G1365" i="4"/>
  <c r="G1369" i="4"/>
  <c r="G1373" i="4"/>
  <c r="G1377" i="4"/>
  <c r="G1381" i="4"/>
  <c r="G1385" i="4"/>
  <c r="G1389" i="4"/>
  <c r="G1393" i="4"/>
  <c r="G1397" i="4"/>
  <c r="G1401" i="4"/>
  <c r="G1404" i="4"/>
  <c r="G10" i="4"/>
  <c r="G1410" i="4"/>
  <c r="G133" i="4"/>
  <c r="G93" i="4"/>
  <c r="G16" i="4"/>
  <c r="G1418" i="4"/>
  <c r="G1420" i="4"/>
  <c r="G126" i="4"/>
  <c r="G103" i="4"/>
  <c r="G1425" i="4"/>
  <c r="G1428" i="4"/>
  <c r="G1432" i="4"/>
  <c r="G1434" i="4"/>
  <c r="G70" i="4"/>
  <c r="G1470" i="4"/>
  <c r="G1438" i="4"/>
  <c r="G1441" i="4"/>
  <c r="G1444" i="4"/>
  <c r="G23" i="4"/>
  <c r="G116" i="4"/>
  <c r="G25" i="4"/>
  <c r="G46" i="4"/>
  <c r="G71" i="4"/>
  <c r="G113" i="4"/>
  <c r="G42" i="4"/>
  <c r="G1452" i="4"/>
  <c r="G1453" i="4"/>
  <c r="G1455" i="4"/>
  <c r="G85" i="4"/>
  <c r="G79" i="4"/>
  <c r="G96" i="4"/>
  <c r="G87" i="4"/>
  <c r="G100" i="4"/>
  <c r="G1467" i="4"/>
  <c r="G1471" i="4"/>
  <c r="G1475" i="4"/>
  <c r="A166" i="4"/>
  <c r="A261" i="4"/>
  <c r="A322" i="4"/>
  <c r="A353" i="4"/>
  <c r="A417" i="4"/>
  <c r="A479" i="4"/>
  <c r="A543" i="4"/>
  <c r="A607" i="4"/>
  <c r="A649" i="4"/>
  <c r="A679" i="4"/>
  <c r="A710" i="4"/>
  <c r="A742" i="4"/>
  <c r="A774" i="4"/>
  <c r="A806" i="4"/>
  <c r="A836" i="4"/>
  <c r="A852" i="4"/>
  <c r="A884" i="4"/>
  <c r="A915" i="4"/>
  <c r="A947" i="4"/>
  <c r="A978" i="4"/>
  <c r="A1009" i="4"/>
  <c r="A1040" i="4"/>
  <c r="A51" i="4"/>
  <c r="A1099" i="4"/>
  <c r="A1128" i="4"/>
  <c r="A1158" i="4"/>
  <c r="A1189" i="4"/>
  <c r="A1217" i="4"/>
  <c r="A1246" i="4"/>
  <c r="A1270" i="4"/>
  <c r="A1299" i="4"/>
  <c r="A1329" i="4"/>
  <c r="A1355" i="4"/>
  <c r="A1371" i="4"/>
  <c r="A1387" i="4"/>
  <c r="A130" i="4"/>
  <c r="A1413" i="4"/>
  <c r="A63" i="4"/>
  <c r="A1430" i="4"/>
  <c r="A1437" i="4"/>
  <c r="A1448" i="4"/>
  <c r="A57" i="4"/>
  <c r="A69" i="4"/>
  <c r="A65" i="4"/>
  <c r="A1473" i="4"/>
  <c r="G147" i="4"/>
  <c r="G163" i="4"/>
  <c r="G179" i="4"/>
  <c r="G195" i="4"/>
  <c r="G210" i="4"/>
  <c r="G226" i="4"/>
  <c r="G242" i="4"/>
  <c r="G258" i="4"/>
  <c r="G273" i="4"/>
  <c r="G288" i="4"/>
  <c r="G304" i="4"/>
  <c r="G319" i="4"/>
  <c r="G335" i="4"/>
  <c r="G358" i="4"/>
  <c r="G374" i="4"/>
  <c r="G390" i="4"/>
  <c r="G406" i="4"/>
  <c r="G421" i="4"/>
  <c r="G436" i="4"/>
  <c r="G448" i="4"/>
  <c r="G453" i="4"/>
  <c r="G464" i="4"/>
  <c r="G474" i="4"/>
  <c r="G485" i="4"/>
  <c r="G496" i="4"/>
  <c r="G506" i="4"/>
  <c r="G519" i="4"/>
  <c r="G527" i="4"/>
  <c r="G535" i="4"/>
  <c r="G539" i="4"/>
  <c r="G547" i="4"/>
  <c r="G555" i="4"/>
  <c r="G563" i="4"/>
  <c r="G571" i="4"/>
  <c r="G579" i="4"/>
  <c r="G587" i="4"/>
  <c r="G595" i="4"/>
  <c r="G603" i="4"/>
  <c r="G611" i="4"/>
  <c r="G616" i="4"/>
  <c r="G623" i="4"/>
  <c r="G634" i="4"/>
  <c r="G642" i="4"/>
  <c r="G650" i="4"/>
  <c r="G656" i="4"/>
  <c r="G664" i="4"/>
  <c r="G672" i="4"/>
  <c r="G680" i="4"/>
  <c r="G687" i="4"/>
  <c r="G695" i="4"/>
  <c r="G703" i="4"/>
  <c r="G711" i="4"/>
  <c r="G719" i="4"/>
  <c r="A167" i="4"/>
  <c r="A292" i="4"/>
  <c r="A418" i="4"/>
  <c r="A544" i="4"/>
  <c r="A650" i="4"/>
  <c r="A711" i="4"/>
  <c r="A775" i="4"/>
  <c r="A837" i="4"/>
  <c r="A900" i="4"/>
  <c r="A964" i="4"/>
  <c r="A1025" i="4"/>
  <c r="A1084" i="4"/>
  <c r="A1143" i="4"/>
  <c r="A29" i="4"/>
  <c r="A49" i="4"/>
  <c r="A1315" i="4"/>
  <c r="A1364" i="4"/>
  <c r="A1396" i="4"/>
  <c r="A1417" i="4"/>
  <c r="A17" i="4"/>
  <c r="A47" i="4"/>
  <c r="A1457" i="4"/>
  <c r="G140" i="4"/>
  <c r="G172" i="4"/>
  <c r="G204" i="4"/>
  <c r="G235" i="4"/>
  <c r="G75" i="4"/>
  <c r="G297" i="4"/>
  <c r="G328" i="4"/>
  <c r="G359" i="4"/>
  <c r="G391" i="4"/>
  <c r="G422" i="4"/>
  <c r="G449" i="4"/>
  <c r="G470" i="4"/>
  <c r="G492" i="4"/>
  <c r="G512" i="4"/>
  <c r="G528" i="4"/>
  <c r="G544" i="4"/>
  <c r="G560" i="4"/>
  <c r="G576" i="4"/>
  <c r="G592" i="4"/>
  <c r="G608" i="4"/>
  <c r="G621" i="4"/>
  <c r="G635" i="4"/>
  <c r="G651" i="4"/>
  <c r="G665" i="4"/>
  <c r="G107" i="4"/>
  <c r="G696" i="4"/>
  <c r="G712" i="4"/>
  <c r="G727" i="4"/>
  <c r="G735" i="4"/>
  <c r="G743" i="4"/>
  <c r="G751" i="4"/>
  <c r="G759" i="4"/>
  <c r="G767" i="4"/>
  <c r="G775" i="4"/>
  <c r="G783" i="4"/>
  <c r="G791" i="4"/>
  <c r="G799" i="4"/>
  <c r="G807" i="4"/>
  <c r="G813" i="4"/>
  <c r="G821" i="4"/>
  <c r="G829" i="4"/>
  <c r="G837" i="4"/>
  <c r="G845" i="4"/>
  <c r="G853" i="4"/>
  <c r="G861" i="4"/>
  <c r="G869" i="4"/>
  <c r="G877" i="4"/>
  <c r="G885" i="4"/>
  <c r="G893" i="4"/>
  <c r="G900" i="4"/>
  <c r="G908" i="4"/>
  <c r="G916" i="4"/>
  <c r="G924" i="4"/>
  <c r="G932" i="4"/>
  <c r="G940" i="4"/>
  <c r="G948" i="4"/>
  <c r="G956" i="4"/>
  <c r="G964" i="4"/>
  <c r="G972" i="4"/>
  <c r="G979" i="4"/>
  <c r="G987" i="4"/>
  <c r="G995" i="4"/>
  <c r="G1003" i="4"/>
  <c r="G1010" i="4"/>
  <c r="G1017" i="4"/>
  <c r="G1025" i="4"/>
  <c r="G1033" i="4"/>
  <c r="G1041" i="4"/>
  <c r="G1049" i="4"/>
  <c r="G1057" i="4"/>
  <c r="G1064" i="4"/>
  <c r="G1071" i="4"/>
  <c r="G1079" i="4"/>
  <c r="G1084" i="4"/>
  <c r="G1092" i="4"/>
  <c r="G1100" i="4"/>
  <c r="G1108" i="4"/>
  <c r="G1113" i="4"/>
  <c r="G1121" i="4"/>
  <c r="G1129" i="4"/>
  <c r="G1136" i="4"/>
  <c r="G1143" i="4"/>
  <c r="G1151" i="4"/>
  <c r="G1159" i="4"/>
  <c r="G1166" i="4"/>
  <c r="G1174" i="4"/>
  <c r="G1182" i="4"/>
  <c r="G1190" i="4"/>
  <c r="G1198" i="4"/>
  <c r="G29" i="4"/>
  <c r="G1210" i="4"/>
  <c r="G1218" i="4"/>
  <c r="G1225" i="4"/>
  <c r="G1456" i="4"/>
  <c r="G1239" i="4"/>
  <c r="G1247" i="4"/>
  <c r="G1254" i="4"/>
  <c r="G49" i="4"/>
  <c r="G102" i="4"/>
  <c r="G1271" i="4"/>
  <c r="G1279" i="4"/>
  <c r="G30" i="4"/>
  <c r="G1293" i="4"/>
  <c r="G1300" i="4"/>
  <c r="G1307" i="4"/>
  <c r="G1315" i="4"/>
  <c r="G1322" i="4"/>
  <c r="G1330" i="4"/>
  <c r="G1337" i="4"/>
  <c r="G1344" i="4"/>
  <c r="G1352" i="4"/>
  <c r="G1358" i="4"/>
  <c r="G1366" i="4"/>
  <c r="G1374" i="4"/>
  <c r="G1382" i="4"/>
  <c r="G1390" i="4"/>
  <c r="G1398" i="4"/>
  <c r="G1405" i="4"/>
  <c r="G14" i="4"/>
  <c r="G1415" i="4"/>
  <c r="G68" i="4"/>
  <c r="G128" i="4"/>
  <c r="G1426" i="4"/>
  <c r="G1463" i="4"/>
  <c r="G1435" i="4"/>
  <c r="G1439" i="4"/>
  <c r="G1445" i="4"/>
  <c r="G20" i="4"/>
  <c r="G54" i="4"/>
  <c r="G115" i="4"/>
  <c r="G58" i="4"/>
  <c r="G120" i="4"/>
  <c r="G98" i="4"/>
  <c r="G118" i="4"/>
  <c r="G1468" i="4"/>
  <c r="G1476" i="4"/>
  <c r="A230" i="4"/>
  <c r="A1344" i="4"/>
  <c r="A1424" i="4"/>
  <c r="A27" i="4"/>
  <c r="G188" i="4"/>
  <c r="G251" i="4"/>
  <c r="G6" i="4"/>
  <c r="G375" i="4"/>
  <c r="G437" i="4"/>
  <c r="G481" i="4"/>
  <c r="G520" i="4"/>
  <c r="G552" i="4"/>
  <c r="G584" i="4"/>
  <c r="G88" i="4"/>
  <c r="G627" i="4"/>
  <c r="G657" i="4"/>
  <c r="G688" i="4"/>
  <c r="G720" i="4"/>
  <c r="G739" i="4"/>
  <c r="G763" i="4"/>
  <c r="G779" i="4"/>
  <c r="G795" i="4"/>
  <c r="G32" i="4"/>
  <c r="G825" i="4"/>
  <c r="G841" i="4"/>
  <c r="G857" i="4"/>
  <c r="G873" i="4"/>
  <c r="G889" i="4"/>
  <c r="G904" i="4"/>
  <c r="G920" i="4"/>
  <c r="G936" i="4"/>
  <c r="G952" i="4"/>
  <c r="G968" i="4"/>
  <c r="G983" i="4"/>
  <c r="G999" i="4"/>
  <c r="G1013" i="4"/>
  <c r="G1029" i="4"/>
  <c r="G1045" i="4"/>
  <c r="G1061" i="4"/>
  <c r="G1068" i="4"/>
  <c r="G1082" i="4"/>
  <c r="G1104" i="4"/>
  <c r="G1117" i="4"/>
  <c r="G1133" i="4"/>
  <c r="G1147" i="4"/>
  <c r="G1162" i="4"/>
  <c r="G1178" i="4"/>
  <c r="G1186" i="4"/>
  <c r="G1202" i="4"/>
  <c r="G1214" i="4"/>
  <c r="G1229" i="4"/>
  <c r="G1243" i="4"/>
  <c r="G1258" i="4"/>
  <c r="G1263" i="4"/>
  <c r="G1275" i="4"/>
  <c r="G1289" i="4"/>
  <c r="G1304" i="4"/>
  <c r="G1318" i="4"/>
  <c r="G1334" i="4"/>
  <c r="G1348" i="4"/>
  <c r="G1460" i="4"/>
  <c r="G1370" i="4"/>
  <c r="G1386" i="4"/>
  <c r="G1408" i="4"/>
  <c r="G94" i="4"/>
  <c r="G21" i="4"/>
  <c r="G1465" i="4"/>
  <c r="G80" i="4"/>
  <c r="G1450" i="4"/>
  <c r="G22" i="4"/>
  <c r="G72" i="4"/>
  <c r="G1472" i="4"/>
  <c r="A262" i="4"/>
  <c r="A634" i="4"/>
  <c r="A759" i="4"/>
  <c r="A885" i="4"/>
  <c r="A1071" i="4"/>
  <c r="A1129" i="4"/>
  <c r="A1247" i="4"/>
  <c r="A1356" i="4"/>
  <c r="A1414" i="4"/>
  <c r="A1449" i="4"/>
  <c r="A1474" i="4"/>
  <c r="G196" i="4"/>
  <c r="G259" i="4"/>
  <c r="G320" i="4"/>
  <c r="G383" i="4"/>
  <c r="G415" i="4"/>
  <c r="G465" i="4"/>
  <c r="G524" i="4"/>
  <c r="G556" i="4"/>
  <c r="G588" i="4"/>
  <c r="G617" i="4"/>
  <c r="G647" i="4"/>
  <c r="G661" i="4"/>
  <c r="G692" i="4"/>
  <c r="G732" i="4"/>
  <c r="G748" i="4"/>
  <c r="G764" i="4"/>
  <c r="G780" i="4"/>
  <c r="G796" i="4"/>
  <c r="G810" i="4"/>
  <c r="G826" i="4"/>
  <c r="G842" i="4"/>
  <c r="G858" i="4"/>
  <c r="G874" i="4"/>
  <c r="G890" i="4"/>
  <c r="G905" i="4"/>
  <c r="G921" i="4"/>
  <c r="G937" i="4"/>
  <c r="G953" i="4"/>
  <c r="G961" i="4"/>
  <c r="G111" i="4"/>
  <c r="G992" i="4"/>
  <c r="G1007" i="4"/>
  <c r="G1030" i="4"/>
  <c r="G1046" i="4"/>
  <c r="G1062" i="4"/>
  <c r="G1069" i="4"/>
  <c r="G1083" i="4"/>
  <c r="G1097" i="4"/>
  <c r="G1110" i="4"/>
  <c r="G26" i="4"/>
  <c r="G1148" i="4"/>
  <c r="G1163" i="4"/>
  <c r="G1179" i="4"/>
  <c r="G1195" i="4"/>
  <c r="G1207" i="4"/>
  <c r="G1223" i="4"/>
  <c r="G1236" i="4"/>
  <c r="G129" i="4"/>
  <c r="G1264" i="4"/>
  <c r="G1276" i="4"/>
  <c r="G1290" i="4"/>
  <c r="G1305" i="4"/>
  <c r="G1319" i="4"/>
  <c r="G1335" i="4"/>
  <c r="G1349" i="4"/>
  <c r="G1363" i="4"/>
  <c r="G1387" i="4"/>
  <c r="G130" i="4"/>
  <c r="G1413" i="4"/>
  <c r="G63" i="4"/>
  <c r="G1430" i="4"/>
  <c r="G1437" i="4"/>
  <c r="G1448" i="4"/>
  <c r="G57" i="4"/>
  <c r="G69" i="4"/>
  <c r="G65" i="4"/>
  <c r="G1473" i="4"/>
  <c r="A199" i="4"/>
  <c r="A323" i="4"/>
  <c r="A448" i="4"/>
  <c r="A576" i="4"/>
  <c r="A664" i="4"/>
  <c r="A727" i="4"/>
  <c r="A791" i="4"/>
  <c r="A853" i="4"/>
  <c r="A916" i="4"/>
  <c r="A979" i="4"/>
  <c r="A1041" i="4"/>
  <c r="A1100" i="4"/>
  <c r="A1159" i="4"/>
  <c r="A1218" i="4"/>
  <c r="A1271" i="4"/>
  <c r="A1330" i="4"/>
  <c r="A1372" i="4"/>
  <c r="A1403" i="4"/>
  <c r="A1422" i="4"/>
  <c r="A134" i="4"/>
  <c r="A24" i="4"/>
  <c r="A99" i="4"/>
  <c r="G148" i="4"/>
  <c r="G180" i="4"/>
  <c r="G211" i="4"/>
  <c r="G243" i="4"/>
  <c r="G274" i="4"/>
  <c r="G305" i="4"/>
  <c r="G336" i="4"/>
  <c r="G367" i="4"/>
  <c r="G399" i="4"/>
  <c r="G429" i="4"/>
  <c r="G454" i="4"/>
  <c r="G476" i="4"/>
  <c r="G497" i="4"/>
  <c r="G516" i="4"/>
  <c r="G532" i="4"/>
  <c r="G548" i="4"/>
  <c r="G564" i="4"/>
  <c r="G580" i="4"/>
  <c r="G596" i="4"/>
  <c r="G612" i="4"/>
  <c r="G95" i="4"/>
  <c r="G639" i="4"/>
  <c r="G653" i="4"/>
  <c r="G669" i="4"/>
  <c r="G684" i="4"/>
  <c r="G700" i="4"/>
  <c r="G716" i="4"/>
  <c r="G728" i="4"/>
  <c r="G736" i="4"/>
  <c r="G744" i="4"/>
  <c r="G752" i="4"/>
  <c r="G760" i="4"/>
  <c r="G768" i="4"/>
  <c r="G776" i="4"/>
  <c r="G784" i="4"/>
  <c r="G792" i="4"/>
  <c r="G800" i="4"/>
  <c r="G808" i="4"/>
  <c r="G814" i="4"/>
  <c r="G822" i="4"/>
  <c r="G830" i="4"/>
  <c r="G838" i="4"/>
  <c r="G846" i="4"/>
  <c r="G854" i="4"/>
  <c r="G862" i="4"/>
  <c r="G870" i="4"/>
  <c r="G878" i="4"/>
  <c r="G886" i="4"/>
  <c r="G7" i="4"/>
  <c r="G901" i="4"/>
  <c r="G909" i="4"/>
  <c r="G917" i="4"/>
  <c r="G925" i="4"/>
  <c r="G933" i="4"/>
  <c r="G941" i="4"/>
  <c r="G949" i="4"/>
  <c r="G957" i="4"/>
  <c r="G965" i="4"/>
  <c r="G973" i="4"/>
  <c r="G980" i="4"/>
  <c r="G988" i="4"/>
  <c r="G996" i="4"/>
  <c r="G77" i="4"/>
  <c r="G1011" i="4"/>
  <c r="G1018" i="4"/>
  <c r="G1026" i="4"/>
  <c r="G1034" i="4"/>
  <c r="G1042" i="4"/>
  <c r="G1050" i="4"/>
  <c r="G1058" i="4"/>
  <c r="G1065" i="4"/>
  <c r="G1072" i="4"/>
  <c r="G1080" i="4"/>
  <c r="G1085" i="4"/>
  <c r="G1093" i="4"/>
  <c r="G1101" i="4"/>
  <c r="G37" i="4"/>
  <c r="G1114" i="4"/>
  <c r="G1122" i="4"/>
  <c r="G1130" i="4"/>
  <c r="G1137" i="4"/>
  <c r="G1144" i="4"/>
  <c r="G1152" i="4"/>
  <c r="G61" i="4"/>
  <c r="G1167" i="4"/>
  <c r="G1175" i="4"/>
  <c r="G1183" i="4"/>
  <c r="G1191" i="4"/>
  <c r="G1199" i="4"/>
  <c r="G41" i="4"/>
  <c r="G1211" i="4"/>
  <c r="G1219" i="4"/>
  <c r="G1226" i="4"/>
  <c r="G1232" i="4"/>
  <c r="G1240" i="4"/>
  <c r="G1248" i="4"/>
  <c r="G1255" i="4"/>
  <c r="G1260" i="4"/>
  <c r="G112" i="4"/>
  <c r="G1272" i="4"/>
  <c r="G1280" i="4"/>
  <c r="G1286" i="4"/>
  <c r="G35" i="4"/>
  <c r="G1301" i="4"/>
  <c r="G1308" i="4"/>
  <c r="G33" i="4"/>
  <c r="G1323" i="4"/>
  <c r="G1331" i="4"/>
  <c r="G123" i="4"/>
  <c r="G1345" i="4"/>
  <c r="G1353" i="4"/>
  <c r="G1359" i="4"/>
  <c r="G1367" i="4"/>
  <c r="G1375" i="4"/>
  <c r="G1383" i="4"/>
  <c r="G1391" i="4"/>
  <c r="G1399" i="4"/>
  <c r="G1406" i="4"/>
  <c r="G1411" i="4"/>
  <c r="G53" i="4"/>
  <c r="G36" i="4"/>
  <c r="G124" i="4"/>
  <c r="G105" i="4"/>
  <c r="G82" i="4"/>
  <c r="G1436" i="4"/>
  <c r="G43" i="4"/>
  <c r="G109" i="4"/>
  <c r="G74" i="4"/>
  <c r="G108" i="4"/>
  <c r="G1451" i="4"/>
  <c r="G90" i="4"/>
  <c r="G83" i="4"/>
  <c r="G89" i="4"/>
  <c r="G104" i="4"/>
  <c r="G1469" i="4"/>
  <c r="G1477" i="4"/>
  <c r="A354" i="4"/>
  <c r="A480" i="4"/>
  <c r="A608" i="4"/>
  <c r="A680" i="4"/>
  <c r="A743" i="4"/>
  <c r="A807" i="4"/>
  <c r="A869" i="4"/>
  <c r="A932" i="4"/>
  <c r="A995" i="4"/>
  <c r="A1057" i="4"/>
  <c r="A1113" i="4"/>
  <c r="A1174" i="4"/>
  <c r="A1456" i="4"/>
  <c r="A30" i="4"/>
  <c r="A1380" i="4"/>
  <c r="A1461" i="4"/>
  <c r="A1443" i="4"/>
  <c r="A1466" i="4"/>
  <c r="G156" i="4"/>
  <c r="G219" i="4"/>
  <c r="G281" i="4"/>
  <c r="G343" i="4"/>
  <c r="G407" i="4"/>
  <c r="G460" i="4"/>
  <c r="G502" i="4"/>
  <c r="G536" i="4"/>
  <c r="G568" i="4"/>
  <c r="G600" i="4"/>
  <c r="G643" i="4"/>
  <c r="G673" i="4"/>
  <c r="G704" i="4"/>
  <c r="G731" i="4"/>
  <c r="G747" i="4"/>
  <c r="G755" i="4"/>
  <c r="G771" i="4"/>
  <c r="G787" i="4"/>
  <c r="G803" i="4"/>
  <c r="G817" i="4"/>
  <c r="G833" i="4"/>
  <c r="G849" i="4"/>
  <c r="G865" i="4"/>
  <c r="G881" i="4"/>
  <c r="G896" i="4"/>
  <c r="G912" i="4"/>
  <c r="G928" i="4"/>
  <c r="G944" i="4"/>
  <c r="G960" i="4"/>
  <c r="G976" i="4"/>
  <c r="G991" i="4"/>
  <c r="G1006" i="4"/>
  <c r="G1021" i="4"/>
  <c r="G1037" i="4"/>
  <c r="G1053" i="4"/>
  <c r="G1075" i="4"/>
  <c r="G1088" i="4"/>
  <c r="G1096" i="4"/>
  <c r="G97" i="4"/>
  <c r="G1125" i="4"/>
  <c r="G114" i="4"/>
  <c r="G1155" i="4"/>
  <c r="G1170" i="4"/>
  <c r="G1194" i="4"/>
  <c r="G1206" i="4"/>
  <c r="G1222" i="4"/>
  <c r="G1235" i="4"/>
  <c r="G1251" i="4"/>
  <c r="G1267" i="4"/>
  <c r="G1283" i="4"/>
  <c r="G1296" i="4"/>
  <c r="G1311" i="4"/>
  <c r="G1326" i="4"/>
  <c r="G1340" i="4"/>
  <c r="G1362" i="4"/>
  <c r="G1378" i="4"/>
  <c r="G1394" i="4"/>
  <c r="G1402" i="4"/>
  <c r="G131" i="4"/>
  <c r="G1421" i="4"/>
  <c r="G1429" i="4"/>
  <c r="G12" i="4"/>
  <c r="G1447" i="4"/>
  <c r="G132" i="4"/>
  <c r="G13" i="4"/>
  <c r="G56" i="4"/>
  <c r="G1464" i="4"/>
  <c r="A386" i="4"/>
  <c r="A512" i="4"/>
  <c r="A695" i="4"/>
  <c r="A821" i="4"/>
  <c r="A948" i="4"/>
  <c r="A1010" i="4"/>
  <c r="A1190" i="4"/>
  <c r="A1300" i="4"/>
  <c r="A1388" i="4"/>
  <c r="A1431" i="4"/>
  <c r="A1454" i="4"/>
  <c r="G164" i="4"/>
  <c r="G227" i="4"/>
  <c r="G289" i="4"/>
  <c r="G351" i="4"/>
  <c r="G444" i="4"/>
  <c r="G486" i="4"/>
  <c r="G508" i="4"/>
  <c r="G540" i="4"/>
  <c r="G572" i="4"/>
  <c r="G604" i="4"/>
  <c r="G631" i="4"/>
  <c r="G677" i="4"/>
  <c r="G708" i="4"/>
  <c r="G724" i="4"/>
  <c r="G740" i="4"/>
  <c r="G756" i="4"/>
  <c r="G772" i="4"/>
  <c r="G788" i="4"/>
  <c r="G804" i="4"/>
  <c r="G818" i="4"/>
  <c r="G834" i="4"/>
  <c r="G850" i="4"/>
  <c r="G866" i="4"/>
  <c r="G882" i="4"/>
  <c r="G897" i="4"/>
  <c r="G913" i="4"/>
  <c r="G929" i="4"/>
  <c r="G945" i="4"/>
  <c r="G969" i="4"/>
  <c r="G984" i="4"/>
  <c r="G1000" i="4"/>
  <c r="G1014" i="4"/>
  <c r="G1022" i="4"/>
  <c r="G1038" i="4"/>
  <c r="G1054" i="4"/>
  <c r="G1076" i="4"/>
  <c r="G1089" i="4"/>
  <c r="G1105" i="4"/>
  <c r="G1118" i="4"/>
  <c r="G1126" i="4"/>
  <c r="G1140" i="4"/>
  <c r="G1156" i="4"/>
  <c r="G1171" i="4"/>
  <c r="G1187" i="4"/>
  <c r="G1203" i="4"/>
  <c r="G1215" i="4"/>
  <c r="G135" i="4"/>
  <c r="G1244" i="4"/>
  <c r="G1458" i="4"/>
  <c r="G1268" i="4"/>
  <c r="G1284" i="4"/>
  <c r="G1297" i="4"/>
  <c r="G1312" i="4"/>
  <c r="G1327" i="4"/>
  <c r="G1341" i="4"/>
  <c r="G1355" i="4"/>
  <c r="G1371" i="4"/>
  <c r="G1379" i="4"/>
  <c r="G1395" i="4"/>
  <c r="G1409" i="4"/>
  <c r="G1416" i="4"/>
  <c r="G1423" i="4"/>
  <c r="G11" i="4"/>
  <c r="G1442" i="4"/>
  <c r="G86" i="4"/>
  <c r="G48" i="4"/>
  <c r="G52" i="4"/>
  <c r="G60"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<sst xmlns="http://schemas.openxmlformats.org/spreadsheetml/2006/main" count="22362" uniqueCount="3999">
  <si>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</si>
  <si>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</si>
  <si>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</si>
  <si>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</si>
  <si>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</si>
  <si>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</si>
  <si>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</si>
  <si>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</si>
  <si>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</si>
  <si>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</si>
  <si>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</si>
  <si>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</si>
  <si>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</si>
  <si>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</si>
  <si>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</si>
  <si>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</si>
  <si>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</si>
  <si>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</si>
  <si>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</si>
  <si>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</si>
  <si>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</si>
  <si>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</si>
  <si>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</si>
  <si>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</si>
  <si>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</si>
  <si>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</si>
  <si>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</si>
  <si>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</si>
  <si>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</si>
  <si>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</si>
  <si>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</si>
  <si>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</si>
  <si>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</si>
  <si>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</si>
  <si>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</si>
  <si>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</si>
  <si>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</si>
  <si>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</si>
  <si>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</si>
  <si>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</si>
  <si>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</si>
  <si>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</si>
  <si>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</si>
  <si>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</si>
  <si>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</si>
  <si>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</si>
  <si>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</si>
  <si>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</si>
  <si>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</si>
  <si>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</si>
  <si>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</si>
  <si>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</si>
  <si>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</si>
  <si>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</si>
  <si>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</si>
  <si>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</si>
  <si>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</si>
  <si>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</si>
  <si>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</si>
  <si>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</si>
  <si>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</si>
  <si>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</si>
  <si>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</si>
  <si>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</si>
  <si>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</si>
  <si>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</si>
  <si>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</si>
  <si>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</si>
  <si>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</si>
  <si>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</si>
  <si>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</si>
  <si>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</si>
  <si>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</si>
  <si>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</si>
  <si>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</si>
  <si>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</si>
  <si>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</si>
  <si>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</si>
  <si>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</si>
  <si>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</si>
  <si>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</si>
  <si>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</si>
  <si>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</si>
  <si>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</si>
  <si>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</si>
  <si>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</si>
  <si>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</si>
  <si>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</si>
  <si>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</si>
  <si>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</si>
  <si>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</si>
  <si>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</si>
  <si>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</si>
  <si>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</si>
  <si>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</si>
  <si>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</si>
  <si>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</si>
  <si>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</si>
  <si>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</si>
  <si>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</si>
  <si>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</si>
  <si>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</si>
  <si>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</si>
  <si>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</si>
  <si>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</si>
  <si>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</si>
  <si>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</si>
  <si>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</si>
  <si>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</si>
  <si>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</si>
  <si>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</si>
  <si>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</si>
  <si>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</si>
  <si>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</si>
  <si>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</si>
  <si>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</si>
  <si>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</si>
  <si>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</si>
  <si>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</si>
  <si>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</si>
  <si>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</si>
  <si>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</si>
  <si>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</si>
  <si>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</si>
  <si>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</si>
  <si>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</si>
  <si>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</si>
  <si>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</si>
  <si>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</si>
  <si>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</si>
  <si>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</si>
  <si>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</si>
  <si>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</si>
  <si>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</si>
  <si>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</si>
  <si>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</si>
  <si>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</si>
  <si>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</si>
  <si>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</si>
  <si>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</si>
  <si>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</si>
  <si>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</si>
  <si>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</si>
  <si>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</si>
  <si>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</si>
  <si>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</si>
  <si>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</si>
  <si>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</si>
  <si>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</si>
  <si>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</si>
  <si>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</si>
  <si>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</si>
  <si>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</si>
  <si>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</si>
  <si>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</si>
  <si>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</si>
  <si>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</si>
  <si>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</si>
  <si>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</si>
  <si>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</si>
  <si>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</si>
  <si>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</si>
  <si>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</si>
  <si>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</si>
  <si>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</si>
  <si>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</si>
  <si>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</si>
  <si>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</si>
  <si>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</si>
  <si>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</si>
  <si>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</si>
  <si>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</si>
  <si>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</si>
  <si>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</si>
  <si>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</si>
  <si>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</si>
  <si>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</si>
  <si>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</si>
  <si>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</si>
  <si>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</si>
  <si>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</si>
  <si>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</si>
  <si>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</si>
  <si>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</si>
  <si>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</si>
  <si>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</si>
  <si>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</si>
  <si>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</si>
  <si>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</si>
  <si>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</si>
  <si>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</si>
  <si>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</si>
  <si>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</si>
  <si>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</si>
  <si>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</si>
  <si>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</si>
  <si>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</si>
  <si>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</si>
  <si>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</si>
  <si>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</si>
  <si>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</si>
  <si>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</si>
  <si>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</si>
  <si>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</si>
  <si>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</si>
  <si>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</si>
  <si>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</si>
  <si>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</si>
  <si>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</si>
  <si>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</si>
  <si>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</si>
  <si>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</si>
  <si>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</si>
  <si>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</si>
  <si>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</si>
  <si>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</si>
  <si>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</si>
  <si>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</si>
  <si>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</si>
  <si>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</si>
  <si>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</si>
  <si>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</si>
  <si>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</si>
  <si>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</si>
  <si>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</si>
  <si>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</si>
  <si>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</si>
  <si>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</si>
  <si>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</si>
  <si>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</si>
  <si>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</si>
  <si>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</si>
  <si>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</si>
  <si>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</si>
  <si>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</si>
  <si>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</si>
  <si>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</si>
  <si>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</si>
  <si>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</si>
  <si>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</si>
  <si>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</si>
  <si>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</si>
  <si>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</si>
  <si>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</si>
  <si>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</si>
  <si>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</si>
  <si>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</si>
  <si>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</si>
  <si>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</si>
  <si>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</si>
  <si>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</si>
  <si>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</si>
  <si>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</si>
  <si>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</si>
  <si>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</si>
  <si>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</si>
  <si>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</si>
  <si>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</si>
  <si>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</si>
  <si>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</si>
  <si>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</si>
  <si>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</si>
  <si>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</si>
  <si>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</si>
  <si>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</si>
  <si>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</si>
  <si>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</si>
  <si>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</si>
  <si>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</si>
  <si>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</si>
  <si>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</si>
  <si>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</si>
  <si>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</si>
  <si>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</si>
  <si>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</si>
  <si>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</si>
  <si>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</si>
  <si>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</si>
  <si>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</si>
  <si>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</si>
  <si>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</si>
  <si>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</si>
  <si>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</si>
  <si>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</si>
  <si>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</si>
  <si>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</si>
  <si>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</si>
  <si>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</si>
  <si>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</si>
  <si>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</si>
  <si>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</si>
  <si>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</si>
  <si>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</si>
  <si>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</si>
  <si>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</si>
  <si>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</si>
  <si>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</si>
  <si>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</si>
  <si>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</si>
  <si>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</si>
  <si>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</si>
  <si>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</si>
  <si>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</si>
  <si>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</si>
  <si>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</si>
  <si>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</si>
  <si>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</si>
  <si>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</si>
  <si>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</si>
  <si>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</si>
  <si>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</si>
  <si>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</si>
  <si>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</si>
  <si>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</si>
  <si>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</si>
  <si>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</si>
  <si>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</si>
  <si>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</si>
  <si>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</si>
  <si>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</si>
  <si>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</si>
  <si>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</si>
  <si>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</si>
  <si>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</si>
  <si>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</si>
  <si>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</si>
  <si>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</si>
  <si>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</si>
  <si>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</si>
  <si>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</si>
  <si>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</si>
  <si>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</si>
  <si>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</si>
  <si>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</si>
  <si>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</si>
  <si>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</si>
  <si>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</si>
  <si>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</si>
  <si>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</si>
  <si>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</si>
  <si>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</si>
  <si>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</si>
  <si>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</si>
  <si>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</si>
  <si>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</si>
  <si>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</si>
  <si>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</si>
  <si>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</si>
  <si>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</si>
  <si>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</si>
  <si>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</si>
  <si>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</si>
  <si>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</si>
  <si>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</si>
  <si>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</si>
  <si>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</si>
  <si>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</si>
  <si>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</si>
  <si>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</si>
  <si>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</si>
  <si>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</si>
  <si>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</si>
  <si>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</si>
  <si>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</si>
  <si>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</si>
  <si>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</si>
  <si>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</si>
  <si>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</si>
  <si>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</si>
  <si>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</si>
  <si>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</si>
  <si>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</si>
  <si>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</si>
  <si>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</si>
  <si>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</si>
  <si>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</si>
  <si>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</si>
  <si>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</si>
  <si>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</si>
  <si>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</si>
  <si>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</si>
  <si>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</si>
  <si>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</si>
  <si>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</si>
  <si>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</si>
  <si>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</si>
  <si>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</si>
  <si>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</si>
  <si>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</si>
  <si>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</si>
  <si>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</si>
  <si>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</si>
  <si>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</si>
  <si>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</si>
  <si>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</si>
  <si>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</si>
  <si>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</si>
  <si>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</si>
  <si>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</si>
  <si>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</si>
  <si>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</si>
  <si>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</si>
  <si>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</si>
  <si>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</si>
  <si>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</si>
  <si>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</si>
  <si>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</si>
  <si>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</si>
  <si>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</si>
  <si>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</si>
  <si>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</si>
  <si>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</si>
  <si>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</si>
  <si>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</si>
  <si>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</si>
  <si>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</si>
  <si>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</si>
  <si>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</si>
  <si>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</si>
  <si>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</si>
  <si>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</si>
  <si>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</si>
  <si>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</si>
  <si>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</si>
  <si>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</si>
  <si>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</si>
  <si>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</si>
  <si>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</si>
  <si>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</si>
  <si>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</si>
  <si>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</si>
  <si>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</si>
  <si>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</si>
  <si>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</si>
  <si>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</si>
  <si>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</si>
  <si>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</si>
  <si>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</si>
  <si>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</si>
  <si>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</si>
  <si>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</si>
  <si>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</si>
  <si>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</si>
  <si>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</si>
  <si>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</si>
  <si>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</si>
  <si>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</si>
  <si>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</si>
  <si>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</si>
  <si>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</si>
  <si>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</si>
  <si>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</si>
  <si>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</si>
  <si>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</si>
  <si>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</si>
  <si>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</si>
  <si>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</si>
  <si>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</si>
  <si>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</si>
  <si>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</si>
  <si>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</si>
  <si>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</si>
  <si>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</si>
  <si>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</si>
  <si>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</si>
  <si>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</si>
  <si>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</si>
  <si>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</si>
  <si>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</si>
  <si>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</si>
  <si>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</si>
  <si>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</si>
  <si>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</si>
  <si>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</si>
  <si>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</si>
  <si>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</si>
  <si>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</si>
  <si>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</si>
  <si>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</si>
  <si>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</si>
  <si>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</si>
  <si>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</si>
  <si>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</si>
  <si>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</si>
  <si>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</si>
  <si>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</si>
  <si>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</si>
  <si>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</si>
  <si>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</si>
  <si>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</si>
  <si>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</si>
  <si>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</si>
  <si>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</si>
  <si>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</si>
  <si>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</si>
  <si>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</si>
  <si>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</si>
  <si>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</si>
  <si>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</si>
  <si>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</si>
  <si>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</si>
  <si>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</si>
  <si>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</si>
  <si>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</si>
  <si>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</si>
  <si>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</si>
  <si>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</si>
  <si>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</si>
  <si>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</si>
  <si>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</si>
  <si>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</si>
  <si>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</si>
  <si>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</si>
  <si>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</si>
  <si>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</si>
  <si>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</si>
  <si>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</si>
  <si>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</si>
  <si>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</si>
  <si>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</si>
  <si>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</si>
  <si>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</si>
  <si>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</si>
  <si>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</si>
  <si>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</si>
  <si>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</si>
  <si>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</si>
  <si>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</si>
  <si>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</si>
  <si>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</si>
  <si>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</si>
  <si>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</si>
  <si>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</si>
  <si>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</si>
  <si>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</si>
  <si>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</si>
  <si>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</si>
  <si>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</si>
  <si>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</si>
  <si>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</si>
  <si>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</si>
  <si>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</si>
  <si>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</si>
  <si>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</si>
  <si>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</si>
  <si>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</si>
  <si>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</si>
  <si>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</si>
  <si>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</si>
  <si>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</si>
  <si>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</si>
  <si>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</si>
  <si>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</si>
  <si>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</si>
  <si>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</si>
  <si>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</si>
  <si>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</si>
  <si>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</si>
  <si>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</si>
  <si>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</si>
  <si>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</si>
  <si>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</si>
  <si>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</si>
  <si>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</si>
  <si>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</si>
  <si>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</si>
  <si>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</si>
  <si>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</si>
  <si>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</si>
  <si>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</si>
  <si>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</si>
  <si>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</si>
  <si>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</si>
  <si>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</si>
  <si>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</si>
  <si>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</si>
  <si>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</si>
  <si>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</si>
  <si>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</si>
  <si>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</si>
  <si>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</si>
  <si>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</si>
  <si>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</si>
  <si>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</si>
  <si>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</si>
  <si>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</si>
  <si>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</si>
  <si>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</si>
  <si>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</si>
  <si>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</si>
  <si>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</si>
  <si>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</si>
  <si>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</si>
  <si>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</si>
  <si>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</si>
  <si>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</si>
  <si>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</si>
  <si>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</si>
  <si>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</si>
  <si>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</si>
  <si>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</si>
  <si>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</si>
  <si>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</si>
  <si>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</si>
  <si>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</si>
  <si>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</si>
  <si>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</si>
  <si>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</si>
  <si>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</si>
  <si>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</si>
  <si>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</si>
  <si>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</si>
  <si>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</si>
  <si>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</si>
  <si>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</si>
  <si>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</si>
  <si>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</si>
  <si>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</si>
  <si>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</si>
  <si>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</si>
  <si>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</si>
  <si>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</si>
  <si>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</si>
  <si>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</si>
  <si>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</si>
  <si>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</si>
  <si>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</si>
  <si>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</si>
  <si>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</si>
  <si>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</si>
  <si>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</si>
  <si>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</si>
  <si>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</si>
  <si>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</si>
  <si>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</si>
  <si>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</si>
  <si>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</si>
  <si>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</si>
  <si>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</si>
  <si>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</si>
  <si>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</si>
  <si>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</si>
  <si>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</si>
  <si>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</si>
  <si>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</si>
  <si>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</si>
  <si>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</si>
  <si>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</si>
  <si>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</si>
  <si>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</si>
  <si>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</si>
  <si>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</si>
  <si>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</si>
  <si>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</si>
  <si>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</si>
  <si>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</si>
  <si>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</si>
  <si>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</si>
  <si>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</si>
  <si>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</si>
  <si>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</si>
  <si>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</si>
  <si>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</si>
  <si>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</si>
  <si>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</si>
  <si>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</si>
  <si>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</si>
  <si>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</si>
  <si>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</si>
  <si>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</si>
  <si>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</si>
  <si>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</si>
  <si>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</si>
  <si>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</si>
  <si>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</si>
  <si>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</si>
  <si>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</si>
  <si>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</si>
  <si>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</si>
  <si>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</si>
  <si>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</si>
  <si>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</si>
  <si>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</si>
  <si>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</si>
  <si>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</si>
  <si>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</si>
  <si>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</si>
  <si>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</si>
  <si>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</si>
  <si>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</si>
  <si>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</si>
  <si>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</si>
  <si>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</si>
  <si>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</si>
  <si>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</si>
  <si>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</si>
  <si>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</si>
  <si>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</si>
  <si>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</si>
  <si>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</si>
  <si>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</si>
  <si>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</si>
  <si>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</si>
  <si>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</si>
  <si>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</si>
  <si>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</si>
  <si>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</si>
  <si>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</si>
  <si>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</si>
  <si>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</si>
  <si>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</si>
  <si>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</si>
  <si>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</si>
  <si>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</si>
  <si>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</si>
  <si>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</si>
  <si>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</si>
  <si>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</si>
  <si>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</si>
  <si>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</si>
  <si>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</si>
  <si>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</si>
  <si>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</si>
  <si>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</si>
  <si>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</si>
  <si>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</si>
  <si>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</si>
  <si>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</si>
  <si>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</si>
  <si>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</si>
  <si>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</si>
  <si>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</si>
  <si>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</si>
  <si>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</si>
  <si>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</si>
  <si>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</si>
  <si>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</si>
  <si>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</si>
  <si>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</si>
  <si>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</si>
  <si>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</si>
  <si>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</si>
  <si>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</si>
  <si>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</si>
  <si>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</si>
  <si>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</si>
  <si>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</si>
  <si>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</si>
  <si>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</si>
  <si>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</si>
  <si>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</si>
  <si>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</si>
  <si>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</si>
  <si>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</si>
  <si>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</si>
  <si>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</si>
  <si>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</si>
  <si>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</si>
  <si>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</si>
  <si>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</si>
  <si>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</si>
  <si>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</si>
  <si>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</si>
  <si>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</si>
  <si>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</si>
  <si>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</si>
  <si>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</si>
  <si>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</si>
  <si>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</si>
  <si>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</si>
  <si>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</si>
  <si>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</si>
  <si>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</si>
  <si>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</si>
  <si>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</si>
  <si>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</si>
  <si>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</si>
  <si>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</si>
  <si>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</si>
  <si>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</si>
  <si>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</si>
  <si>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</si>
  <si>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</si>
  <si>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</si>
  <si>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</si>
  <si>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</si>
  <si>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</si>
  <si>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</si>
  <si>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</si>
  <si>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</si>
  <si>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</si>
  <si>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</si>
  <si>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</si>
  <si>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</si>
  <si>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</si>
  <si>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</si>
  <si>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</si>
  <si>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</si>
  <si>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</si>
  <si>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</si>
  <si>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</si>
  <si>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</si>
  <si>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</si>
  <si>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</si>
  <si>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</si>
  <si>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</si>
  <si>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</si>
  <si>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</si>
  <si>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</si>
  <si>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</si>
  <si>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</si>
  <si>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</si>
  <si>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</si>
  <si>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</si>
  <si>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</si>
  <si>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</si>
  <si>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</si>
  <si>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</si>
  <si>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</si>
  <si>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</si>
  <si>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</si>
  <si>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</si>
  <si>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</si>
  <si>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</si>
  <si>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</si>
  <si>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</si>
  <si>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</si>
  <si>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</si>
  <si>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</si>
  <si>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</si>
  <si>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</si>
  <si>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</si>
  <si>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</si>
  <si>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</si>
  <si>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</si>
  <si>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</si>
  <si>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</si>
  <si>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</si>
  <si>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</si>
  <si>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</si>
  <si>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</si>
  <si>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</si>
  <si>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</si>
  <si>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</si>
  <si>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</si>
  <si>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</si>
  <si>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</si>
  <si>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</si>
  <si>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</si>
  <si>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</si>
  <si>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</si>
  <si>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</si>
  <si>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</si>
  <si>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</si>
  <si>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</si>
  <si>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</si>
  <si>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</si>
  <si>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</si>
  <si>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</si>
  <si>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</si>
  <si>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</si>
  <si>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</si>
  <si>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</si>
  <si>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</si>
  <si>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</si>
  <si>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</si>
  <si>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</si>
  <si>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</si>
  <si>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</si>
  <si>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</si>
  <si>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</si>
  <si>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</si>
  <si>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</si>
  <si>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</si>
  <si>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</si>
  <si>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</si>
  <si>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</si>
  <si>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</si>
  <si>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</si>
  <si>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</si>
  <si>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</si>
  <si>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</si>
  <si>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</si>
  <si>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</si>
  <si>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</si>
  <si>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</si>
  <si>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</si>
  <si>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</si>
  <si>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</si>
  <si>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</si>
  <si>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</si>
  <si>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</si>
  <si>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</si>
  <si>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</si>
  <si>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</si>
  <si>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</si>
  <si>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</si>
  <si>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</si>
  <si>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</si>
  <si>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</si>
  <si>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</si>
  <si>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</si>
  <si>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</si>
  <si>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</si>
  <si>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</si>
  <si>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</si>
  <si>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</si>
  <si>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</si>
  <si>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</si>
  <si>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</si>
  <si>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</si>
  <si>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</si>
  <si>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</si>
  <si>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</si>
  <si>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</si>
  <si>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</si>
  <si>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</si>
  <si>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</si>
  <si>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</si>
  <si>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</si>
  <si>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</si>
  <si>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</si>
  <si>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</si>
  <si>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</si>
  <si>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</si>
  <si>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</si>
  <si>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</si>
  <si>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</si>
  <si>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</si>
  <si>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</si>
  <si>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</si>
  <si>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</si>
  <si>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</si>
  <si>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</si>
  <si>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</si>
  <si>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</si>
  <si>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</si>
  <si>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</si>
  <si>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</si>
  <si>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</si>
  <si>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</si>
  <si>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</si>
  <si>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</si>
  <si>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</si>
  <si>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</si>
  <si>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</si>
  <si>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</si>
  <si>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</si>
  <si>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</si>
  <si>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</si>
  <si>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</si>
  <si>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</si>
  <si>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</si>
  <si>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</si>
  <si>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</si>
  <si>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</si>
  <si>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</si>
  <si>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</si>
  <si>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</si>
  <si>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</si>
  <si>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</si>
  <si>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</si>
  <si>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</si>
  <si>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</si>
  <si>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</si>
  <si>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</si>
  <si>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</si>
  <si>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</si>
  <si>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</si>
  <si>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</si>
  <si>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</si>
  <si>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</si>
  <si>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</si>
  <si>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</si>
  <si>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</si>
  <si>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</si>
  <si>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</si>
  <si>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</si>
  <si>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</si>
  <si>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</si>
  <si>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</si>
  <si>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</si>
  <si>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</si>
  <si>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</si>
  <si>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</si>
  <si>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</si>
  <si>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</si>
  <si>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</si>
  <si>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</si>
  <si>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</si>
  <si>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</si>
  <si>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</si>
  <si>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</si>
  <si>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</si>
  <si>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</si>
  <si>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</si>
  <si>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</si>
  <si>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</si>
  <si>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</si>
  <si>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</si>
  <si>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</si>
  <si>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</si>
  <si>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</si>
  <si>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</si>
  <si>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</si>
  <si>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</si>
  <si>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</si>
  <si>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</si>
  <si>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</si>
  <si>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</si>
  <si>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</si>
  <si>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</si>
  <si>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</si>
  <si>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</si>
  <si>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</si>
  <si>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</si>
  <si>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</si>
  <si>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</si>
  <si>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</si>
  <si>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</si>
  <si>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</si>
  <si>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</si>
  <si>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</si>
  <si>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</si>
  <si>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</si>
  <si>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</si>
  <si>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</si>
  <si>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</si>
  <si>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</si>
  <si>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</si>
  <si>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</si>
  <si>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</si>
  <si>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</si>
  <si>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</si>
  <si>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</si>
  <si>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</si>
  <si>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</si>
  <si>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</si>
  <si>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</si>
  <si>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</si>
  <si>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</si>
  <si>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</si>
  <si>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</si>
  <si>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</si>
  <si>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</si>
  <si>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</si>
  <si>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</si>
  <si>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</si>
  <si>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</si>
  <si>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</si>
  <si>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</si>
  <si>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</si>
  <si>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</si>
  <si>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</si>
  <si>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</si>
  <si>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</si>
  <si>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</si>
  <si>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</si>
  <si>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</si>
  <si>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</si>
  <si>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</si>
  <si>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</si>
  <si>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</si>
  <si>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</si>
  <si>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</si>
  <si>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</si>
  <si>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</si>
  <si>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</si>
  <si>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</si>
  <si>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</si>
  <si>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</si>
  <si>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</si>
  <si>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</si>
  <si>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</si>
  <si>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</si>
  <si>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</si>
  <si>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</si>
  <si>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</si>
  <si>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</si>
  <si>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</si>
  <si>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</si>
  <si>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</si>
  <si>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</si>
  <si>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</si>
  <si>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</si>
  <si>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</si>
  <si>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</si>
  <si>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</si>
  <si>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</si>
  <si>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</si>
  <si>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</si>
  <si>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</si>
  <si>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</si>
  <si>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</si>
  <si>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</si>
  <si>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</si>
  <si>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</si>
  <si>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</si>
  <si>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</si>
  <si>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</si>
  <si>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</si>
  <si>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</si>
  <si>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</si>
  <si>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</si>
  <si>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</si>
  <si>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</si>
  <si>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</si>
  <si>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</si>
  <si>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</si>
  <si>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</si>
  <si>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</si>
  <si>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</si>
  <si>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</si>
  <si>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</si>
  <si>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</si>
  <si>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</si>
  <si>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</si>
  <si>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</si>
  <si>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</si>
  <si>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</si>
  <si>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</si>
  <si>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</si>
  <si>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</si>
  <si>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</si>
  <si>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</si>
  <si>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</si>
  <si>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</si>
  <si>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</si>
  <si>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</si>
  <si>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</si>
  <si>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</si>
  <si>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</si>
  <si>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</si>
  <si>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</si>
  <si>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</si>
  <si>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</si>
  <si>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</si>
  <si>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</si>
  <si>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</si>
  <si>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</si>
  <si>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</si>
  <si>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</si>
  <si>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</si>
  <si>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</si>
  <si>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</si>
  <si>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</si>
  <si>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</si>
  <si>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</si>
  <si>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</si>
  <si>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</si>
  <si>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</si>
  <si>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</si>
  <si>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</si>
  <si>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</si>
  <si>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</si>
  <si>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</si>
  <si>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</si>
  <si>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</si>
  <si>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</si>
  <si>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</si>
  <si>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</si>
  <si>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</si>
  <si>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</si>
  <si>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</si>
  <si>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</si>
  <si>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</si>
  <si>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</si>
  <si>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</si>
  <si>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</si>
  <si>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</si>
  <si>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</si>
  <si>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</si>
  <si>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</si>
  <si>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</si>
  <si>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</si>
  <si>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</si>
  <si>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</si>
  <si>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</si>
  <si>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</si>
  <si>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</si>
  <si>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</si>
  <si>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</si>
  <si>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</si>
  <si>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</si>
  <si>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</si>
  <si>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</si>
  <si>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</si>
  <si>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</si>
  <si>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</si>
  <si>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</si>
  <si>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</si>
  <si>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</si>
  <si>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</si>
  <si>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</si>
  <si>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</si>
  <si>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</si>
  <si>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</si>
  <si>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</si>
  <si>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</si>
  <si>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</si>
  <si>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</si>
  <si>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</si>
  <si>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</si>
  <si>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</si>
  <si>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</si>
  <si>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</si>
  <si>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</si>
  <si>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</si>
  <si>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</si>
  <si>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</si>
  <si>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</si>
  <si>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</si>
  <si>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</si>
  <si>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</si>
  <si>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</si>
  <si>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</si>
  <si>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</si>
  <si>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</si>
  <si>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</si>
  <si>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</si>
  <si>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</si>
  <si>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</si>
  <si>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</si>
  <si>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</si>
  <si>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</si>
  <si>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</si>
  <si>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</si>
  <si>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</si>
  <si>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</si>
  <si>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</si>
  <si>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</si>
  <si>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</si>
  <si>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</si>
  <si>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</si>
  <si>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</si>
  <si>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</si>
  <si>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</si>
  <si>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</si>
  <si>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</si>
  <si>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</si>
  <si>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</si>
  <si>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</si>
  <si>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</si>
  <si>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</si>
  <si>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</si>
  <si>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</si>
  <si>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</si>
  <si>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</si>
  <si>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</si>
  <si>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</si>
  <si>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</si>
  <si>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</si>
  <si>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</si>
  <si>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</si>
  <si>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</si>
  <si>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</si>
  <si>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</si>
  <si>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</si>
  <si>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</si>
  <si>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</si>
  <si>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</si>
  <si>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</si>
  <si>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</si>
  <si>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</si>
  <si>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</si>
  <si>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</si>
  <si>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</si>
  <si>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</si>
  <si>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</si>
  <si>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</si>
  <si>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</si>
  <si>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</si>
  <si>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</si>
  <si>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</si>
  <si>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</si>
  <si>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</si>
  <si>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</si>
  <si>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</si>
  <si>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</si>
  <si>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</si>
  <si>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</si>
  <si>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</si>
  <si>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</si>
  <si>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</si>
  <si>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</si>
  <si>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</si>
  <si>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</si>
  <si>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</si>
  <si>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</si>
  <si>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</si>
  <si>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</si>
  <si>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</si>
  <si>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</si>
  <si>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</si>
  <si>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</si>
  <si>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</si>
  <si>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</si>
  <si>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</si>
  <si>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</si>
  <si>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</si>
  <si>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</si>
  <si>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</si>
  <si>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</si>
  <si>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</si>
  <si>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</si>
  <si>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</si>
  <si>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</si>
  <si>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</si>
  <si>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</si>
  <si>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</si>
  <si>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</si>
  <si>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</si>
  <si>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</si>
  <si>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</si>
  <si>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</si>
  <si>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</si>
  <si>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</si>
  <si>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</si>
  <si>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</si>
  <si>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</si>
  <si>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</si>
  <si>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</si>
  <si>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</si>
  <si>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</si>
  <si>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</si>
  <si>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</si>
  <si>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</si>
  <si>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</si>
  <si>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</si>
  <si>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</si>
  <si>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</si>
  <si>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</si>
  <si>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</si>
  <si>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</si>
  <si>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</si>
  <si>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</si>
  <si>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</si>
  <si>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</si>
  <si>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</si>
  <si>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</si>
  <si>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</si>
  <si>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</si>
  <si>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</si>
  <si>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</si>
  <si>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</si>
  <si>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</si>
  <si>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</si>
  <si>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</si>
  <si>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</si>
  <si>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</si>
  <si>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</si>
  <si>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</si>
  <si>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</si>
  <si>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</si>
  <si>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</si>
  <si>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</si>
  <si>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</si>
  <si>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</si>
  <si>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</si>
  <si>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</si>
  <si>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</si>
  <si>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</si>
  <si>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</si>
  <si>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</si>
  <si>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</si>
  <si>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</si>
  <si>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</si>
  <si>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</si>
  <si>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</si>
  <si>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</si>
  <si>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</si>
  <si>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</si>
  <si>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</si>
  <si>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</si>
  <si>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</si>
  <si>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</si>
  <si>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</si>
  <si>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</si>
  <si>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</si>
  <si>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</si>
  <si>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</si>
  <si>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</si>
  <si>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</si>
  <si>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</si>
  <si>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</si>
  <si>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</si>
  <si>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</si>
  <si>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</si>
  <si>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</si>
  <si>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</si>
  <si>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</si>
  <si>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</si>
  <si>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</si>
  <si>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</si>
  <si>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</si>
  <si>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</si>
  <si>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</si>
  <si>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</si>
  <si>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</si>
  <si>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</si>
  <si>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</si>
  <si>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</si>
  <si>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</si>
  <si>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</si>
  <si>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</si>
  <si>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</si>
  <si>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</si>
  <si>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</si>
  <si>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</si>
  <si>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</si>
  <si>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</si>
  <si>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</si>
  <si>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</si>
  <si>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</si>
  <si>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</si>
  <si>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</si>
  <si>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</si>
  <si>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</si>
  <si>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</si>
  <si>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</si>
  <si>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</si>
  <si>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</si>
  <si>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</si>
  <si>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</si>
  <si>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</si>
  <si>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</si>
  <si>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</si>
  <si>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</si>
  <si>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</si>
  <si>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</si>
  <si>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</si>
  <si>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</si>
  <si>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</si>
  <si>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</si>
  <si>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</si>
  <si>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</si>
  <si>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</si>
  <si>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</si>
  <si>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</si>
  <si>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</si>
  <si>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</si>
  <si>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</si>
  <si>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</si>
  <si>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</si>
  <si>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</si>
  <si>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</si>
  <si>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</si>
  <si>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</si>
  <si>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</si>
  <si>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</si>
  <si>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</si>
  <si>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</si>
  <si>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</si>
  <si>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</si>
  <si>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</si>
  <si>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</si>
  <si>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</si>
  <si>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</si>
  <si>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</si>
  <si>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</si>
  <si>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</si>
  <si>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</si>
  <si>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</si>
  <si>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</si>
  <si>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</si>
  <si>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</si>
  <si>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</si>
  <si>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</si>
  <si>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</si>
  <si>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</si>
  <si>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</si>
  <si>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</si>
  <si>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</si>
  <si>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</si>
  <si>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</si>
  <si>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</si>
  <si>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</si>
  <si>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</si>
  <si>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</si>
  <si>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</si>
  <si>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</si>
  <si>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</si>
  <si>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</si>
  <si>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</si>
  <si>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</si>
  <si>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</si>
  <si>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</si>
  <si>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</si>
  <si>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</si>
  <si>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</si>
  <si>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</si>
  <si>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</si>
  <si>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</si>
  <si>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</si>
  <si>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</si>
  <si>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</si>
  <si>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</si>
  <si>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</si>
  <si>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</si>
  <si>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</si>
  <si>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</si>
  <si>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</si>
  <si>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</si>
  <si>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</si>
  <si>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</si>
  <si>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</si>
  <si>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</si>
  <si>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</si>
  <si>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</si>
  <si>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</si>
  <si>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</si>
  <si>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</si>
  <si>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</si>
  <si>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</si>
  <si>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</si>
  <si>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</si>
  <si>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</si>
  <si>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</si>
  <si>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</si>
  <si>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</si>
  <si>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</si>
  <si>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</si>
  <si>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</si>
  <si>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</si>
  <si>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</si>
  <si>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</si>
  <si>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</si>
  <si>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</si>
  <si>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</si>
  <si>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</si>
  <si>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</si>
  <si>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</si>
  <si>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</si>
  <si>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</si>
  <si>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</si>
  <si>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</si>
  <si>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</si>
  <si>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</si>
  <si>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</si>
  <si>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</si>
  <si>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</si>
  <si>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</si>
  <si>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</si>
  <si>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</si>
  <si>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</si>
  <si>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</si>
  <si>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</si>
  <si>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</si>
  <si>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</si>
  <si>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</si>
  <si>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</si>
  <si>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</si>
  <si>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</si>
  <si>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</si>
  <si>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</si>
  <si>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</si>
  <si>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</si>
  <si>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</si>
  <si>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</si>
  <si>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</si>
  <si>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</si>
  <si>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</si>
  <si>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</si>
  <si>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</si>
  <si>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</si>
  <si>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</si>
  <si>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</si>
  <si>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</si>
  <si>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</si>
  <si>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</si>
  <si>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</si>
  <si>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</si>
  <si>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</si>
  <si>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</si>
  <si>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</si>
  <si>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</si>
  <si>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</si>
  <si>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</si>
  <si>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</si>
  <si>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</si>
  <si>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</si>
  <si>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</si>
  <si>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</si>
  <si>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</si>
  <si>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</si>
  <si>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</si>
  <si>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</si>
  <si>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</si>
  <si>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</si>
  <si>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</si>
  <si>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</si>
  <si>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</si>
  <si>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</si>
  <si>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</si>
  <si>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</si>
  <si>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</si>
  <si>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</si>
  <si>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</si>
  <si>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</si>
  <si>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</si>
  <si>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</si>
  <si>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</si>
  <si>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</si>
  <si>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</si>
  <si>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</si>
  <si>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</si>
  <si>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</si>
  <si>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</si>
  <si>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</si>
  <si>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</si>
  <si>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</si>
  <si>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</si>
  <si>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</si>
  <si>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</si>
  <si>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</si>
  <si>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</si>
  <si>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</si>
  <si>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</si>
  <si>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</si>
  <si>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</si>
  <si>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</si>
  <si>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</si>
  <si>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</si>
  <si>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</si>
  <si>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</si>
  <si>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</si>
  <si>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</si>
  <si>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</si>
  <si>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</si>
  <si>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</si>
  <si>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</si>
  <si>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</si>
  <si>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</si>
  <si>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</si>
  <si>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</si>
  <si>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</si>
  <si>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</si>
  <si>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</si>
  <si>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</si>
  <si>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</si>
  <si>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</si>
  <si>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</si>
  <si>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</si>
  <si>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</si>
  <si>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</si>
  <si>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</si>
  <si>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</si>
  <si>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</si>
  <si>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</si>
  <si>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</si>
  <si>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</si>
  <si>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</si>
  <si>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</si>
  <si>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</si>
  <si>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</si>
  <si>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</si>
  <si>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</si>
  <si>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</si>
  <si>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</si>
  <si>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</si>
  <si>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</si>
  <si>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</si>
  <si>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</si>
  <si>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</si>
  <si>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</si>
  <si>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</si>
  <si>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</si>
  <si>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</si>
  <si>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</si>
  <si>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</si>
  <si>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</si>
  <si>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</si>
  <si>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</si>
  <si>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</si>
  <si>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</si>
  <si>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</si>
  <si>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</si>
  <si>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</si>
  <si>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</si>
  <si>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</si>
  <si>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</si>
  <si>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</si>
  <si>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</si>
  <si>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</si>
  <si>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</si>
  <si>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</si>
  <si>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</si>
  <si>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</si>
  <si>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</si>
  <si>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</si>
  <si>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</si>
  <si>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</si>
  <si>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</si>
  <si>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</si>
  <si>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</si>
  <si>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</si>
  <si>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</si>
  <si>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</si>
  <si>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</si>
  <si>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</si>
  <si>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</si>
  <si>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</si>
  <si>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</si>
  <si>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</si>
  <si>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</si>
  <si>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</si>
  <si>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</si>
  <si>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</si>
  <si>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</si>
  <si>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</si>
  <si>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</si>
  <si>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</si>
  <si>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</si>
  <si>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</si>
  <si>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</si>
  <si>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</si>
  <si>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</si>
  <si>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</si>
  <si>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</si>
  <si>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</si>
  <si>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</si>
  <si>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</si>
  <si>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</si>
  <si>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</si>
  <si>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</si>
  <si>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</si>
  <si>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</si>
  <si>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</si>
  <si>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</si>
  <si>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</si>
  <si>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</si>
  <si>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</si>
  <si>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</si>
  <si>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</si>
  <si>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</si>
  <si>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</si>
  <si>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</si>
  <si>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</si>
  <si>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</si>
  <si>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</si>
  <si>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</si>
  <si>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</si>
  <si>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</si>
  <si>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</si>
  <si>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</si>
  <si>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</si>
  <si>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</si>
  <si>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</si>
  <si>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</si>
  <si>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</si>
  <si>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</si>
  <si>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</si>
  <si>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</si>
  <si>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</si>
  <si>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</si>
  <si>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</si>
  <si>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</si>
  <si>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</si>
  <si>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</si>
  <si>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</si>
  <si>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</si>
  <si>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</si>
  <si>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</si>
  <si>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</si>
  <si>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</si>
  <si>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</si>
  <si>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</si>
  <si>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</si>
  <si>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</si>
  <si>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</si>
  <si>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</si>
  <si>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</si>
  <si>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</si>
  <si>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</si>
  <si>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</si>
  <si>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</si>
  <si>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</si>
  <si>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</si>
  <si>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</si>
  <si>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</si>
  <si>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</si>
  <si>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</si>
  <si>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</si>
  <si>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</si>
  <si>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</si>
  <si>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</si>
  <si>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</si>
  <si>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</si>
  <si>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</si>
  <si>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</si>
  <si>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</si>
  <si>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</si>
  <si>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</si>
  <si>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</si>
  <si>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</si>
  <si>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</si>
  <si>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</si>
  <si>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</si>
  <si>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</si>
  <si>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</si>
  <si>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</si>
  <si>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</si>
  <si>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</si>
  <si>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</si>
  <si>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</si>
  <si>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</si>
  <si>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</si>
  <si>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</si>
  <si>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</si>
  <si>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</si>
  <si>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</si>
  <si>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</si>
  <si>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</si>
  <si>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</si>
  <si>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</si>
  <si>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</si>
  <si>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</si>
  <si>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</si>
  <si>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</si>
  <si>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</si>
  <si>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</si>
  <si>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</si>
  <si>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</si>
  <si>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</si>
  <si>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</si>
  <si>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</si>
  <si>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</si>
  <si>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</si>
  <si>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</si>
  <si>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</si>
  <si>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</si>
  <si>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</si>
  <si>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</si>
  <si>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</si>
  <si>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</si>
  <si>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</si>
  <si>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</si>
  <si>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</si>
  <si>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</si>
  <si>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</si>
  <si>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</si>
  <si>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</si>
  <si>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</si>
  <si>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</si>
  <si>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</si>
  <si>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</si>
  <si>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</si>
  <si>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</si>
  <si>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</si>
  <si>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</si>
  <si>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</si>
  <si>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</si>
  <si>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</si>
  <si>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</si>
  <si>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</si>
  <si>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</si>
  <si>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</si>
  <si>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</si>
  <si>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</si>
  <si>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</si>
  <si>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</si>
  <si>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</si>
  <si>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</si>
  <si>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</si>
  <si>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</si>
  <si>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</si>
  <si>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</si>
  <si>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</si>
  <si>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</si>
  <si>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</si>
  <si>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</si>
  <si>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</si>
  <si>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</si>
  <si>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</si>
  <si>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</si>
  <si>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</si>
  <si>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</si>
  <si>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</si>
  <si>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</si>
  <si>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</si>
  <si>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</si>
  <si>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</si>
  <si>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</si>
  <si>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</si>
  <si>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</si>
  <si>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</si>
  <si>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</si>
  <si>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</si>
  <si>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</si>
  <si>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</si>
  <si>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</si>
  <si>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</si>
  <si>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</si>
  <si>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</si>
  <si>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</si>
  <si>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</si>
  <si>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</si>
  <si>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</si>
  <si>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</si>
  <si>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</si>
  <si>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</si>
  <si>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</si>
  <si>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</si>
  <si>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</si>
  <si>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</si>
  <si>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</si>
  <si>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</si>
  <si>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</si>
  <si>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</si>
  <si>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</si>
  <si>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</si>
  <si>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</si>
  <si>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</si>
  <si>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</si>
  <si>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</si>
  <si>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</si>
  <si>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</si>
  <si>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</si>
  <si>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</si>
  <si>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</si>
  <si>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</si>
  <si>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</si>
  <si>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</si>
  <si>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</si>
  <si>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</si>
  <si>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</si>
  <si>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</si>
  <si>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</si>
  <si>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</si>
  <si>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</si>
  <si>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</si>
  <si>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</si>
  <si>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</si>
  <si>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</si>
  <si>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</si>
  <si>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</si>
  <si>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</si>
  <si>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</si>
  <si>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</si>
  <si>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</si>
  <si>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</si>
  <si>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</si>
  <si>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</si>
  <si>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</si>
  <si>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</si>
  <si>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</si>
  <si>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</si>
  <si>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</si>
  <si>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</si>
  <si>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</si>
  <si>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</si>
  <si>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</si>
  <si>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</si>
  <si>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</si>
  <si>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</si>
  <si>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</si>
  <si>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</si>
  <si>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</si>
  <si>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</si>
  <si>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</si>
  <si>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</si>
  <si>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</si>
  <si>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</si>
  <si>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</si>
  <si>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</si>
  <si>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</si>
  <si>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</si>
  <si>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</si>
  <si>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</si>
  <si>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</si>
  <si>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</si>
  <si>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</si>
  <si>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</si>
  <si>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</si>
  <si>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</si>
  <si>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</si>
  <si>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</si>
  <si>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</si>
  <si>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</si>
  <si>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</si>
  <si>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</si>
  <si>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</si>
  <si>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</si>
  <si>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</si>
  <si>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</si>
  <si>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</si>
  <si>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</si>
  <si>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</si>
  <si>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</si>
  <si>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</si>
  <si>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</si>
  <si>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</si>
  <si>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</si>
  <si>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</si>
  <si>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</si>
  <si>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</si>
  <si>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</si>
  <si>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</si>
  <si>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</si>
  <si>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</si>
  <si>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</si>
  <si>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</si>
  <si>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</si>
  <si>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</si>
  <si>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</si>
  <si>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</si>
  <si>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</si>
  <si>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</si>
  <si>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</si>
  <si>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</si>
  <si>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</si>
  <si>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</si>
  <si>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</si>
  <si>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</si>
  <si>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</si>
  <si>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</si>
  <si>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</si>
  <si>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</si>
  <si>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</si>
  <si>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</si>
  <si>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</si>
  <si>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</si>
  <si>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</si>
  <si>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</si>
  <si>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</si>
  <si>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</si>
  <si>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</si>
  <si>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</si>
  <si>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</si>
  <si>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</si>
  <si>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</si>
  <si>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</si>
  <si>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</si>
  <si>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</si>
  <si>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</si>
  <si>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</si>
  <si>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</si>
  <si>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</si>
  <si>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</si>
  <si>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</si>
  <si>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</si>
  <si>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</si>
  <si>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</si>
  <si>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</si>
  <si>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</si>
  <si>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</si>
  <si>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</si>
  <si>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</si>
  <si>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</si>
  <si>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</si>
  <si>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</si>
  <si>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</si>
  <si>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</si>
  <si>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</si>
  <si>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</si>
  <si>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</si>
  <si>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</si>
  <si>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</si>
  <si>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</si>
  <si>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</si>
  <si>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</si>
  <si>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</si>
  <si>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</si>
  <si>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</si>
  <si>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</si>
  <si>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</si>
  <si>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</si>
  <si>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</si>
  <si>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</si>
  <si>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</si>
  <si>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</si>
  <si>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</si>
  <si>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</si>
  <si>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</si>
  <si>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</si>
  <si>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</si>
  <si>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</si>
  <si>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</si>
  <si>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</si>
  <si>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</si>
  <si>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</si>
  <si>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</si>
  <si>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</si>
  <si>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</si>
  <si>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</si>
  <si>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</si>
  <si>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</si>
  <si>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</si>
  <si>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</si>
  <si>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</si>
  <si>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</si>
  <si>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</si>
  <si>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</si>
  <si>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</si>
  <si>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</si>
  <si>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</si>
  <si>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</si>
  <si>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</si>
  <si>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</si>
  <si>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</si>
  <si>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</si>
  <si>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</si>
  <si>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</si>
  <si>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</si>
  <si>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</si>
  <si>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</si>
  <si>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</si>
  <si>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</si>
  <si>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</si>
  <si>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</si>
  <si>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</si>
  <si>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</si>
  <si>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</si>
  <si>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</si>
  <si>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</si>
  <si>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</si>
  <si>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</si>
  <si>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</si>
  <si>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</si>
  <si>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</si>
  <si>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</si>
  <si>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</si>
  <si>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</si>
  <si>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</si>
  <si>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</si>
  <si>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</si>
  <si>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</si>
  <si>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</si>
  <si>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</si>
  <si>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</si>
  <si>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</si>
  <si>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</si>
  <si>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</si>
  <si>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</si>
  <si>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</si>
  <si>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</si>
  <si>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</si>
  <si>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</si>
  <si>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</si>
  <si>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</si>
  <si>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</si>
  <si>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</si>
  <si>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</si>
  <si>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</si>
  <si>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</si>
  <si>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</si>
  <si>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</si>
  <si>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</si>
  <si>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</si>
  <si>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</si>
  <si>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</si>
  <si>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</si>
  <si>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</si>
  <si>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</si>
  <si>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</si>
  <si>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</si>
  <si>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</si>
  <si>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</si>
  <si>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</si>
  <si>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</si>
  <si>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</si>
  <si>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</si>
  <si>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</si>
  <si>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</si>
  <si>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</si>
  <si>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</si>
  <si>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</si>
  <si>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</si>
  <si>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</si>
  <si>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</si>
  <si>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</si>
  <si>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</si>
  <si>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</si>
  <si>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</si>
  <si>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</si>
  <si>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</si>
  <si>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</si>
  <si>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</si>
  <si>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</si>
  <si>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</si>
  <si>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</si>
  <si>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</si>
  <si>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</si>
  <si>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</si>
  <si>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</si>
  <si>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</si>
  <si>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</si>
  <si>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</si>
  <si>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</si>
  <si>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</si>
  <si>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</si>
  <si>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</si>
  <si>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</si>
  <si>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</si>
  <si>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</si>
  <si>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</si>
  <si>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</si>
  <si>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</si>
  <si>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</si>
  <si>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</si>
  <si>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</si>
  <si>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</si>
  <si>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</si>
  <si>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</si>
  <si>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</si>
  <si>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</si>
  <si>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</si>
  <si>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</si>
  <si>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</si>
  <si>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</si>
  <si>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</si>
  <si>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</si>
  <si>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</si>
  <si>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</si>
  <si>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</si>
  <si>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</si>
  <si>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</si>
  <si>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</si>
  <si>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</si>
  <si>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</si>
  <si>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</si>
  <si>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</si>
  <si>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</si>
  <si>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</si>
  <si>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</si>
  <si>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</si>
  <si>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</si>
  <si>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</si>
  <si>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</si>
  <si>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</si>
  <si>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</si>
  <si>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</si>
  <si>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</si>
  <si>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</si>
  <si>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</si>
  <si>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</si>
  <si>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</si>
  <si>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</si>
  <si>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</si>
  <si>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</si>
  <si>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</si>
  <si>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</si>
  <si>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</si>
  <si>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</si>
  <si>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</si>
  <si>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</si>
  <si>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</si>
  <si>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</si>
  <si>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</si>
  <si>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</si>
  <si>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</si>
  <si>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</si>
  <si>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</si>
  <si>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</si>
  <si>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</si>
  <si>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</si>
  <si>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</si>
  <si>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</si>
  <si>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</si>
  <si>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</si>
  <si>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</si>
  <si>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</si>
  <si>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</si>
  <si>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</si>
  <si>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</si>
  <si>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</si>
  <si>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</si>
  <si>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</si>
  <si>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</si>
  <si>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</si>
  <si>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</si>
  <si>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</si>
  <si>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</si>
  <si>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</si>
  <si>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</si>
  <si>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</si>
  <si>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</si>
  <si>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</si>
  <si>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</si>
  <si>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</si>
  <si>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</si>
  <si>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</si>
  <si>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</si>
  <si>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</si>
  <si>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</si>
  <si>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</si>
  <si>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</si>
  <si>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</si>
  <si>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</si>
  <si>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</si>
  <si>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</si>
  <si>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</si>
  <si>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</si>
  <si>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</si>
  <si>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</si>
  <si>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</si>
  <si>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</si>
  <si>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</si>
  <si>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</si>
  <si>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</si>
  <si>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</si>
  <si>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</si>
  <si>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</si>
  <si>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</si>
  <si>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</si>
  <si>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</si>
  <si>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</si>
  <si>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</si>
  <si>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</si>
  <si>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</si>
  <si>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</si>
  <si>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</si>
  <si>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</si>
  <si>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</si>
  <si>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</si>
  <si>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</si>
  <si>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</si>
  <si>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</si>
  <si>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</si>
  <si>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</si>
  <si>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</si>
  <si>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</si>
  <si>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</si>
  <si>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</si>
  <si>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</si>
  <si>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</si>
  <si>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</si>
  <si>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</si>
  <si>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</si>
  <si>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</si>
  <si>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</si>
  <si>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</si>
  <si>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</si>
  <si>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</si>
  <si>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</si>
  <si>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</si>
  <si>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</si>
  <si>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</si>
  <si>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</si>
  <si>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</si>
  <si>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</si>
  <si>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</si>
  <si>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</si>
  <si>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</si>
  <si>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</si>
  <si>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</si>
  <si>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</si>
  <si>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</si>
  <si>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</si>
  <si>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</si>
  <si>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</si>
  <si>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</si>
  <si>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</si>
  <si>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</si>
  <si>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</si>
  <si>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</si>
  <si>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</si>
  <si>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</si>
  <si>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</si>
  <si>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</si>
  <si>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</si>
  <si>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</si>
  <si>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</si>
  <si>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</si>
  <si>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</si>
  <si>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</si>
  <si>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</si>
  <si>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</si>
  <si>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</si>
  <si>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</si>
  <si>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</si>
  <si>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</si>
  <si>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</si>
  <si>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</si>
  <si>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</si>
  <si>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</si>
  <si>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</si>
  <si>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</si>
  <si>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</si>
  <si>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</si>
  <si>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732963</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</si>
  <si>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</si>
  <si>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</si>
  <si>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</si>
  <si>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</si>
  <si>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</si>
  <si>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</si>
  <si>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</si>
  <si>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</si>
  <si>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</si>
  <si>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</si>
  <si>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</si>
  <si>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</si>
  <si>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</si>
  <si>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</si>
  <si>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</si>
  <si>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</si>
  <si>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</si>
  <si>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</si>
  <si>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</si>
  <si>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</si>
  <si>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</si>
  <si>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</si>
  <si>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</si>
  <si>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</si>
  <si>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</si>
  <si>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</si>
  <si>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</si>
  <si>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</si>
  <si>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</si>
  <si>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</si>
  <si>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</si>
  <si>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</si>
  <si>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</si>
  <si>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</si>
  <si>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</si>
  <si>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</si>
  <si>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</si>
  <si>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</si>
  <si>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</si>
  <si>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</si>
  <si>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</si>
  <si>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</si>
  <si>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</si>
  <si>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</si>
  <si>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</si>
  <si>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</si>
  <si>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</si>
  <si>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</si>
  <si>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</si>
  <si>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</si>
  <si>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</si>
  <si>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</si>
  <si>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</si>
  <si>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</si>
  <si>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</si>
  <si>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</si>
  <si>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</si>
  <si>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</si>
  <si>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</si>
  <si>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</si>
  <si>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</si>
  <si>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</si>
  <si>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</si>
  <si>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</si>
  <si>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</si>
  <si>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</si>
  <si>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</si>
  <si>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</si>
  <si>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</si>
  <si>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</si>
  <si>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</si>
  <si>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</si>
  <si>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</si>
  <si>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</si>
  <si>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</si>
  <si>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</si>
  <si>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</si>
  <si>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</si>
  <si>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</si>
  <si>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</si>
  <si>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</si>
  <si>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</si>
  <si>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</si>
  <si>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</si>
  <si>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</si>
  <si>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</si>
  <si>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</si>
  <si>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</si>
  <si>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</si>
  <si>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</si>
  <si>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</si>
  <si>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</si>
  <si>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</si>
  <si>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</si>
  <si>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</si>
  <si>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</si>
  <si>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</si>
  <si>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</si>
  <si>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</si>
  <si>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</si>
  <si>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</si>
  <si>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</si>
  <si>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</si>
  <si>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</si>
  <si>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</si>
  <si>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</si>
  <si>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</si>
  <si>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</si>
  <si>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</si>
  <si>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</si>
  <si>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</si>
  <si>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</si>
  <si>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</si>
  <si>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</si>
  <si>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</si>
  <si>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</si>
  <si>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</si>
  <si>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</si>
  <si>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</si>
  <si>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</si>
  <si>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</si>
  <si>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</si>
  <si>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</si>
  <si>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</si>
  <si>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</si>
  <si>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</si>
  <si>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</si>
  <si>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</si>
  <si>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</si>
  <si>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</si>
  <si>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</si>
  <si>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</si>
  <si>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</si>
  <si>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</si>
  <si>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</si>
  <si>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</si>
  <si>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</si>
  <si>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</si>
  <si>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</si>
  <si>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</si>
  <si>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</si>
  <si>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</si>
  <si>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</si>
  <si>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</si>
  <si>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</si>
  <si>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</si>
  <si>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</si>
  <si>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</si>
  <si>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</si>
  <si>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</si>
  <si>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</si>
  <si>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</si>
  <si>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</si>
  <si>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</si>
  <si>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</si>
  <si>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</si>
  <si>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</si>
  <si>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</si>
  <si>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</si>
  <si>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</si>
  <si>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</si>
  <si>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</si>
  <si>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</si>
  <si>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</si>
  <si>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</si>
  <si>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</si>
  <si>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</si>
  <si>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</si>
  <si>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</si>
  <si>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</si>
  <si>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</si>
  <si>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</si>
  <si>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</si>
  <si>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</si>
  <si>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</si>
  <si>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</si>
  <si>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</si>
  <si>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</si>
  <si>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</si>
  <si>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</si>
  <si>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</si>
  <si>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</si>
  <si>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</si>
  <si>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</si>
  <si>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</si>
  <si>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</si>
  <si>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</si>
  <si>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</si>
  <si>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</si>
  <si>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</si>
  <si>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</si>
  <si>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</si>
  <si>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</si>
  <si>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</si>
  <si>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</si>
  <si>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</si>
  <si>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</si>
  <si>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</si>
  <si>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</si>
  <si>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</si>
  <si>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</si>
  <si>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</si>
  <si>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</si>
  <si>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</si>
  <si>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</si>
  <si>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</si>
  <si>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</si>
  <si>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</si>
  <si>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</si>
  <si>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</si>
  <si>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</si>
  <si>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</si>
  <si>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</si>
  <si>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</si>
  <si>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</si>
  <si>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</si>
  <si>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</si>
  <si>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</si>
  <si>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</si>
  <si>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</si>
  <si>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</si>
  <si>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</si>
  <si>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</si>
  <si>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</si>
  <si>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</si>
  <si>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</si>
  <si>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</si>
  <si>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</si>
  <si>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</si>
  <si>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</si>
  <si>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</si>
  <si>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</si>
  <si>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</si>
  <si>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</si>
  <si>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</si>
  <si>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</si>
  <si>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</si>
  <si>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</si>
  <si>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</si>
  <si>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</si>
  <si>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</si>
  <si>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</si>
  <si>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</si>
  <si>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</si>
  <si>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</si>
  <si>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</si>
  <si>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</si>
  <si>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</si>
  <si>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</si>
  <si>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</si>
  <si>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</si>
  <si>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</si>
  <si>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</si>
  <si>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</si>
  <si>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</si>
  <si>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</si>
  <si>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</si>
  <si>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</si>
  <si>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</si>
  <si>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</si>
  <si>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</si>
  <si>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</si>
  <si>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</si>
  <si>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</si>
  <si>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</si>
  <si>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</si>
  <si>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</si>
  <si>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</si>
  <si>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</si>
  <si>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</si>
  <si>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</si>
  <si>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</si>
  <si>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</si>
  <si>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</si>
  <si>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</si>
  <si>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</si>
  <si>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</si>
  <si>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</si>
  <si>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</si>
  <si>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</si>
  <si>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</si>
  <si>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</si>
  <si>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</si>
  <si>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</si>
  <si>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</si>
  <si>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</si>
  <si>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</si>
  <si>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</si>
  <si>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</si>
  <si>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</si>
  <si>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</si>
  <si>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</si>
  <si>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</si>
  <si>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</si>
  <si>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</si>
  <si>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</si>
  <si>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</si>
  <si>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</si>
  <si>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</si>
  <si>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</si>
  <si>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</si>
  <si>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</si>
  <si>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737859</t>
  </si>
  <si>
    <t>703289</t>
  </si>
  <si>
    <t>634112</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</si>
  <si>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</si>
  <si>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</si>
  <si>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</si>
  <si>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</si>
  <si>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</si>
  <si>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</si>
  <si>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</si>
  <si>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</si>
  <si>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</si>
  <si>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</si>
  <si>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</si>
  <si>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</si>
  <si>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</si>
  <si>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</si>
  <si>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</si>
  <si>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</si>
  <si>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</si>
  <si>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</si>
  <si>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</si>
  <si>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</si>
  <si>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</si>
  <si>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</si>
  <si>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</si>
  <si>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</si>
  <si>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</si>
  <si>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</si>
  <si>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</si>
  <si>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</si>
  <si>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</si>
  <si>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</si>
  <si>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</si>
  <si>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</si>
  <si>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741011</t>
  </si>
  <si>
    <t>PN 102113356  - Need pertinent documents created with PN 102113356 released to production by Friday. (12/19/11)   We have part coming in next week and can not goods receipt with out release of part number.</t>
  </si>
  <si>
    <t>746558</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</si>
  <si>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</si>
  <si>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</si>
  <si>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</si>
  <si>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</si>
  <si>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</si>
  <si>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</si>
  <si>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</si>
  <si>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</si>
  <si>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</si>
  <si>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</si>
  <si>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</si>
  <si>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</si>
  <si>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</si>
  <si>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</si>
  <si>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</si>
  <si>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</si>
  <si>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</si>
  <si>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</si>
  <si>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</si>
  <si>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</si>
  <si>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</si>
  <si>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</si>
  <si>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</si>
  <si>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</si>
  <si>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</si>
  <si>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</si>
  <si>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</si>
  <si>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</si>
  <si>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</si>
  <si>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</si>
  <si>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</si>
  <si>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</si>
  <si>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</si>
  <si>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</si>
  <si>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</si>
  <si>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</si>
  <si>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</si>
  <si>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</si>
  <si>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</si>
  <si>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</si>
  <si>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</si>
  <si>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744468</t>
  </si>
  <si>
    <t>CORRECT PAGE NUMBERING FOR ES-A-540.</t>
  </si>
  <si>
    <t>744765</t>
  </si>
  <si>
    <t>744460</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</si>
  <si>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</si>
  <si>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</si>
  <si>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</si>
  <si>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</si>
  <si>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</si>
  <si>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</si>
  <si>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</si>
  <si>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</si>
  <si>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</si>
  <si>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</si>
  <si>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</si>
  <si>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</si>
  <si>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</si>
  <si>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</si>
  <si>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</si>
  <si>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</si>
  <si>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</si>
  <si>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</si>
  <si>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</si>
  <si>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</si>
  <si>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</si>
  <si>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</si>
  <si>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</si>
  <si>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</si>
  <si>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</si>
  <si>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</si>
  <si>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</si>
  <si>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</si>
  <si>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</si>
  <si>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</si>
  <si>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</si>
  <si>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</si>
  <si>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</si>
  <si>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</si>
  <si>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</si>
  <si>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</si>
  <si>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</si>
  <si>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</si>
  <si>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</si>
  <si>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</si>
  <si>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</si>
  <si>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</si>
  <si>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</si>
  <si>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</si>
  <si>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</si>
  <si>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</si>
  <si>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</si>
  <si>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</si>
  <si>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</si>
  <si>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</si>
  <si>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</si>
  <si>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</si>
  <si>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</si>
  <si>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</si>
  <si>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</si>
  <si>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</si>
  <si>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</si>
  <si>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</si>
  <si>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</si>
  <si>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</si>
  <si>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</si>
  <si>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</si>
  <si>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</si>
  <si>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</si>
  <si>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</si>
  <si>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</si>
  <si>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</si>
  <si>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</si>
  <si>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</si>
  <si>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</si>
  <si>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</si>
  <si>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</si>
  <si>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</si>
  <si>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</si>
  <si>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</si>
  <si>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</si>
  <si>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</si>
  <si>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</si>
  <si>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</si>
  <si>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</si>
  <si>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</si>
  <si>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</si>
  <si>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</si>
  <si>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</si>
  <si>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</si>
  <si>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</si>
  <si>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</si>
  <si>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</si>
  <si>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</si>
  <si>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</si>
  <si>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</si>
  <si>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</si>
  <si>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</si>
  <si>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</si>
  <si>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</si>
  <si>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</si>
  <si>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</si>
  <si>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</si>
  <si>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</si>
  <si>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</si>
  <si>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</si>
  <si>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</si>
  <si>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</si>
  <si>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</si>
  <si>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</si>
  <si>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</si>
  <si>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</si>
  <si>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</si>
  <si>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</si>
  <si>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</si>
  <si>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</si>
  <si>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</si>
  <si>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</si>
  <si>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</si>
  <si>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</si>
  <si>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</si>
  <si>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</si>
  <si>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</si>
  <si>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</si>
  <si>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</si>
  <si>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</si>
  <si>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</si>
  <si>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</si>
  <si>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</si>
  <si>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</si>
  <si>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</si>
  <si>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</si>
  <si>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</si>
  <si>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</si>
  <si>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</si>
  <si>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</si>
  <si>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</si>
  <si>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</si>
  <si>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</si>
  <si>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</si>
  <si>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</si>
  <si>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</si>
  <si>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</si>
  <si>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</si>
  <si>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</si>
  <si>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</si>
  <si>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</si>
  <si>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</si>
  <si>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</si>
  <si>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</si>
  <si>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</si>
  <si>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</si>
  <si>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</si>
  <si>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</si>
  <si>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</si>
  <si>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</si>
  <si>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</si>
  <si>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</si>
  <si>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</si>
  <si>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</si>
  <si>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</si>
  <si>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</si>
  <si>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</si>
  <si>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</si>
  <si>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</si>
  <si>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</si>
  <si>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</si>
  <si>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Nassim Mesaoudi</t>
  </si>
  <si>
    <t>Cesar Ricardo Marin1</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</si>
  <si>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</si>
  <si>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</si>
  <si>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</si>
  <si>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</si>
  <si>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</si>
  <si>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</si>
  <si>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</si>
  <si>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</si>
  <si>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</si>
  <si>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</si>
  <si>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</si>
  <si>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</si>
  <si>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</si>
  <si>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</si>
  <si>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</si>
  <si>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</si>
  <si>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</si>
  <si>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</si>
  <si>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</si>
  <si>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</si>
  <si>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</si>
  <si>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</si>
  <si>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</si>
  <si>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</si>
  <si>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</si>
  <si>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</si>
  <si>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</si>
  <si>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</si>
  <si>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</si>
  <si>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</si>
  <si>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</si>
  <si>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</si>
  <si>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</si>
  <si>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</si>
  <si>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</si>
  <si>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</si>
  <si>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</si>
  <si>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</si>
  <si>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</si>
  <si>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</si>
  <si>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</si>
  <si>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</si>
  <si>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</si>
  <si>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</si>
  <si>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</si>
  <si>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</si>
  <si>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</si>
  <si>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</si>
  <si>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</si>
  <si>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</si>
  <si>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</si>
  <si>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</si>
  <si>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</si>
  <si>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</si>
  <si>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</si>
  <si>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</si>
  <si>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</si>
  <si>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</si>
  <si>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</si>
  <si>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</si>
  <si>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</si>
  <si>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</si>
  <si>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</si>
  <si>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</si>
  <si>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</si>
  <si>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</si>
  <si>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</si>
  <si>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</si>
  <si>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</si>
  <si>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</si>
  <si>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</si>
  <si>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</si>
  <si>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</si>
  <si>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</si>
  <si>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</si>
  <si>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</si>
  <si>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</si>
  <si>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</si>
  <si>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</si>
  <si>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</si>
  <si>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</si>
  <si>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</si>
  <si>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</si>
  <si>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</si>
  <si>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</si>
  <si>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</si>
  <si>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</si>
  <si>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</si>
  <si>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</si>
  <si>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</si>
  <si>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</si>
  <si>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</si>
  <si>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</si>
  <si>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</si>
  <si>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</si>
  <si>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</si>
  <si>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</si>
  <si>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</si>
  <si>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</si>
  <si>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</si>
  <si>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</si>
  <si>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</si>
  <si>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</si>
  <si>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</si>
  <si>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</si>
  <si>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</si>
  <si>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</si>
  <si>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</si>
  <si>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</si>
  <si>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</si>
  <si>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</si>
  <si>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</si>
  <si>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</si>
  <si>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</si>
  <si>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</si>
  <si>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</si>
  <si>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</si>
  <si>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</si>
  <si>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</si>
  <si>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</si>
  <si>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</si>
  <si>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</si>
  <si>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</si>
  <si>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</si>
  <si>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</si>
  <si>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</si>
  <si>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</si>
  <si>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</si>
  <si>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</si>
  <si>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</si>
  <si>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</si>
  <si>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</si>
  <si>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</si>
  <si>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</si>
  <si>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</si>
  <si>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</si>
  <si>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</si>
  <si>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</si>
  <si>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</si>
  <si>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</si>
  <si>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</si>
  <si>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</si>
  <si>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</si>
  <si>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</si>
  <si>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</si>
  <si>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</si>
  <si>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</si>
  <si>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</si>
  <si>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</si>
  <si>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</si>
  <si>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</si>
  <si>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</si>
  <si>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</si>
  <si>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</si>
  <si>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</si>
  <si>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</si>
  <si>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</si>
  <si>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</si>
  <si>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</si>
  <si>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</si>
  <si>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</si>
  <si>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</si>
  <si>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</si>
  <si>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</si>
  <si>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</si>
  <si>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</si>
  <si>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</si>
  <si>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</si>
  <si>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</si>
  <si>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</si>
  <si>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</si>
  <si>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</si>
  <si>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</si>
  <si>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</si>
  <si>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</si>
  <si>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</si>
  <si>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</si>
  <si>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</si>
  <si>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Jameel.Rahman@welldynamics.com</t>
  </si>
  <si>
    <t>MAYRA.HADLEY@HALLIBURTON.COM</t>
  </si>
  <si>
    <t>Dyane.Henson@welldynamics.com</t>
  </si>
  <si>
    <t>Michel.LeBlanc@halliburton.com</t>
  </si>
  <si>
    <t>Gloria.Macias@halliburton.com</t>
  </si>
  <si>
    <t>craig.yeates@halliburton.com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</si>
  <si>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</si>
  <si>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</si>
  <si>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</si>
  <si>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</si>
  <si>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</si>
  <si>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</si>
  <si>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</si>
  <si>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</si>
  <si>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</si>
  <si>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</si>
  <si>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</si>
  <si>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</si>
  <si>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</si>
  <si>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</si>
  <si>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</si>
  <si>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</si>
  <si>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</si>
  <si>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</si>
  <si>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</si>
  <si>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</si>
  <si>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</si>
  <si>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</si>
  <si>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</si>
  <si>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</si>
  <si>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</si>
  <si>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</si>
  <si>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</si>
  <si>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</si>
  <si>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</si>
  <si>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</si>
  <si>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</si>
  <si>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</si>
  <si>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</si>
  <si>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</si>
  <si>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</si>
  <si>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</si>
  <si>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</si>
  <si>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</si>
  <si>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</si>
  <si>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</si>
  <si>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</si>
  <si>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</si>
  <si>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</si>
  <si>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</si>
  <si>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</si>
  <si>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</si>
  <si>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Kieth.wee@hallilburton.com</t>
  </si>
  <si>
    <t>Waqar.ahmed@halliburton.com</t>
  </si>
  <si>
    <t>Cole.Grandjean@halliburton.com</t>
  </si>
  <si>
    <t>Doug.finley@halliburton.com</t>
  </si>
  <si>
    <t>Kelechi.ezennaya@halliburton.com</t>
  </si>
  <si>
    <t>Theodore Soules</t>
  </si>
  <si>
    <t>Khoa Pham</t>
  </si>
  <si>
    <t>Manager/Lead</t>
  </si>
  <si>
    <t>pmSub</t>
  </si>
  <si>
    <t>Pmgroups</t>
  </si>
  <si>
    <t>PMgrpDelim</t>
  </si>
  <si>
    <t>FCgroups</t>
  </si>
  <si>
    <t>FCgrpDelim</t>
  </si>
  <si>
    <t>DIgroups</t>
  </si>
  <si>
    <t>DIgrpDelim</t>
  </si>
  <si>
    <t>Sgroups</t>
  </si>
  <si>
    <t>SgrpDelim</t>
  </si>
  <si>
    <t>Table Control</t>
  </si>
  <si>
    <t>746999</t>
  </si>
  <si>
    <t>747301</t>
  </si>
  <si>
    <t>ECR - PACKER ENVELOPE GENERATIONS FOR EXISTING HF1 PRODUCTS.  TASK WILL INCLUDE ALL REQUIRED DOCUMENTS PLUS THE PUBLISHED ENVELOPE IN A PDF FORMAT.  PART II:
722HF1702611
722HF1703204
722HF1703232
722HF1703233
722HF1764500 - PERFORMANCE ENVELOPE CREATED RTA 627102
IGNORE ALL NEW VAM THREADS</t>
  </si>
  <si>
    <t>Statoil Stjerne M-13</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</si>
  <si>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</si>
  <si>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</si>
  <si>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</si>
  <si>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</si>
  <si>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</si>
  <si>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</si>
  <si>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</si>
  <si>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</si>
  <si>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</si>
  <si>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</si>
  <si>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</si>
  <si>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</si>
  <si>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747000</t>
  </si>
  <si>
    <t>elward.gardner@halliburton.com</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</si>
  <si>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</si>
  <si>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</si>
  <si>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</si>
  <si>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</si>
  <si>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</si>
  <si>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747933</t>
  </si>
  <si>
    <t>Jim.MacDonald@halliburton.com</t>
  </si>
  <si>
    <t>747529</t>
  </si>
  <si>
    <t>Shell  Perdido GA6</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</si>
  <si>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</si>
  <si>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</si>
  <si>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</si>
  <si>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</si>
  <si>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</si>
  <si>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</si>
  <si>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</si>
  <si>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</si>
  <si>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</si>
  <si>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</si>
  <si>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</si>
  <si>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</si>
  <si>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</si>
  <si>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</si>
  <si>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</si>
  <si>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</si>
  <si>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</si>
  <si>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</si>
  <si>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ECR - 3.5 direct HS integration, MN 102085302
The item numbers in the BOM in CWI do not match the item numbers on the drawing, 316916-04-01.
IN ENGINEERING DESIGN_A.BERRET_01/09/2012.
FOLDER RETURNED TO O. EWUMI FOR CHECKING_A. BERRET_01/13/2012.</t>
  </si>
  <si>
    <t>ELEC</t>
  </si>
  <si>
    <t>627101</t>
  </si>
  <si>
    <t>748377</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</si>
  <si>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</si>
  <si>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748374</t>
  </si>
  <si>
    <t>6 foot pup joint with Vam Top box (coupling) on one side and T3SB box on the other</t>
  </si>
  <si>
    <t>748366</t>
  </si>
  <si>
    <t>UPDATE SAP PART NUMBER 594585 AND ITS ASSOCIATED DRAWING (ENG CONTROL) REQUESTED BY K. MOE (SEE ATTACHED EMAIL)</t>
  </si>
  <si>
    <t>katie.moe@welldynamics.com</t>
  </si>
  <si>
    <t>748258</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</si>
  <si>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</si>
  <si>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</si>
  <si>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748591</t>
  </si>
  <si>
    <t>748592</t>
  </si>
  <si>
    <t>ELEC - UPDATE SAP NUMBER 614829 AT REQUEST OF K. PEGODA (SEE EMAILS ATTACHED). PIN PART NUMBER SA3350/1 NEEDS TO BE ADDED TO THE BOM (SEE EMAIL 2 ATTACHED)</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</si>
  <si>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</si>
  <si>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</si>
  <si>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</si>
  <si>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</si>
  <si>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749120</t>
  </si>
  <si>
    <t>SPLT=N/A</t>
  </si>
  <si>
    <t>42: SPLT=140 Cancelling per attached email from submitter.  1/18/12 DM</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</si>
  <si>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</si>
  <si>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</si>
  <si>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749730</t>
  </si>
  <si>
    <t>MAKE CORRECTIONS TO BOMS WHICH CONTAIN INCORRECT QUANTITIES, WHICH SHOULD BE IN METERS, FOR P/N 101805944, 101805975.</t>
  </si>
  <si>
    <t>ted.soules@welldynamics.com</t>
  </si>
  <si>
    <t>Shell Habanero</t>
  </si>
  <si>
    <t>Christopher.Tawse@Halliburton.com</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</si>
  <si>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</si>
  <si>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</si>
  <si>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</si>
  <si>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</si>
  <si>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</si>
  <si>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</si>
  <si>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</si>
  <si>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</si>
  <si>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751401</t>
  </si>
  <si>
    <t>750550</t>
  </si>
  <si>
    <t>Achmigaz</t>
  </si>
  <si>
    <t>update the 71CA118 to include the Autoclave 15MX44K8 adapter fitting</t>
  </si>
  <si>
    <t>Assign to Robert T Class A  1/23/12 DM</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</si>
  <si>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</si>
  <si>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</si>
  <si>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</si>
  <si>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</si>
  <si>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</si>
  <si>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</si>
  <si>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750022</t>
  </si>
  <si>
    <t>Shell Caisson</t>
  </si>
  <si>
    <t>R Smith contacting submitter.  Duplicate request being handled on another RTA.  Will cancel after contact has been made.  1/23/12 DM</t>
  </si>
  <si>
    <t>751704</t>
  </si>
  <si>
    <t>751721</t>
  </si>
  <si>
    <t>ADTI/Enquest-Heather</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</si>
  <si>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</si>
  <si>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</si>
  <si>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</si>
  <si>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</si>
  <si>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</si>
  <si>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</si>
  <si>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750831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</si>
  <si>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</si>
  <si>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</si>
  <si>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</si>
  <si>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750072</t>
  </si>
  <si>
    <t>Chevron Angola Blk 0</t>
  </si>
  <si>
    <t>same as part number 102036908, but with a change in threads from the current T3SB to Tenaris Blue.</t>
  </si>
  <si>
    <t>Cancelled per attached email from C McKay.  1/23/12 DM</t>
  </si>
  <si>
    <t>751185</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</si>
  <si>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</si>
  <si>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</si>
  <si>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</si>
  <si>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</si>
  <si>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</si>
  <si>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</si>
  <si>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</si>
  <si>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</si>
  <si>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</si>
  <si>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</si>
  <si>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</si>
  <si>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</si>
  <si>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</si>
  <si>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</si>
  <si>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</si>
  <si>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</si>
  <si>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</si>
  <si>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</si>
  <si>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751317</t>
  </si>
  <si>
    <t>MN 101903675
Create packer envelope for 722HF1965346 and attach in CWI.</t>
  </si>
  <si>
    <t>751764</t>
  </si>
  <si>
    <t>751278</t>
  </si>
  <si>
    <t>ECR-9290-2786.Gauge Mandrel 9290-2786 there is a missing dimension for the face of the slot to the centre at the left hand side grid C7.E-Mail sent by Mark Guy that the dimension from the pin centre to the slot bottom at grid C7 should be 2.470.</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</si>
  <si>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</si>
  <si>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</si>
  <si>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</si>
  <si>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</si>
  <si>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</si>
  <si>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</si>
  <si>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SPLT=210  No customer PO until end of year. May need to VSF long lead items once this is received. Design waiting for development of 4.5 multi-function ftg kit which is underway. Email attached.  10/13/11 DM  Changed AIS date per PMT mtg.  1/13/12 DM</t>
  </si>
  <si>
    <t>SPLT=154 Emailed field with existing part number to verify new design is still required.  Waiting for response. Email attached.  1/4/12 DM  Customer wants to go to tender so placing RTA on hold per attached email from submitter.  1/10/12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</si>
  <si>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</si>
  <si>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</si>
  <si>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</si>
  <si>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</si>
  <si>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</si>
  <si>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</si>
  <si>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</si>
  <si>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</si>
  <si>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</si>
  <si>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</si>
  <si>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</si>
  <si>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</si>
  <si>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</si>
  <si>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</si>
  <si>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</si>
  <si>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</si>
  <si>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</si>
  <si>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t>
  </si>
  <si>
    <t>ECR - STANDARD WORK, PRESERVATION - Create and release a document that is a standard work for the preservation process for top level assemblies in the Spring facility. Paul Lively 11/18/2011</t>
  </si>
  <si>
    <t>Test MSE seals for 4 1/2 inch HS
3.5- RTA 646073</t>
  </si>
  <si>
    <t>752811</t>
  </si>
  <si>
    <t>752838</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</si>
  <si>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</si>
  <si>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</si>
  <si>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</si>
  <si>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</si>
  <si>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</si>
  <si>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</si>
  <si>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</si>
  <si>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</si>
  <si>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</si>
  <si>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</si>
  <si>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</si>
  <si>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</si>
  <si>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</si>
  <si>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</si>
  <si>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752628</t>
  </si>
  <si>
    <t>752454</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</si>
  <si>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</si>
  <si>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</si>
  <si>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</si>
  <si>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</si>
  <si>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</si>
  <si>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</si>
  <si>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</si>
  <si>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</si>
  <si>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</si>
  <si>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753074</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</si>
  <si>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</si>
  <si>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</si>
  <si>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</si>
  <si>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</si>
  <si>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</si>
  <si>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</si>
  <si>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753285</t>
  </si>
  <si>
    <t>Ellen McGuinness</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</si>
  <si>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</si>
  <si>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</si>
  <si>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753373</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</si>
  <si>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</si>
  <si>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</si>
  <si>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</si>
  <si>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</si>
  <si>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</si>
  <si>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</si>
  <si>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</si>
  <si>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</si>
  <si>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</si>
  <si>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</si>
  <si>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</si>
  <si>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</si>
  <si>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</si>
  <si>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</si>
  <si>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</si>
  <si>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</si>
  <si>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</si>
  <si>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</si>
  <si>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</si>
  <si>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</si>
  <si>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</si>
  <si>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</si>
  <si>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</si>
  <si>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</si>
  <si>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</si>
  <si>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</si>
  <si>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</si>
  <si>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</si>
  <si>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</si>
  <si>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</si>
  <si>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</si>
  <si>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</si>
  <si>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</si>
  <si>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</si>
  <si>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</si>
  <si>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</si>
  <si>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</si>
  <si>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</si>
  <si>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</si>
  <si>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</si>
  <si>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</si>
  <si>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</si>
  <si>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</si>
  <si>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</si>
  <si>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</si>
  <si>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</si>
  <si>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</si>
  <si>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</si>
  <si>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</si>
  <si>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</si>
  <si>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</si>
  <si>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</si>
  <si>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</si>
  <si>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</si>
  <si>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</si>
  <si>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</si>
  <si>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</si>
  <si>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</si>
  <si>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</si>
  <si>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</si>
  <si>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</si>
  <si>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</si>
  <si>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</si>
  <si>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</si>
  <si>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</si>
  <si>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</si>
  <si>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</si>
  <si>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</si>
  <si>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</si>
  <si>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</si>
  <si>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</si>
  <si>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</si>
  <si>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</si>
  <si>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</si>
  <si>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</si>
  <si>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</si>
  <si>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</si>
  <si>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</si>
  <si>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</si>
  <si>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</si>
  <si>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</si>
  <si>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</si>
  <si>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</si>
  <si>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</si>
  <si>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</si>
  <si>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</si>
  <si>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</si>
  <si>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</si>
  <si>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</si>
  <si>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</si>
  <si>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</si>
  <si>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</si>
  <si>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</si>
  <si>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</si>
  <si>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</si>
  <si>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</si>
  <si>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</si>
  <si>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</si>
  <si>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</si>
  <si>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</si>
  <si>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</si>
  <si>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</si>
  <si>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</si>
  <si>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</si>
  <si>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</si>
  <si>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</si>
  <si>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</si>
  <si>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r>
      <rPr>
        <sz val="10"/>
        <color theme="1"/>
        <rFont val="Arial"/>
        <family val="2"/>
      </rPr>
      <t xml:space="preserve">Wildcards * and ? May be used
</t>
    </r>
    <r>
      <rPr>
        <sz val="11"/>
        <color theme="1"/>
        <rFont val="Arial"/>
        <family val="2"/>
      </rPr>
      <t xml:space="preserve">
Type to filter by name:</t>
    </r>
  </si>
  <si>
    <t>753829</t>
  </si>
  <si>
    <t>ECR-316167-02-01. CAN PRE-PLATING AND POST PLATING DIMENSIONS BE ADDED TO THE DRG AS DONE ON PREVIOUS DRAWINGS THAT REQUIRE PLATING.</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</si>
  <si>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</si>
  <si>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</si>
  <si>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</si>
  <si>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</si>
  <si>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</si>
  <si>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Esmeralda.McLeane@welldynamics.com</t>
  </si>
  <si>
    <t>753831</t>
  </si>
  <si>
    <t>ECR-314543-02-01. CAN PRE-PLATING AND POST PLATING DIMENSIONS BE ADDED TO THE DRG AS DONE ON PREVIOUS DRAWINGS THAT REQUIRE PLATING.</t>
  </si>
  <si>
    <t>753833</t>
  </si>
  <si>
    <t>FMC/Petrolog</t>
  </si>
  <si>
    <t>753823</t>
  </si>
  <si>
    <t>ECR-M.N.588463 PART HAS THE DESCRIPTION AS HEXAGONAL SOCKET SET SCREW ISO 3506 A2/A4 NACE 3/8 UNC X 3/8 LONG, SS.
THIS SHOULD BE 3/8 -24 UNF.  SEE PARTS THAT THIS IS USED ON AND THE LEGACY NUMBER.</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</si>
  <si>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</si>
  <si>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</si>
  <si>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</si>
  <si>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</si>
  <si>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754004</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</si>
  <si>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</si>
  <si>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</si>
  <si>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</si>
  <si>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</si>
  <si>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754126</t>
  </si>
  <si>
    <t>Please issue SAP number for the GCDT TEC with Safety Strip. Description below and Specs attached. 
GCDT Part Number 16944 Rev A 
Description: TEC Line with Safety ¿¿ Strip
1/4inch x 0.049inch A825 16AWG Double Extruded Core with FEP insulation &amp; PP secondary extrusion 
Printed on the Line: Husky White Rose Project and length remaining (meters) printed on the line.
Quote Price, 3.90 per ft USD, (12.79 per m USD) - see attached quote</t>
  </si>
  <si>
    <t>Chris Quinton</t>
  </si>
  <si>
    <t>Chris.Quinton@Halliburton.com</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</si>
  <si>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</si>
  <si>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</si>
  <si>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</si>
  <si>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</si>
  <si>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754154</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</si>
  <si>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</si>
  <si>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754378</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</si>
  <si>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</si>
  <si>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</si>
  <si>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755647</t>
  </si>
  <si>
    <t>ECR-9450-7004 9102103217)MISSING DIMENSIONS FOR THE ANGLE FACES AND CBORE TEXT DEPTH OF .35 SHOULD BE REMOVED AS THIS IS DIMENSIONED AS .15 AT END VIEW.</t>
  </si>
  <si>
    <t>755804</t>
  </si>
  <si>
    <t>Al Ahlia Oilfields Development Co</t>
  </si>
  <si>
    <t>Abdallah.Abdulhalim@halliburton.com</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</si>
  <si>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</si>
  <si>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</si>
  <si>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</si>
  <si>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</si>
  <si>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</si>
  <si>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</si>
  <si>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</si>
  <si>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</si>
  <si>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</si>
  <si>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</si>
  <si>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Statoil Brazil</t>
  </si>
  <si>
    <t>755387</t>
  </si>
  <si>
    <t>UPDATE OBJECTS TITLE BLOCK TO MATCH FIRST PAGE.</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</si>
  <si>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</si>
  <si>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</si>
  <si>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</si>
  <si>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</si>
  <si>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</si>
  <si>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</si>
  <si>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</si>
  <si>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</si>
  <si>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</si>
  <si>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</si>
  <si>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</si>
  <si>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</si>
  <si>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</si>
  <si>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755888</t>
  </si>
  <si>
    <t>BHPBilliton</t>
  </si>
  <si>
    <t>754990</t>
  </si>
  <si>
    <t>755193</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</si>
  <si>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</si>
  <si>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</si>
  <si>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</si>
  <si>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</si>
  <si>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756109</t>
  </si>
  <si>
    <t>754866</t>
  </si>
  <si>
    <t>Part drawing states mark part with part number and info, suggest bag and tag as part is small and round. Part numbers affected are 598243,598239,598223,598221.</t>
  </si>
  <si>
    <t>Nicholas Webster</t>
  </si>
  <si>
    <t>Nick.Webster@Halliburton.com</t>
  </si>
  <si>
    <t xml:space="preserve">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 </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</si>
  <si>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t>
  </si>
  <si>
    <t>New ROC Mdrl: JFE, DR, ROC 150
Drawings for a 3 1/2  ROC 150 Dual Redundant 13Cr Mandrel
Gauge (p/n: 9381-6142) (SAP No. 101953598)
Threads to be 3 1/2 x 9.2 JFE Bear
Casing 7 - 32 751524
----
1/26/2012 RB - Design circle completed and attached to RTA. Mandrel design fits within specified drift. Design does not fit concentrically; requestor should verify that this is acceptable.
2/6/2012 MG - DESIGN &amp; DRGS COMPLETE, FORWARDED TO SAM FOR CHECKING.
------
2012-02-06 ST - SENT BACK TO M. GUY FOR CORRECTIONS
2012-02-07 MG - CORRECTIONS MADE, RETURNED TO SAM FOR FINAL CHECKING.
------
2012-02-07 ST - SENT TO R. BAKHTIARY FOR APPROVAL</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</si>
  <si>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</si>
  <si>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</si>
  <si>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754992</t>
  </si>
  <si>
    <t>754870</t>
  </si>
  <si>
    <t>Kuwait Oil Company</t>
  </si>
  <si>
    <t>755309</t>
  </si>
  <si>
    <t>ECR - Revise drawings for 6 line multi-valve control system to as-built status. Top level MN 102106951</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</si>
  <si>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</si>
  <si>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</si>
  <si>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</si>
  <si>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</si>
  <si>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756409</t>
  </si>
  <si>
    <t>756428</t>
  </si>
  <si>
    <t>ECR-102033432 Clamp calls raw material spec ES-MA-58-4. Can this be changed as unable to source flat bar to this spec. Concessed before to use ES-MA-134-23 but if can be changed to use ES-MA-89-4 would be better. Ref clamp 102103217 calls up ES-MA-89-4 material.</t>
  </si>
  <si>
    <t>pm</t>
  </si>
  <si>
    <t>2/13/2012 Flow Control RTA Priorities List</t>
  </si>
  <si>
    <t>Current (last) Sheet Filter Prefix</t>
  </si>
  <si>
    <t>Sheet build version number</t>
  </si>
  <si>
    <t>4.2.0.1</t>
  </si>
  <si>
    <t>SPLT= 140 Emailed submitter for requirements doc.  2/13/12 DM</t>
  </si>
  <si>
    <t>759818</t>
  </si>
  <si>
    <t>Same as 214scv350000 except: add deflector
See requirements document for details
It is not necessary to modify the tool.  If it would be simpler to accomplish designing a clamp on deflector (such as a modified Cannon Clamp) that would be an acceptable solution.
Erosion testing the Deflector is not included in the scope of this RTA.  It will be up to engineering to determine what temperature testing (if any) is necessary.</t>
  </si>
  <si>
    <t>SPLT=N/A  Manufacturing locally in Canada. 2/23/12 DM</t>
  </si>
  <si>
    <t>Joel.shaw2@halliburton.com</t>
  </si>
  <si>
    <t>ECR - Request drawing 304097-00-00 to be issued a material number and set up as a part in CWI. Also, see attached marked up drawing 304097-00-00 for suggested changes, by adding QPQ coating to part to reduce corrosion and galling of the ID thread during test.
THIS RTA WILL BE CANCELLED DUE TO DUPLICATE REQUEST ON RTA 754377 (OEWUMI 13FEB12)</t>
  </si>
  <si>
    <t>SPLT=168  Emailed submitter for requirements document.  2/13/12 DM</t>
  </si>
  <si>
    <t>756689</t>
  </si>
  <si>
    <t>Same As: 101678747; DSPL,BEKA,PNL MTD,IS,SER TEXT
Except: Adjust PLC firmware to handle an option of degrees C and Bar in the display.
Project Name: Grane
Special Quality Plan Required?: No
Material: 
Mating Infomation:
Work With item with RTA Number 00000682094
2012-02-24, TS: In the queue to be worked.</t>
  </si>
  <si>
    <t>13: SPLT=N/A</t>
  </si>
  <si>
    <t>760679</t>
  </si>
  <si>
    <t>Nexen (GEAD)would like Halliburton to provide the splice sub for a 4 x 1/4 hydraulic flatpack (36x12mm) and have a slot machined for the Weatherford splice of Fibre Optic pigtail. This would be used on every 7in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</si>
  <si>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Steve.Ewens@welldynamics.com</t>
  </si>
  <si>
    <t>757214</t>
  </si>
  <si>
    <t>REVISE M/N 102085390 TO INCORPORATE NEW FLATPACK SYSTEM</t>
  </si>
  <si>
    <t>758416</t>
  </si>
  <si>
    <t>CREATE AMS TEMPLATE FOR DI - CONTROL SYSTEM</t>
  </si>
  <si>
    <t>760923</t>
  </si>
  <si>
    <t>Drawing W.302273-00-01 on pg2 Section B-B the R.32 is pointing to a sharp corner and the fillets on the other end of the slot are not there. Need to fix the solid model to add the missing fillets and fix the sharp corners at the other end and Rev the drawing up to Z.</t>
  </si>
  <si>
    <t>760678</t>
  </si>
  <si>
    <t>Nexen (GEAD)</t>
  </si>
  <si>
    <t>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</si>
  <si>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022312 RCVD. FILE BACK FOR REVIEW OF CORRECTIONS. SENDING FILE BACK FOR FURTHER CORRECTIONS. RCVD. FILE BACK FOR CORRECTIONS CHECK. ALL CORRECTIONS COMPLETED. (KEN) END</t>
  </si>
  <si>
    <t>26: SPLT=84 Assigned to Mark G, Change class to C, changed request design complete date to 2/21/2012- 1/3/2012 RB</t>
  </si>
  <si>
    <t>758581</t>
  </si>
  <si>
    <t>I need a design circle for 5.5IN 26PPF Inconel 718 125Ksi MY VAM Top KP Gauge Mandrel made to suit a fully redundant ROC 175 25Ksi Gauge. Bypass slots to allow 3/8IN encapsulated control line to bypass on either side of the mandrel.</t>
  </si>
  <si>
    <t>10: SPLT=N/A</t>
  </si>
  <si>
    <t>758817</t>
  </si>
  <si>
    <t>COPC</t>
  </si>
  <si>
    <t>To Create an HSB 2 7/8 HS ICV with accupulse module in 4140/718 material. HS Series Numbering will be 226HA0F07285UO</t>
  </si>
  <si>
    <t>SPLT=126 PLM requested requirements document from submitter.  2/21/12 DM Emailed submitter for requirements document.  2/28/12 DM</t>
  </si>
  <si>
    <t>760935</t>
  </si>
  <si>
    <t>Tri-wire WHO with 1/2 NPT connection (reference Part Number 9895-6004)
Require new design based on above part number but with:
1.   1/2 NPT pin thread to suit VETCO Control Line Assy - R75380-1 (drawing attached)
2.   Ability to terminate 3 wires
3.   Test port to confirm connection (as per reference)</t>
  </si>
  <si>
    <t>Bruce.gavin@halliburton.com</t>
  </si>
  <si>
    <t>To Create a 3.5 HSB with SHROUD kit with CARBIDE insert and a multi purpose fitting kit. Integration level number will be 226HA0F07355SO</t>
  </si>
  <si>
    <t>SPLT=168 Emailed submitter for requirements document.  2/13/12 DM  Emailed submitter again for requirements document.  2/21/12 DM. Requirements document attached with previous well schematic 2/22/12</t>
  </si>
  <si>
    <t>758872</t>
  </si>
  <si>
    <t>HOT:  REVISE M/N 102131825 TO INCORPORATE FEP INSULATION AND FILLER MATERIAL.</t>
  </si>
  <si>
    <t>ECR - 9 5/8 HF1 packer consumable kit, 101903556, does not have test keys in the BOM. Please add 4 each test keys, MN 595085, to the BOM in CWI.
FOLDER IN T. BORMAN BOX_A. BERRET_02/22/2012------------END</t>
  </si>
  <si>
    <t>759598</t>
  </si>
  <si>
    <t>758573</t>
  </si>
  <si>
    <t>I need technical details and a design circle regarding a 5/8IN Chemical Injection Check Valve installed into a 5.5IN 26PPF Inconel 718 125Ksi MY VAM TOP KP mandrel to fit inside 8.5IN Drift casing with bypass slots big enough to pass 2 off 3/8IN encapsulated control lines on one side of the mandrel, 1 off 11mm encapsulated TEC, and a triple 1/4IN encapsulated flatpack along the other side of the mandrel. The timeframe of this request is being driven by BP Mad Dog which is going to tender by the end of the year.</t>
  </si>
  <si>
    <t>760293</t>
  </si>
  <si>
    <t>Same As: FP-301404-BL; 3 LINE FLATPACK, 1/4 X .049 SS316, WELDE
Except: Please find attached Quote. IT HAS TO BE GCDT with safety strip. Per meter
Tech Start Date is in the past
Project Name: Angsi SmartWell
Special Quality Plan Required?: No
Material: (16) Customer Supplied - Supply detail in description
Mating Infomation:</t>
  </si>
  <si>
    <t>CREATE AMS TEMPLATE FOR SOFTWARE</t>
  </si>
  <si>
    <t>Create Drawings for all (4) plastic inserts (2-7/8, 3-1/2, 4-1/2, 5-1/2) Travis Bordman has all the SolidWorks models to be used for the drawings.
FOLDER WITH T. BORDMAN WITH DRAWINGS FROM A. RIVERA_A. BERRET--------------------------------------------------END</t>
  </si>
  <si>
    <t>758051</t>
  </si>
  <si>
    <t>HES Venezuela</t>
  </si>
  <si>
    <t>Correct Bill of Material for SAP P/N 101069756 (71GS3)to agree with drawing. No BOM in CWI or on Drawing.</t>
  </si>
  <si>
    <t>Jay Bissell/Juan Carlos Rodriguez</t>
  </si>
  <si>
    <t>756833</t>
  </si>
  <si>
    <t>Evaluate whether 596863 - 722HF1965375 can have a pressure rating of 7.5K from current 6K based on where used structural components and packing element assembly (w.302248-01)</t>
  </si>
  <si>
    <t>760294</t>
  </si>
  <si>
    <t>Same As: TEC11221; TEC, 16, A825, 1/4 X .049, TPR, ROUND
Except: Please USE QUOTE ATTACHED HAS TO BE GCDT with Safety Strip.
Per Meter
Tech Start Date is in the past
Project Name: Angsi SmartWell
Special Quality Plan Required?: No
Material: (16) Customer Supplied - Supply detail in description
Mating Infomation:</t>
  </si>
  <si>
    <t>758618</t>
  </si>
  <si>
    <t>OBSOLETE PART NUMBER 596056 IN ORDER TO CREATE NEW PART NUMBER AND CHANGE UNIT OF MEASURE FROM EA TO GAL. THERE IS A QUANTITY OF 4 IN STOCK SO STOCK WILL HAVE TO BE MOVED TO THE NEW PART BEFORE THE OLD PART CAN BE OBSOLETED.</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</si>
  <si>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
2012-02-20, TS: CHANGE TO ECR</t>
  </si>
  <si>
    <t>759165</t>
  </si>
  <si>
    <t>Petronas CariGali</t>
  </si>
  <si>
    <t>Same As: 101799339; WHD FEED THRU KIT,ASSY,W/ 1/2 IN. NPT,6
Except: I want to use ANTECH and was told that I need an RTA to be raised for it to be qualified. I have attached the WHO and Quote.
Tech Start Date is in the past
Project Name: Angsi SmartWell
Special Quality Plan Required?: No
Material: (16) Customer Supplied - Supply detail in description
Mating Infomation:</t>
  </si>
  <si>
    <t>759167</t>
  </si>
  <si>
    <t>758956</t>
  </si>
  <si>
    <t>ECR-BODY CROSSOVER M/N: 593222 (DRG: 311389-00-01) IS TO BE MOLYKOTED AS PER FIND NO 0808.
ADDITIONAL CHANGES WERE PERFORMED AS PER ATTACHED MARKUP FROM RTA 734622 (OEWUMI 22FEB12)</t>
  </si>
  <si>
    <t>Jim Macdonald</t>
  </si>
  <si>
    <t>758969</t>
  </si>
  <si>
    <t>ExxonMobil Kizomba</t>
  </si>
  <si>
    <t>CREATE COIL TUBING PART AND APPLY KZ1 QUALITY PART (SAP MN 693001)
TSG NOTES 022212 SAP MN 693001 BACKFILLED; RECD FOR PROCESSING; QUALITY PROVIDED TDR FOR MARKUP (GMC) END</t>
  </si>
  <si>
    <t>ELWARD GARDNER</t>
  </si>
  <si>
    <t>elward.garnder@halliburton.com</t>
  </si>
  <si>
    <t xml:space="preserve">1:  SIT has been completed successfully at Berwick, LA - AGS 7/31/11 Documentation to be completed early next year.  11/14/11 DM  Meeting held with Accelemetrics to determine schedule for delivery of remaining internal documents. New schedule added to project - AGS 27 Feb 2012 </t>
  </si>
  <si>
    <t>758938</t>
  </si>
  <si>
    <t>OBSOLETE SAP MN 598451 AND SUPERSEDE WITH SAP MN 102012914 PER RAMEEN.
TSG NOTES 02-21-2012 TO TSG FOR PROCESSING; EMAIL SENT TO P. THOMMES IN NORWAY TO ASK TO HAVE STOCK MOVED TO 102012914 FROM 598451 J. CALLAWAY END</t>
  </si>
  <si>
    <t>RAMEEN.BAKHTIARY@HALLIBURTON.COM</t>
  </si>
  <si>
    <t>758006</t>
  </si>
  <si>
    <t>M/N-102054551, Drawing D00508665 Rev.B
Please remove NOTE-2 form the drawing and BOM.
Please add a 16-63 surface finish to the .2500/.2505 bore shown in SECTION R-R, page 2.
IN ENG. DESIGN_A. BERRET_02/27/2012---------------------END</t>
  </si>
  <si>
    <t>OBSOLETE AND SUPERCEDE -SG1 STATOIL 3-DIGIT IDENTIFIER- QA REQUEST DUE TO AGREEMENT ON SB2_SB3 GLOBAL QUALITY PLAN PER D. HICKMAN
TSG NOTES 022711 ON HOLD</t>
  </si>
  <si>
    <t>760404</t>
  </si>
  <si>
    <t>Create layout and inform submitter if design is mechanically feasible.  4-1/2 in 8 RD 13.5 lb API LTC Box X Pin SFrac Valve, Shiftable
Same as existing design with shifting capabilities.
See requirements document and attached drawing for additional details and suggested layout.</t>
  </si>
  <si>
    <t>ELEC - MAKE CHANGES TO THE BUILD FOR MN 597467 BASED ON THE DEVIATION APPROVALS IN ATTACHED MEMO REQUESTED BY KELLEY PEGODA. SEE ATTACHED AMENDED DEVIATIONS PER K. PEGODA 02-13-2012</t>
  </si>
  <si>
    <t>758966</t>
  </si>
  <si>
    <t>CREATE COIL TUBING PART AND APPLY KZ1 QUALITY PART (SAP MN 693000)
TSG NOTES 022212 SAP MN 693000 BACKFILLED; RECD FOR PROCESSING; QUALITY PROVIDED TDR FOR MARKUP (GMC) END</t>
  </si>
  <si>
    <t>7: SPLT=N/A</t>
  </si>
  <si>
    <t>UPDATE REFERENCE NUMBER TO READ SAP PART NUMBER FOR 595765 AND 595767 AND ALSO OBSOLETE PN 595765 AND 595767 BECAUSE THE UNIT OF MEASURE WAS EA. A NEW PART NUMBER WAS CREATED FOR 595765 REF 316417-GU AND 595767 REF 316417-GU-ST0 TO CHANGE THE UOM TO MST.
IN ENG. DESIGN_A. BERRET_02/28/2012---------------------END</t>
  </si>
  <si>
    <t>759749</t>
  </si>
  <si>
    <t>M/N-102117708, Drawing D00586689
The part geometry produces a very thin wall cross section on the lower half at the left side of the 30 deg. ID bevel.
This produced an issue during machining in Livingston, Ref. Qnote 200693295. Please see the attachment in this RTA for an example of a resolution for this issue.
IN ENG. DESIGN_A. BERRET_02/27/2012---------------------END</t>
  </si>
  <si>
    <t>760677</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</si>
  <si>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
IN ENGINEERING DESIGN_A. BERRET_02/23/2012--------------END
DESIGN FOLDER IN T. BORDMAN BOX. CONCERNING CHANGES TO DWG 307019-00-01, ENGINEERING WILL NOT PURSUE THE SUGGESTED IMPROVEMENTS AT THIS TIME AS PER O. EWUMI_A. BERRET_02/23/2012---------------------------------------END</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</si>
  <si>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
FOLDER IN T. BORDMAN BOX_A. BERRET_02/17/2012</t>
  </si>
  <si>
    <t>RTA TO CREATE TEMPLATE FOR AMS SERVERS AND PCS</t>
  </si>
  <si>
    <t>757343</t>
  </si>
  <si>
    <t>Exxon Indonesia</t>
  </si>
  <si>
    <t>Quote Only - EZ-Gauge Surface equipment for Exxon Indonesia.  Main components in place, but need SKID mounted system.  Please see attached e-mails.
2012-02-20, TS:Still working. Awaiting quote for skid and assembly.
2012-02-27, TS: Dana to check status.</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</si>
  <si>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
2012-02-14 WM: An issue with DxDesigner part lister was addressed.  The CL is being generated.  2012-02-14 AB
2012-02-21 WM: Schematic to PCB transfer is in progress.  The design is in the finalization stage.  2012-02-21 AB
2012-02-28 WM: Design review was completed.  The meeting minutes were emailed.  All follow up actions are expected to be completed by March 15.  The PCB layout will be outsourced.  2012-02-28 AB</t>
  </si>
  <si>
    <t>759394</t>
  </si>
  <si>
    <t>All of our hybrid gauges run as single gauges have a dowel pin for support with the exception of the dual redundant gauge.  This came up in a meeting with Shell that they were concerned that their single dual redundant gauge would not have the support of a dowel pin.  We need to look into the possibility of adding this feature to all dual redundant gauges run in single gauge applications.  Shell is soon to place order for this.
2012-02-27, WM: Dual red. mountsub to be analyzed to determine feasibility of adding dowel pin and the best way to proceed with this issue.</t>
  </si>
  <si>
    <t>14.3: splt=N/A</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</si>
  <si>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
Review other Packer sizes could utilize similar gages.</t>
  </si>
  <si>
    <t>757399</t>
  </si>
  <si>
    <t>HES Germany</t>
  </si>
  <si>
    <t>Same As: 71SSS1; SFTY SYS STD RTA DESIGN REQ
Except: part number 101010289 and drawing 93FA138 need to be updated to show Norgren part number 11 002 013 2A.
change the top of the adjusting stem from a T bar to a knob.
Project Name: 
Special Quality Plan Required?: No
Material: 
Technical Support Deliverables:
Preliminary Design Specifications
Reference Assembly Drawing</t>
  </si>
  <si>
    <t>Placed in WD3 after discussions with Aswin. His group will take care of this internally - AGS 27 Feb 2012</t>
  </si>
  <si>
    <t>760905</t>
  </si>
  <si>
    <t>REVISE ENGINEERING DRAWINGS/DOCUMENTS WITH ENGINEERING CONTROLLED AND UNRELEASED INFORMATION:
ENGR DWG 305638-00-01; DOCUMENT 306042-00-00; DOCUMENT 306144-00-00; ENGR DWG 306148-00-00
PER ATTACHED EMAIL FROM HOLLY MARBACK 06/11/11</t>
  </si>
  <si>
    <t>760914</t>
  </si>
  <si>
    <t>REVISE ENGINEERING DRAWINGS/DOCUMENTS WITH ENGINEERING CONTROLLED AND UNRELEASED INFORMATION:
ENGR DWG 313569-00-01; ENG DWG 313571-00-01; ENGR DWG 313583-00-01
PER ATTACHED EMAIL FROM HOLLY MARBACK 06/11/11</t>
  </si>
  <si>
    <t>ConocoPhilips require a Single ROC Gauge Mandrel of the following specification:
4 1/2 in x 13.5 LB/FT 13Cr80 Tenaris Blue Pin x Pin
Gauge will be ROC- 175 16k single gauge 0.75 OD SAP No 101863926
------
2012-02-27 ST - SENT TO M.GUY FOR CHECKING.
2012-02-28 MG - CHECKED, RETURNED TO SAM FOR SMALL MODS.
------
2012-02-28 ST - SENT TO R. BAKHTIARY FOR APPROVAL</t>
  </si>
  <si>
    <t>10: SPLT=126 Email to submitter re: requirements document and quality requirements. 2/8/12 DM; Follow up on requirements and quality 2/13/12 DM Emailed follow up to submitter.  2/15/12 DM</t>
  </si>
  <si>
    <t>ECR-316436-00-01.On sheet 2 can the .63 scallop dimension be changed to .79 (20mm) with us moving the scallop ONLY pitch out by .08 to compensate.  
This will allow us to use a larger cutter to give us more reach down the body.
Okayed by Paul James with comment I do not have a problem with that.  probably helps tooling issues a lot.  
We will still have plenty of clearance for the bolt.  Effectively all that is happening is that the scallop is getting a bit wider. 18-03-2009
DESIGN FOLDER WITH T. BORDMAN_A. BERRET_02/22/2012------END</t>
  </si>
  <si>
    <t>CHANGE INTERNAL TEST PRESSURE VALUE IN FAT PROCEDURES AND DESIGN DATA SHEETS FOR 70XX MC1 PACKERS FROM 7500 PSI TO 5500 PSI (THE SS CONTROL LINE TUBES 313298-FC THAT SEE COLLAPSE PRESSURE DURING THE FAT ARE RATED ONLY TO 6000 PSI IN COLLAPSE AT AMBIENT)- RAVI VAYEDA
REVISE BURST AND COLLAPSE PRESSURE ON ALL 70XX PACKERS DDS AND AMS TO 5,000 PSI EACH (BASED ON SS CONTROL LINE TUBES) AS DISCUSSED WITH RAVI &amp; DAMON. (OEWUMI 23FEB12)</t>
  </si>
  <si>
    <t>759633</t>
  </si>
  <si>
    <t>ECR-9290-2831. At the VAM BOX thread end the description says PIN. Should say BOX.</t>
  </si>
  <si>
    <t>759885</t>
  </si>
  <si>
    <t>ECR- 9290-2793 REV A
WRONG MATERIAL IN MATERIAL SPEC BOX.
DIFFERENT TO BOM.</t>
  </si>
  <si>
    <t>760555</t>
  </si>
  <si>
    <t>CREATE DOCUMENTATION RELATED TO PSA ASSEMBLY THAT DID NOT CARRY OVER CORRECTLY DURING INTEGRATION. UPDATE PSA AND VMA ASSEMBLIES WITH THE RIGHT REFERENCE DOCUMENTATION.</t>
  </si>
  <si>
    <t>758948</t>
  </si>
  <si>
    <t>CREATE COIL TUBING PART AND APPLY KZ1 QUALITY PART (SAP MN 692997)
TSG NOTES 022212 SAP MN 692997 BACKFILLED; RECD FOR PROCESSING; QUALITY PROVIDED TDR FOR MARKUP (GMC) END</t>
  </si>
  <si>
    <t>8: SPLT=N/A</t>
  </si>
  <si>
    <t>758964</t>
  </si>
  <si>
    <t>CREATE COIL TUBING PART AND APPLY KZ1 QUALITY PART (SAP MN 692998)
TSG NOTES 022212 SAP MN 692998 BACKFILLED; RECD FOR PROCESSING; QUALITY PROVIDED TDR FOR MARKUP (GMC) END</t>
  </si>
  <si>
    <t>11: SPLT=N/A</t>
  </si>
  <si>
    <t>758965</t>
  </si>
  <si>
    <t>CREATE COIL TUBING PART AND APPLY KZ1 QUALITY PART (SAP MN 692999)
TSG NOTES 022212 SAP MN 692999 BACKFILLED; RECD FOR PROCESSING; QUALITY PROVIDED TDR FOR MARKUP (GMC) END</t>
  </si>
  <si>
    <t>9: SPLT=N/A</t>
  </si>
  <si>
    <t>760475</t>
  </si>
  <si>
    <t>REMOVE DDS (DESIGN DATA SHEET) FROM ASSEMBLY PARTS WHICH HAVE NEWLY-CREATED AMS SHEETS.</t>
  </si>
  <si>
    <t>damon.trahan@welldynamics.com</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</si>
  <si>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
DESIGN FOLDER WITH MARK-UPS PLACED IN T. BORDMAN BOX_A. BERRET_02/21_2012---------------------------------------END</t>
  </si>
  <si>
    <t>756682</t>
  </si>
  <si>
    <t>Requesting Assembly and Test doc. 309840-01-01 Rev.16 is updated to reflect the Internal body test as an optional but not required test for punch release packers. The premium connections are under warranty and do not require testing advisable by Paul James per email inserted. This change would also need to be made to the Spec. Sheet of the following material : 101832627,101935977,101917896,101915813,101849346,101838492. This change would eliminate hours thus decreasing the cost and help maintain the original integrity of the premium threads. Change to the Spec. Sheet would clear up questions with T.P.I. And Production. Christopher Vancamp 2-13-2012 
To Whom It May Concern,
I have asked this question a few times, Do we test Premium Connections? Tools typically affected are Gauge Mandrels for example  and Punch release packers to my current knowledge. Specifically material 101849346 has two premium connections. The setting Chamber is tested well in advance and charted. So my other question is why do a body test. A straddle is installed to protect the setting chamber from seeing pressure. Is the reason because the router,  procedure 309840-01-01 Rev. 16 page 19 and the Spec. Sheet calls out a internal body test. What are we testing? Typically in an KO HF1 we are checking the KO plugs, thus is why out test practices have reverted back to the flow of the procedure. Valves get an internal to check the Metal to metal seals or choke. The point is, are we testing the premium connections when we do an internal body test for a PUNCH RELEASE Packer? This is new territory and would like feedback. 
Thank you,
Christopher Vancamp
Elec./Mech. Technician
Night Shift Back-Up Lead
WD/Halliburton Completion Tools
Cell: 281-732-7486
Chris,
                I am probably as qualified as anyone to answer this question?..
                The answer to your question is that we do not require that premium connections be tested.  As this is a licensed geometry and carries a warranty from the manufacturer, it is not necessary to test the connections.  Further unnecessary torquing and removal of test caps shortens the life of the customer connections.
                There are a few product lines that require a body test ? This is mostly a hold-over from the old ways ? This is most notably gauge and chemical injection mandrels.  This will probably not change significantly in the near future, but it would probably be wise to work to eliminate this test.
                We do not body test valve integrations.
                For the knock-out plug packers, we are testing the knock-outs.  Arguably that could be done on the body-crossover prior to assembly if we wanted to go to that length.
                I agree that the body test on the punch release packers is a holdover and of little value.
Omotayo,
                Please get with Debra and see what (if any) ramifications there would be if we removed this from the punch release packer assembly instructions.  If there is no compelling reason to maintain the test, please remove it from the procedure.
                                Paul
IN ENG. DESIGN_A. BERRET_02/27/2012---------------------END</t>
  </si>
  <si>
    <t>756766</t>
  </si>
  <si>
    <t>M/N-102030585, Drawing D00436079-04 Rev.B
M/N-102030581, Drawing D00436071-03 Rev.B
Please change the material requirement from ES-MA-46-2 to AMS-5596 for Inconel 718 plate. I spoke will Paul James about this and he agrees that it will make material procurement for these parts much easier.</t>
  </si>
  <si>
    <t>For drawing D00425903 open up the all (3) .44 inch dia. counter sink holes by .010 inch. The new diameter should be .045 inches to allow the head to drop through.
Anthony Rivera 1/30/2012
FOLDER WITH T. BORDMAN_A. BERRET_02/20/2012-------------END</t>
  </si>
  <si>
    <t>SPLT=168 Emailed field for requirement documents.  2/13/12 DM  Emailed submitter again for requirements document.  2/21/12 DM</t>
  </si>
  <si>
    <t>ELEC and MECH - ICE - Non-Intrusive Flow Meter MOC</t>
  </si>
  <si>
    <t>758786</t>
  </si>
  <si>
    <t>ECR-9290-2846. O/DIA BLANKING DIMENSION FOR 7-29 TENARIS HYDRIL BLUE THREAD BOX COUPLING IS INCORRECT. 7.697  .000/-.047 SHOULD BE 7.697  .000/-.040.
------
2012-02-21 ST - SENT TO J. SEALE FOR CHECKING
------
2012-02-28 ST - SENT TO R. BAKHTIARY FOR APPROVAL</t>
  </si>
  <si>
    <t>ECR - Request drawing 304097-00-00 to be issued a material number and set up as a part in CWI. Also, see attached marked up drawing 304097-00-00 for suggested changes, by adding QPQ coating to part to reduce corrosion and galling of the ID thread during test.
FOLDER RETURNED TO T. BORDMAN_A. BERRET_02/15/2012_ END</t>
  </si>
  <si>
    <t>760014</t>
  </si>
  <si>
    <t>Adx Energy, Alpine Oil and Gas</t>
  </si>
  <si>
    <t>Same As: 71SSS1; SFTY SYS STD RTA DESIGN REQ
Except: Review Safety Panel Request Form submitted by Nassim for ADX Energy and Apline Oil and Gas.  Please advise if we have an existing panel design that will work or design a new panel to these specifications if we do not.
Project Name: 
Special Quality Plan Required?: No
Material: 
Technical Support Deliverables:
Preliminary Design Specifications
Reference Assembly Drawing</t>
  </si>
  <si>
    <t>760834</t>
  </si>
  <si>
    <t>Require engineering confirmation and dwg for combined gauge mandrel and cable protector running OD inside a 9 5/8in 53.5lb with a drift ID of 8.379 (api standard). Cable protector to be positioned 2 meters above the gauge mandrel and we are concerned that the combined offset will present a running OD outwith the ID of the casing. If this is the case, we would like a dwg illustrating a barretting angle that would allow the assemblies to fit.
Please find Shell Glider Running OD dwg attached as a barretting reference. Also attached is ref mandrel 9290-SCH2853 (7in 29lb dual ROC mandrel assy) and SCH-5961 (7in CCP).</t>
  </si>
  <si>
    <t>Next Generation ICV development
See requirements document.
ZEWO     103896446
Network  HTWF602103</t>
  </si>
  <si>
    <t>759824</t>
  </si>
  <si>
    <t>CHANGE INTERNAL TEST PRESSURE VALUE IN FAT PROCEDURES, AMS AND DESIGN DATA SHEETS FOR 96XX MC1 PACKERS FROM 7500 PSI TO 5500 PSI (THE SS CONTROL LINE TUBES 313298-FC THAT SEE COLLAPSE PRESSURE DURING THE FAT ARE RATED ONLY TO 6000 PSI IN COLLAPSE AT AMBIENT)- RAVI VAYEDA
REVISE BURST AND COLLAPSE PRESSURE ON ALL 96XX PACKERS DDS AND AMS TO 5,000 PSI EACH (BASED ON SS CONTROL LINE TUBES) AS DISCUSSED WITH RAVI &amp; DAMON. (OEWUMI 23FEB12)
IN ENG. DESIGN_A. BERRET_02/27/2012---------------------END</t>
  </si>
  <si>
    <t>ERIC.MORRELL@welldynamics.com</t>
  </si>
  <si>
    <t>Add position sensor simulator to the existing ramping gauge simulator software/hardware package.
ADD A SERIAL CABLE TO THE FINAL KIT</t>
  </si>
  <si>
    <t>760918</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</si>
  <si>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t>
  </si>
  <si>
    <t>TASK TO RELEASE NEW PARTS (HF1 PACKERS). ADD DRAWINGS TO RESPECTIVE PARTS. BOM NOT REQUIRED AT THIS TIME. UPON  PARTS RELEASE, THEY ARE TO BE PLACED ON TECHNOLOGY HOLD AS PER P. JAMES
IN ENG. DESIGN_A.BERRET_02/28/2012----------------------END</t>
  </si>
  <si>
    <t>758813</t>
  </si>
  <si>
    <t>To Create a HSB 2 7/8 HS ICV with Digi hydraulics and accupulse modules in 4140/718 material. HS series numbering will be 226HDAF07285U (A-F)</t>
  </si>
  <si>
    <t>SPLT=126 PLM requested requirements document from submitter.  2/21/12 DM  Emailed submitter for requirements document.  2/28/12 DM</t>
  </si>
  <si>
    <t>760944</t>
  </si>
  <si>
    <t>Total AWYN</t>
  </si>
  <si>
    <t>5in 23.2ppf, 13Cr 85Ksi, VT Chemical Injection Mandrel.
13CR 85ksi Vam Top x Vam Top
1/4 control line- 9 5/8 53.5lb Casing
1/4 FMJ-H for control line connection to the CV 
Coated Mandrel ID- Coating Material to be confirmed
Mandrel to be supplied Filter sub for down-hole filtration.</t>
  </si>
  <si>
    <t>SPLT=126 Emailed submitter re: AIS date and quality identifier.  2/28/12 DM</t>
  </si>
  <si>
    <t>Kelechi Ezennaya@halliburton.com</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</si>
  <si>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
FOLDER IN T. BORDMAN BOX_A. BERRET_02/16/2012-----------END</t>
  </si>
  <si>
    <t>757314</t>
  </si>
  <si>
    <t>Need to get GUIs updated for Accupulse Test Station.  We currently have an order for a test station, and need to get the software completed to work with the system.  The Think and Do software we have needs to be upgraded, and the GUIs are not transferrable to the new version.</t>
  </si>
  <si>
    <t>ELEC - eSSSV Development
2012-02-07 WM: Review of the design is under progress.  Surface unit design is being evaluated and necessary test equipment are being procured. 2012-02-07 AB
2012-02-14 WM: Review meeting is being held in Carrollton on the roadmap for eSSSV project.  The surface unit and downhole PCB assembly are being tested for handover of design to Joseph.  2012-02-14 AB
2012-02-21 WM: The meeting was completed and a road map to trial well followed by electronics redesign.  The project kick off will be held in March.
2012-02-28 WM: The surface equipment, downhole PCB testing and MCM design specification are being conceptualized.  The project kick off is on schedule to be in March.  2012-02-28 AB</t>
  </si>
  <si>
    <t>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</si>
  <si>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Drawing W.304236-00-00 Rev.J
17 associated material numbers.
Please add a note to the drawing that states,
KEEP ALL 6 PIECES TOGETHER AS A MATCHED SET.
FOLDER IN T. BORDMAN BOX_A. BERRET_02/15/2012_END</t>
  </si>
  <si>
    <t>M/N-102081455, Drawing 313771-10-01 Rev.A
Please move the triangle NOTE 1 at the diameter dimension 3.5995/3.6000 to the length dimension 2.85.
FOLDER IN TRAVIS BOX FOR DISTRIBUTION_A.BERRET_02/15/2012</t>
  </si>
  <si>
    <t>756692</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</si>
  <si>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t>
  </si>
  <si>
    <t>ECR 307019 00 01 PLEASE ADD THE CORRECT BLANKING DIMENSIONS FOR THE NSCC THREAD. SEE ATTACHED EMAIL.
FOLDER IN T. BORMAN BOX_A. BERRET_02/21/2012------------END</t>
  </si>
  <si>
    <t>758582</t>
  </si>
  <si>
    <t>Design Circle - 5.5IN 26 ppf 125 ksi 3/8IN Check Valve
I need a design circle for 5.5IN 26PPF Inconel 718 125Ksi VAM Top KP CIM with a 3/8IN check valve installed and bypass slots for 3/8IN encapsulated control lines on either side of the mandrel.
------
2012-02-23 ST - SENT TO M. GUY FOR CHECKING</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</si>
  <si>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
2012-02-28 WM: A low level debugger action has been initiated.  A Linux based debugger is in the works.  2012-02-28 AB</t>
  </si>
  <si>
    <t>ECR 316850-00-01 REV B CAN THE LENGTH OF THE NATIONAL THREAD BE ADDED BACK IN TO DRAWING. LENGTH SHOWS AS BEING 3.95 INCHES IN REV 1
FOLDER IN T. BORDMAN BOX_A. BERRET_02/17/2012</t>
  </si>
  <si>
    <t>759408</t>
  </si>
  <si>
    <t>ECR - Change the MAX. HYDRAULIC PRESSURE from 10,000PSI to 7,500 PSI on the Design Data Sheet 216H000745U1O00
FOLDER IN ENG. DESIGN_A. BERRET_02/24/2012--------------END</t>
  </si>
  <si>
    <t>ECR - request a new part number pre-swage tool, new design. Please find the attached red-lined drawing to create new pre-swage tool for shop use in Spring. The handle is longer and thicker to make use easier.
DESIGN FOLDER WITH T. BORDMAN_A. BERRET_02/23/2012------END</t>
  </si>
  <si>
    <t>759196</t>
  </si>
  <si>
    <t>ECR-9290-2496 (597044 and 102135263)The drg calls up spec A-213. The BOM calls ES-MA-20-31.  Can the BOMs and drg be changed to call up spec ES-MA-89-4 as the L80 13Cr for this Gauge Mandrel is difficult to source.</t>
  </si>
  <si>
    <t>CHANGE DRG 315685-02-01 TO HAVE THE MIN WALL THICKNESS ADDED AND RUN OUT TOL TO THE SAME AS ON DRGS 315685-00-01- AND -01-01.
FOLDER WITH T. BORDMAN_A. BERRET_02/20/2012-------------END</t>
  </si>
  <si>
    <t>758519</t>
  </si>
  <si>
    <t>Bapetco</t>
  </si>
  <si>
    <t>Same As: 71SSS1; SFTY SYS STD RTA DESIGN REQ
Except: Review technical clarification sent in by customer today for project no. 600025t102, tender no. 97/1/05914MS, quote no. 21674299.  due date for answers is Feb 23.
Project Name: 
Special Quality Plan Required?: No
Material: 
Technical Support Deliverables:
Preliminary Design Specifications
Reference Assembly Drawing
2012-02-20, TS: refer to RTA 742477. Ted and Robert T. to review.
2012-02-24, TS: Robert T. to Review answers questions today from Bapetco and send.
TSG NOTES 022812 RCVD. FILE FOR PROCESSING. (KEN) END</t>
  </si>
  <si>
    <t>M/N-593899 Drawing 313151-00-01 Rev.D and M/N-593901 Drawing 313152-00-01 Rev.C
Please update the End and Center Element drawings to reflect the approved dimensional deviations for Custom Rubber Products. Please reference attached deviations...
FOLDER RET. TO T. BORDMAN_A. BERRET_02/20/2012----------END</t>
  </si>
  <si>
    <t>758628</t>
  </si>
  <si>
    <t>Please create a SAP number for an unthread mandrel of 597044.  Order has been submitted and is due in April.  Need part number released ASAP.</t>
  </si>
  <si>
    <t>4 1/2 inch Multi-Conductor Electro-Hydraulic Disconnect Development for Maersk Qatar
ZEWO     103898982
Network  HTWF602098</t>
  </si>
  <si>
    <t>UPDATE DRAWING W.302169-00-00 PER CWI STANDARDS. UPDATE ALL CORRESPONDING PARTS WITH W. PREFIX
TSG NOTES 022412 RCVD. FILE FOR PROCESSING. (KEN) END</t>
  </si>
  <si>
    <t>759860</t>
  </si>
  <si>
    <t>Same As: A5500-W02-S2-SM1; 5-1/2IN CBL PRTR ASSY JFE BEAR - SM1
Except: I need an SAP number for the GCDT 41/2 LT Protectors. Quote and drwg as attached.
Tech Start Date is in the past
Project Name: Angsi
Special Quality Plan Required?: No
Material: (16) Customer Supplied - Supply detail in description
Mating Infomation:</t>
  </si>
  <si>
    <t>759861</t>
  </si>
  <si>
    <t>Same As: A5500-W02-S2-SM1; 5-1/2IN CBL PRTR ASSY JFE BEAR - SM1
Except: 31/2 HD Protectors from GCDT. Quote and drwg as attached
Tech Start Date is in the past
Project Name: Angsi
Special Quality Plan Required?: No
Material: (16) Customer Supplied - Supply detail in description
Mating Infomation:</t>
  </si>
  <si>
    <t>760681</t>
  </si>
  <si>
    <t>Same as 102089847  3.5 Shrouded HSB ICV w/multi purpose fitting kit except:
Change trim to D00548300-01
Process as ECN- See attached trim info
Original valve design on RTA 712290</t>
  </si>
  <si>
    <t>Kevin Wood</t>
  </si>
  <si>
    <t>Kevin.wood2@halliburton.com</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</si>
  <si>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
2012-02-14 WM: The hybrids are expected to be delivered on Feb 24th.  The simulators from Avanti are being evaluated.  Avanti simulators will be used for ROC-X hybrid testing.  The QD ASIC will be used to build the transducer simulator later.  2012-02-14 AB
2012-02-21 WM: The simulator PCB schematic has been completed.  ASIC are on order for the simulator.  The Hybrids are due this week and testing will be started next Monday.  2012-02-21 AB
2012-02-28 WM: ROC-X hybrid test at ambient was completed successfully.  The TX Main fix on second batch of ASICs was verified by Quartzdyne.  Test kits builds will be started and an open lid Hybrid will be probed for characterization.  2012-02-28 AB</t>
  </si>
  <si>
    <t>760700</t>
  </si>
  <si>
    <t>ECR D00591417 REV A. THE 8.0-8 STUB ACME PIN THREAD SHOULD HAVE-LEFT HAND THREAD ON THE THREAD CALL OUT.</t>
  </si>
  <si>
    <t>758588</t>
  </si>
  <si>
    <t>Design Circle - 4.5IN 17ppf 125 ksi Triple ROC-175 Gauge
I need a design circle for 4.5IN 17PPF Inconel 718 125Ksi MY VAM Top Triple Gauge Mandrel with ROC 175 25Ksi triple gauge assembly. Bypass slots to accommodate 35mm on either side.</t>
  </si>
  <si>
    <t>9: SPLT=N/A  2/27/2012 DM, Contact Wolfy to clarify gauge requirements</t>
  </si>
  <si>
    <t>759002</t>
  </si>
  <si>
    <t>CPI NO. 300214197 RELATED-ECR:  
1.  REVISE DWG 092363-03-01 WITH NEW 1 NPT NOZZLE REFERENCE OR COMMODITY NUMBERS PLUS REVISE ALL APPLICABLE SAP NUMBERS WITH CHANGES. 
2.  GENERATE NEW DWG (D NUMBER -01,...) AND SAP NUMBERS FOR 1 NPT NOZZLE WITH TABLE FOR DIFFERENT SIZES SIMILAR TO DWG 316311-00-01</t>
  </si>
  <si>
    <t>omotayo.ewumi@Halliburton.com</t>
  </si>
  <si>
    <t>758637</t>
  </si>
  <si>
    <t>ECR TO ADD MISSING DIMENSIONS PER EMAIL</t>
  </si>
  <si>
    <t>757463</t>
  </si>
  <si>
    <t>ECR-9450-2400 DRG HAS A BORE DIMENSION FOR THE 5.75-10 ACME THREAD AS 5.625 +.002-.000. THIS CAN NOT BE ACHIEVED AS THE BORE TOLEARANCE FOR THIS THREAD IS 5.6550-5.6500.</t>
  </si>
  <si>
    <t>Description:  UPDATE DRAWINGS 312660-00-01, 312087-00-01 AND 311046-00-01;
TASK 724775 HAS COMPLETED THE REQEUST ABOVE, PLEASE CANCEL RTA. (OEWUMI 14FEB12)
TSG NOTES 021412 RCVD FILE TO BE PROCESSED. TO BE CANCELLED REF. TASK NUMBER 724775. (KEN) END</t>
  </si>
  <si>
    <t>759385</t>
  </si>
  <si>
    <t>ECR - TEST CELL CAPABILITY CHART - Request that a chart be created that provides details of the pressure limitations, lengths of casings, insided diameters and other necessary information to determine capability of the test cell. Paul Lively 2/22/12</t>
  </si>
  <si>
    <t>For drawing 308091-09-01, section (N-N) requires a call out change. Change it from 33/18 to 33/9. This reflects a shorter screw length for item 9 that will avoid protrusion in the assembly.
IN ENGINEERING DESIGN_A. BERRET_02/24/2012--------------END</t>
  </si>
  <si>
    <t>SPLT=112 Emailed submitter re: completion date and clarification of Code 4 shift sleeve metallurgy.  2/21/12 DM</t>
  </si>
  <si>
    <t>ECR-031092-12-01 SHEET 2 GRID REF E9. 3/8-24 UNC HOLES SHOULD BE 3/8-14 UNF.
FOLDER IN T. BORDMAN BOX_A. BERRET_02/15/2012_END</t>
  </si>
  <si>
    <t>758402</t>
  </si>
  <si>
    <t>CNR Ivory Coast</t>
  </si>
  <si>
    <t>5.5 - 17 TSH Blue ROC 150 Mand.
Same As: 9290-2479; MANDREL ASSY 5-1/2 17 ROC-S TENARIS BLUE
Except: This RTA is required for a ROC 150 gauge mandrel with tenaris blue thread and 5.5 inch size connection. The gauge to be used with the mandrel is a ROC 150 dual redundant gauge to measure tubing only.
Tech Start Date is in the past
Project Name: Espoir
Special Quality Plan Required?: No
Material: (7) 13 CR 80 MY 22HRC (ES-MA-58-7)
Mating Infomation:
Work With item with Part Number 9381-6142
2012-02-27, WM: Assign to James, class B</t>
  </si>
  <si>
    <t>15: SPLT=112  Emailed submitter re: standard lead time.  2/20/12 DM  Recd response from customer and adjusted AIS date. Email attached.  2/21/12 DM</t>
  </si>
  <si>
    <t>ECR-D00515022. Missing dimension on sheet 2 grid ref G3 for position and width of radial slot. Taken dimension from solidworks drg as 2.16 and .77 wide.
FOLDER PLACED IN T. BORDMAN BOX FOR DISTRIBUTION_A. BERRET_02/15/2012---------------------------------------END</t>
  </si>
  <si>
    <t>Upper Level M/N-101840913 Carrier, Inner Carbide Assy.
M/N-101840320, Drawing D00390756 Rev.C
Please change the 7X 2.899/2.901 reference OD at the right side of DETAIL-B to 7X 2.8995/2.9000, leave the triangle 1 associated with this dimension.
FOLDER IN T. BODMAN BOX FOR DISTRIBUTION_A. BERRET_02/15/2012</t>
  </si>
  <si>
    <t>756691</t>
  </si>
  <si>
    <t>Same As: 101678747; DSPL,BEKA,PNL MTD,IS,SER TEXT
Except: Adjust Single Well Application software to handle an option of degrees C and Bar in the display.
Project Name: Grane
Special Quality Plan Required?: No
Material: 
Mating Infomation:
Work With item with RTA Number 00000682094</t>
  </si>
  <si>
    <t>760673</t>
  </si>
  <si>
    <t>Same as 102091428 3.5 HSB ICV w/deflector except:
Change trim to D00548300-01
Process as ECN- See attached trim info
Original valve design on RTA 712307</t>
  </si>
  <si>
    <t>UPDATE DRAWING W.302276-00-01 PER CWI STANDARDS. UPDATE ALL CORRESPONDING PARTS WITH W. PREFIX.
TSG NOTES 02-24-2012 TO TSG FOR PROCESSING. WAS/IS/DWG TO QUALITY FOR REVIEW/APPROVAL. J. CALLAWAY END</t>
  </si>
  <si>
    <t>UPDATE DRAWING W.302548-00-00 PER CWI STANDARDS. UPDATE ALL CORRESPONDING PARTS WITH W. PREFIX
TSG NOTES 022812 RECD FOR PROCESSING (GMC) END</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</si>
  <si>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
2011-12-05 WM: Procurement terms and conditions are being negotiated with the vendor.  Detail drawings of mechanical assembly is in progress.
2011-12-12 WM: PO has been issued for third party hydrophone.  The circuit diagram will be updated with the tristate buffer for sharing a single pin with firing circuit and communication.
2011-12-19 WM: The schematic is in the final review stage.  The layout will be completed and boards will be placed on order. 2011-12-19 AB
2012-01-03 WM: The crystals for PCB assembly are on order.  Third party hydrophones are on order testing will commence later this week.  Engineering detailed drawings are being processed through Beacon.
2012-01-10 WM: The HTI (third party) hydrophones have been received and tested.  The results are being analyzed.  The response has been observed to be considerably better than Proto 01 hydrophones from Quartzdyne.  A memo will be circulated to the stakeholders this week.  The PCB assemblies will be ordered with one-two week turnaround.  2012-01-10 AB
2012-01-24 WM: 30KPSI Kemlon connectors are on order.  The firmware will be tested on Rev B board by this week.  A PO will be issued to Hydrophone vendor with delivery date at end of March.  A mechanical engineering design review will be completed. 2012-01-24 AB
2012-01-31 WM: A design review was completed with PLM and mechanical engineering detailed design has been started.  The hydrophone design is being modified for vibration considerations.  The PO will be placed after the design is accepted by the vendor.  UART and EEPROM functionality have been tested. 2012-01-31 AB
2012-02-07 WM: Detail design has been completed with part numbers to be loaded to CWI.  The firmware testing is underway.  The procurement of materials will be started.  2012-02-07 AB
2012-02-14 WM: QD is working on the quote for the downhole tool.  The depassivation routine in firmware is being evaluated.  The PO has been issued for 30K hydrophone.  Trial well date has been set to July 2012.  2012-02-14 AB
2012-02-21 WM: Final drawings for acoustic version is being loaded.  The test setup for long term testing has been completed.  The firmware version for long term testing will be completed this week.  2012-02-21 AB
2012-02-28 WM: A quote on tool build has been received from Quartzdyne.  Drawings have been loaded in CWI.  Test fixture for hydrophone testing is under review.  The test fixture is ready for oven testing.  The firmware is being finalized and PCBs will be programmed after finalization.  Oven testing will begin by end of this week.  Surface equipment BOM is being built.  2012-02-28 AB</t>
  </si>
  <si>
    <t>760762</t>
  </si>
  <si>
    <t>REVISE MN 101873800 TO CHANGE WORKING PRESSURE TO 7.5K.  
HS VALVE ITSELF IS GOOD FOR 10K, BUT THE INTEGRATION IS LIMITED TO 7.5K DUE TO 9.20 LB/FT VAM TOP THREADS.
ALSO ADD SPLICE KIT TO BOM TO TERMINATE THE POSITION SENSOR PIGTAIL IN THE NON-ACTIVE HALF.  A NEW 25CR NON-ACTIVE HALF (D00409422-NL) WILL NEED TO BE CREATED.</t>
  </si>
  <si>
    <t>M/N-591124 and 591126, Drawing W.302243-00-00
Please remove the 6.995/7.000 dimension as this is not necessary for manufacturing the part and meeting geometry requirements.
FOLDER IN T. BORDMAN BOX FOR DISTRIBUTION_A.BERRET_02/15/2012------------------------END</t>
  </si>
  <si>
    <t>The reference Gauge Mandrel is the SAP: 102124903, RTA changes as follows:
(a)	Change material to 13Cr 80K
(c)	Final assembly needs be under the 8.379in casing drift.  
This mandrel will be run inside the 9 5/8in 53.5lb casing.</t>
  </si>
  <si>
    <t>DH 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</si>
  <si>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SPLT=84 On hold waiting for quality requirements to be agreed by submitter.  1/8/12 DM  2/20/2012 DM, follow up with Valerie for status update</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</si>
  <si>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
2012-02-14 WM: The power supply optimization and TDR implementation is continuing.  2012-02-14 AB
2012-02-21 WM: Sensor Design is testing the optimization.  The firmware testing to verify all functionality similar to previous IWIS cards has been completed.  2012-02-21 AB
2012-02-28 WM: Sensor Design are currently working on AEM power supply.  IWIS optimization will be picked up after AEM power supply design has been completed.  2012-02-28 AB</t>
  </si>
  <si>
    <t>42: SPLT=154 Well cancelled.  Design far enough along it will be completed for future needs. 4/18/11 DM</t>
  </si>
  <si>
    <t>The assembly requires two (P/N 313566-00 SAP 594282) key stocks.  The BOM Drawing, 313285-02-01 Rev. 2 Item 42, only has a qty of one.  Reference parts; (Upper Body 316310-00-01 Section P-P)and (Lower Body 316309-00-01 Detail C).  There needs to be two keys to secure the two bodies together.
FOLDER IN T. BORDMAN BOX_A.BERRET_02/15/2012 END</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</si>
  <si>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
ZEWO  103896444
Network  HTWM602104</t>
  </si>
  <si>
    <t>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
2012-02-20, TS: Design review on Wednesday
2012-02-24, TS: Design review on Tuesday the 28th.
2012-02-27, TS: Due to workload push back design review to Tuesday March 6.</t>
  </si>
  <si>
    <t>15: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 Jay to follow up onAIS date.2/20/12 DM</t>
  </si>
  <si>
    <t>40: SPLT=N/A On design hold waiting for designs by Carrollton FC. RTA 707224-718 Landing Nipple, 707227-718 Lock Mandrel, 707231-718 Equalizing Valve/Prong.  8/22/11 DM Pushed out AIS date and TRDD per P James.  9/20/11 DM</t>
  </si>
  <si>
    <t>41: SPLT=N/A On design hold waiting for designs by Carrollton FC. RTA 707224-718 Landing Nipple, 707227-718 Lock Mandrel, 707231-718 Equalizing Valve/Prong.  8/22/11 DM Pushed out AIS date and TRDD per P James.  9/20/11 DM</t>
  </si>
  <si>
    <t>39: SPLT=N/A  On design hold waiting for designs by Carrollton FC. RTA 707224-718 Landing Nipple, 707227-718 Lock Mandrel, 707231-718 Equalizing Valve/Prong.  8/22/11 DM Pushed out AIS date and TRDD per P James.  9/20/11 DM Revised AIS and TRDD per P James.  10/5/11 DM</t>
  </si>
  <si>
    <t>38: SPLT=N/A On design hold waiting for designs by Carrollton FC. RTA 707224-718 Landing Nipple, 707227-718 Lock Mandrel, 707231-718 Equalizing Valve/Prong.  8/22/11 DM Pushed out AIS date and TRDD per P James.  9/20/11 DM Revised AIS and TRDD per P James.  10/5/11 DM</t>
  </si>
  <si>
    <t>30: SPLT= N/A @@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</si>
  <si>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31: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</si>
  <si>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
2012-02-20, WM: Dana to place into desgin hold and follow up on most recent attached email</t>
  </si>
  <si>
    <t>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  Emailed Colton again for response.  2/250/12 DM</t>
  </si>
  <si>
    <t>21: SPLT=126 Pushed AIS and TRDD per P James.  9/20/11 DM  Changed AIS date per PMT mtg.  1/13/12 DM  Chgd to Code 1 because once design is released it will be used on the next well.  1/24/12 DM</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</si>
  <si>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
2012-02-20, WM: Rameen to get with Jim and contact submitter</t>
  </si>
  <si>
    <t>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  2/20/2012 DM: Place in design hold; design circle does not fit</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</si>
  <si>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2012-02-28 WM - Qty 2 PCB assembled and conformal coated for evaluation.  A document highlighting all testing requirements have been started.  Visual inspection, voltage rails tests, programming and communication establishment has been performed.  A review meeting will be scheduled this week for sign off on Gate 3 and Gate 4.  2012-02-28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
2012-02-07 WM: Hunting Innova have not confirmed a delivery date.  This is expected to be by first week of March.  Characterization and long term testing will be started once the boards are delivered.  2012-02-07 AB
2012-02-14 WM: Hunting Innova have started the assembly.  The delivery is expected to be on schedule.  Qty 5 PDGIC PCB assembly is ready for qualification testing.  2012-02-14 AB
2012-02-21 WM: Hunting innova confirmed delivery by end of February.  Testing will commence as soon as the Qty 2 PCBA are received.  2012-02-21 AB</t>
  </si>
  <si>
    <t>3: OPC interface document received from Aker, PLC logic change review meeting has been performed and project plan has been updated to include all steps required for project completion - AGS 7/31/11  Anticipate completion mid March 2012.  11/14/11 DM  2012-02-21 AGS: Added new project schedule for software configuration and testing of software</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</si>
  <si>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
2012-02-01, TS: Awaiting to affirm final technical overview document was or will be sent to customer in project data file then RTA relased. Should have by Friday 02-03.
2012-02-03, TS: Meeting scheduled with Graham for Monday 02-06.
2012-02-08, TS: task promoted. To Ted to approve.
022812 RTA WAS ASSIGNED TO DYANE HENSON WITH NO NOTIFICATION THE LOWER LEVEL TASK IS NOT COMPLETED T00000728594.PENDING APPROVAL FROM TED SOULES.</t>
  </si>
  <si>
    <t>1: SPLT=N/A    Dan/Josh to be ready for vendor quote by 12/31.  11/28/11 DM  Documentation to be completed and forwarded to Ted for approval.  1/16/12 DM  Submitter asked for revision of technical report.  Mtg to review 1/24.  1/23/12 DM  T Soules to approve and push.  2/13/12 DM</t>
  </si>
  <si>
    <t>43: SPLT=N/A</t>
  </si>
  <si>
    <t>SPLT=168  Emailed submitter and requested a requirements document.  10/27/11 DM  Recd and attached requirements document.  11/2/11 DM  Placing on design hold until field supplies metallurgy confirmation per S Saldanha.  12/9/11  DM  Cancelling per attached email from S Saldanha.  2/22/12 DM</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</si>
  <si>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 Cancelling per attached email from S Saldanha.  2/22/12</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</si>
  <si>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
2012-02-14, TS: Creating spreadsheet for components. FM is coming to vist on 5th. Meeitng to be set up with QAN person at FM
2012-02-20 TS: Dan about halfway done with table. FM sent quote for certification. To be started after evaluation with FM week of March 5.
2012-02-24, TS: Kelley creating NDA for FM. Ted to call and confirm their visit on March 5.</t>
  </si>
  <si>
    <t>11: SPLT=196 @@ Dan working on design and will contact SIRA for ATEX certification once design is complete.  11/28/11 DM  Waiting for Lorimer quote with ATEX certification.  12/9/11 DM  Ted sending info to alternate ATEX approved supplier.  1/16/12 DM  Mtg w/FM 1/24.  1/23/12 DM  FM coming to Spring to assess sample of our systems week of 3/5.  FM to set up design control meetings with T Soules and D Hickman. Dan preparing table of ATEX cert requirements. 2/13/12 DM</t>
  </si>
  <si>
    <t>32: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</si>
  <si>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Review attached Control Panel designs.  create new halliburton designed panels with same or equal inputs and outputs.  Bid Due date has not been advised at this time.
2012-01-03 Still awaiting response from field. Rta needs to be put on DH
2012-02-08, TS: take off design hold. RObert T. and Hakeem to review drawings and complete design. ready to be sent out for quote by March 2.
2012-02-15, TS: Started working again. will schedule a design review tomorrow.
2012-02-20, TS: will have design review this week.
2012-02-24, TS; will have design review as time allows.
2012-02-27, TS: Design review tomorrow 02-28</t>
  </si>
  <si>
    <t>6: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 Design review this week. .  2/13/12 DM. Jay to follow up with AIS date. 2/20/2012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</si>
  <si>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
2012-02-21 WM: All parts for prototyping are on order or purchase requests have been created.  All documentation has been updated and loaded in CWI.  The AD red lines will be provided to Josh after prototyping.  2012-02-21 AB
2012-02-28 WM: All purchase requests have been released along with overlay and purchase parts.  Hai has been setup to test the AC DC Detector and DC power PCB assembly.  Rack Mount XPIO and Dual Power XPIO will be worked on simultaneously.  2012-02-28 AB</t>
  </si>
  <si>
    <t>SPLT=140  Attached updated requirements document reflecting thread changes to Tenaris Blue.  11/17/11 DM  Placing on design hold until field supplies metallurgy confirmation per S Saldanha.  12/9/11 DM  Cancelling per attached email from S Saldanha.  2/22/12 DM</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</si>
  <si>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
TSG NOTES 022712 RECD FOR PROCESSING; QUALITY PROVIDED DRAWING FOR MARK UP (GMC) END</t>
  </si>
  <si>
    <t>35: SPLT=140  Emailed submitter regarding 5/12/12 delivery date per PMT. Waiting for confirmation from field to change AIS date.  1/19/12 DM Confirmation from field to push AIS date-email attached. 1/20/12 DM  Emailed submitter for splice orientation details.  1/25/12 DM  Customer markup of splice orientaiton attached.  1/26/12 DM</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</si>
  <si>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
TSG NOTES 022212 RECD FOR PROCESSING; PROVIDED QUALITY WITH DRAWING FOR MARKUP; 022712 RECD MARKUP FROM QUALITY; RTA SENT FOR REVIEW AND APPROVAL (GMC) END</t>
  </si>
  <si>
    <t>3: SPLT=140 Emailed submitter regarding 5/12/12 delivery date per PMT. Waiting for confirmation from field to change AIS date.  1/19/12 DM Confirmation from field to push AIS date-email attached. 1/20/12 DM  Emailed submitter re: no bumper bar to anchor flatpack.  1/25/12 DM  Emailed submitter re: no response to flatpack question.  2/14/12 DM Field responded and advised to go ahead with design without bumper bars. Email attached.  2/15/12 DM</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</si>
  <si>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
------
23012-01-24 MG - DESIGN COMPLETE, FORWARDED TO SAM FOR CHECKING.
------
2012-01-27 ST - SENT EMAIL TO SUBMITTER REQUESTING REASON FOR USING SINGLE METAL SEAL CABLE TERMINATION ON 20K GAUGE. WAITING FOR REPLY.
------
2015-01-27 ST - DUAL METAL SEAL WILL BE USED PER SUBMITTER
------
2012-01-27 ST - SENT BACK TO M. GUY FOR CORRECTIONS
------
2012-01-30 MG - CORRECTIONS COMPLETED, FORWARDED TO SAM FOR RE-CHECKING.
------
2012-01-31 ST - SENT TO R. BAKHTIARY FOR APPROVAL
TSG NOTES 022412 RECD FOR PROCESSING; 022712 QUALITY PROVIDED TDRs FOR MARKUP; 022712 REQUESTED THREAD CLASS FROM G. BREERWOOD FOR 9290-2799 (GMC) END</t>
  </si>
  <si>
    <t>18: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</si>
  <si>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
------
2012-02-01 ST - SENT TO R. BAKHTIARY FOR APPROVAL
TSG NOTES 022312 RECD FOR PROCESSING; 022412 QUALTIY PROVIDED TDRs FOR MARKUP; 022712 REQUESTED THREAD CLASS FROM G. BREERWOOD FOR 9290-2854 (GMC) END</t>
  </si>
  <si>
    <t>16: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</si>
  <si>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New ROC Mdrl 2 b used on Visund v4
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t>
  </si>
  <si>
    <t>7: SPLT=126  2/27/2012 DM, Using design on Visund V4</t>
  </si>
  <si>
    <t>23: SPLT=126  Changed AIS date per Shell rig schedule and confirmation of G Breerwood. Confirmation email attched.  1/19/12 DM</t>
  </si>
  <si>
    <t>Same As: 216HAP1035U3O00SB2; VLV INTEGD HS ACCUPULSE,3-1/2 -SB2
Except: 
All flow wetted parts to be made of Inc.718.
Rest ?? 13Cr.
TSG NOTES: TO TSG FOR PROCESSING. DWGS TO QUALITY FOR MARKUP 02-28-2012 JCC END</t>
  </si>
  <si>
    <t>12: @@ SPLT=168 Emailed submitter regarding 9/1/12 delivery date per PMT. Waiting for confirmation from field to change AIS date.  1/19/12 DM</t>
  </si>
  <si>
    <t>12: SPLT=126 Changed AIS date per Shell rig schedule and confirmation of G Breerwood.  Confirmation email attached. 1/19/12 DM</t>
  </si>
  <si>
    <t>13: SPLT=168 @@ Emailed submitter regarding 9/1/12 delivery date per PMT. Waiting for confirmation from field to change AIS date.  1/19/12 DM Emailed Marius regarding shroud adapter threads.  2/20/12 DM Submitter confirmed threads. Design proceeding.  2/21/2012 DM</t>
  </si>
  <si>
    <t>Not required for order
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</si>
  <si>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32: SPLT=168  Cancelling per submitter customer wants HS instead of HVC valves. Completed most of design so will go ahead and complete. 1/27/12 DM  Emailed submitter re: AIS date...well completing end of Oct,2012. 2/21/12 DM</t>
  </si>
  <si>
    <t>Same As: 722HF1106504; PKR,HF1,1065,TBG SET,KO PLUG,25CR
Except: 
1. Material to be 13Cr
2. Quality plan to be SB2
TSG NOTES TO TSG FOR PROCESSING; DWGS TO QUALITY FOR MARKUP. MARKUPS BACK TO TSG. TO QUALITY FOR REVIEW AND APPROVAL 02-16-2012 J. CALLAWAY END</t>
  </si>
  <si>
    <t>2: SPLT=168 @@ Emailed submitter regarding 9/1/12 delivery date per PMT. Waiting for confirmation from field to change AIS date.  1/19/12 DM</t>
  </si>
  <si>
    <t>17: SPLT=168 Emailed submitter regarding 9/1/12 delivery date per PMT. Waiting for confirmation from field to change AIS date.  1/19/12 DM EMailed submitter re: splice orientation.  2/13/12 DM</t>
  </si>
  <si>
    <t>14: SPLT=168 @@ Emailed submitter regarding 9/1/12 delivery date per PMT. Waiting for confirmation from field to change AIS date.  1/19/12 DM</t>
  </si>
  <si>
    <t>Same as: 235SF0967018-SB2;  CLP,SPLC,9670,13CR,7-29.00 VAMTOP -SB2
Except: Change Material to 25Cr
TSG NOTES 021612 RECD FOR PROCESSING; QUALITY PROVIDED DRAWING FOR MARKUP; 022712 RECD MARKUPS FROM QUALITY; RTA SENT FOR REVIEW AND APPROVAL (GMC) END</t>
  </si>
  <si>
    <t>6: SPLT=140</t>
  </si>
  <si>
    <t>33: SPLT=168  Changed AIS date per PMT.  Need to finish design asap for field design reviews.  1/13/12 DM</t>
  </si>
  <si>
    <t>34: SPLT=168  Called submitter re: attached email from S Saldanha. Left message.  1/16/12 DM  Emailed submitter re: AIS date...well completing end of Oct,2012. 2/21/12 DM</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</si>
  <si>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
2012-02-15, TS: To Ted to approve
2012-02-20, TS: Changed from cabinet with 6 modules to cabinet with 2 modules. Drawings and BOMs being changed.
2012-02-24, TS: should be ready to be sent for approval Monday. Check on fiber-ethernet issue.</t>
  </si>
  <si>
    <t>8: SPLT=126 Design should be released by end of week.  2/13/12 DM</t>
  </si>
  <si>
    <t>11: SPLT= 126 Emailed field re: AIS date and quality requirements.  1/26/12 DM  Email attached regarding AIS date from submitter.  1/26/12 DM</t>
  </si>
  <si>
    <t>Safety System - Quote Only - Achimgaz
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
2012-02-08: TS, Awaiting on vendors for information Preliminary design review scheduled for Firday 02-10.
2012-02-15: TS, Sent out for quote. asked for quotes to be returned Monday. Finishing list of changes to be sent to Olga by Friday.
2012-02-20: TS, Quotes due in Wed
2012-02-24, TS, Still awaiting quotes. Should have today.
2012--02-27, TS, Add quotes to project file and release.</t>
  </si>
  <si>
    <t>5: SPLT=N/A Waiting for vendor quotes.  Initial design review held.  2/13/12 DM</t>
  </si>
  <si>
    <t>Same As: 71SSS1; SFTY SYS STD RTA DESIGN REQ
Except: Revise Item 001, QTY 2 each of:
WELL HEAD CONTROL PANEL
CONSISTING OF THE FOLLOWING
Hydraulic Power Unit
Accumulator Rack
Ref 71ZZ3058
Control Module
Halliburton pilots High/low
Ref 71PP8KRATU
Six Well Module Frame
Pilots mounting Side Plates
Ref 71ZZ3059
Solar Power Unit
320 Watt Solar Panel
Ref 71SH7ABDDATU
Installation Kit
for 71SH7BDDATU
Ref 71SHC1ATU
Remote Shut in
Ref 71CA93ATU
Installation Kit
Ref 71PPK8XATU
All assembled in 316 SS cabinet
Note: IR349000 501 Wellhead Control, Monitoring and Shutdow 03/30/2008
As per Yolanda email and attached files received today.  No due date noted in this request from Aramco.
Project Name: 
Special Quality Plan Required?: No
Material: 
Technical Support Deliverables:
Preliminary Design Specifications
Reference Assembly Drawing
2012-02-01, TS Preliminary design review on Friday Feb 3.
2012-02-08, TS: Sent out for quote. Awaiting charge code to create data books.
2012-02-20, TS: Awaiting quotes.
2012-02-24, TS: Robert to add quotes to project data file and send to Ted for Approval.
TSG NOTES 022812 RCVD. FILE FOR PROCESSING. (KEN) END</t>
  </si>
  <si>
    <t>12: SPLT=N/A Dana to provide charge code to Robert T for Saudi.  2/13/12 DM</t>
  </si>
  <si>
    <t>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
2012-02-03: TS, assign to Hakeem. Due date 2-16
2012-02-08: TS, Send out for quote on Friday 02-10. Request one week extension.
2012-02-15: TS, Received extension till the 23rd. To be sent out for quote Friday Feb 17.
2012-02-20: TS, design review first thing in morning. Will ask for extension after assessment.
2012-02-24: TS, quotes due in on 28th. T. soules to responde to Chandrans e-mail.
2012-02-27: TS, responded to E-mail. awaiting a response.</t>
  </si>
  <si>
    <t>7: SPLT=N/A Recd extension to 2/23.  Design in process.  2/13/12 DM</t>
  </si>
  <si>
    <t>QUOTATION ONLY
Same As: 71SSS1; SFTY SYS STD RTA DESIGN REQ
Except: Update drawing package for 71PP3
Project Name: 
Special Quality Plan Required?: No
Material: 
Technical Support Deliverables:
Preliminary Design Specifications
Reference Assembly Drawing
02-08-2012, TS: Redesign should be ready to be sent out for quote on Friday 02-10.
02-15-2012, TS: wrote e-mail to Khaled El-Amir for clarifications yesterday. Awaitng response.
02-20-2012, TS: no response. resent e-mail today.
02-27-2012, TS: sent out quote to customer. Need to close out RTA.</t>
  </si>
  <si>
    <t>14: SPLT=N/A  Out for quote.  2/13/12 DM</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</si>
  <si>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
TSG NOTES 022812 RCVD. FILE FOR PROCESSING. SENDING BACK TO ENGINEER FOR CORRECTIONS. (KEN) END</t>
  </si>
  <si>
    <t>24: SPLT=N/A  Emailed submitter for clarification. RTA description conflicts with requirements document.  2/13/12 DM  Emailed submitter to confirm single line.  2/20/12 DM</t>
  </si>
  <si>
    <t>Same As: 71SSS1; SFTY SYS STD RTA DESIGN REQ
Except: Set up Haskel pump model no. 4B55, Otis legacy P/N 93ST1532 with SAP P/N.
Project Name: 
Special Quality Plan Required?: No
Material: 
Mating Infomation:
2012-02--08, TS: Send to be checked tomorrow. To be sent to TSG by Friday 02-10
2012-2-24, TS: sent e-mail to Chandran to clarify pump requirement. Awaiting response.</t>
  </si>
  <si>
    <t>11: To T Soules to approve.  2/13/12 DM</t>
  </si>
  <si>
    <t>(TEC (Tubing Encapsulated Conductor,( Tube; 1/4 in. x 0.049 in. wall, Alloy 825 material), Encapsulated: Santoprene with 80MILS,  0.410 in. OD round- White in color, stamp length in meters on Santoprene, P-06 Filler, FEP, T-05 Fluropolymer Dielectric insulation, 16 gauge solid copper conductor, CP-1, Supplied on Torroidal metal spool, 60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R-0000732754
TSG NOTES 022012 RECD FOR PROCESSING; PROVIDED QUALITY WITH TDR FOR MARKUP; 022712 RECD MARKUPS FROM QUALITY; RTA SENT FOR REVIEW AND APPROVAL; QUALITY ADVISED THAT A CUSTOMER SPEC WAS OUT FOR REVIEW AND APPROVAL AND THAT SPEC NEEDS TO BE ATTACHED TO THE MN (GMC) END</t>
  </si>
  <si>
    <t>1: SPLT=N/A  Emailed submitter re: insulation of TEC.  1/13/12 DM Submitter response regarding insulation in attached email.  2/15/12 DM</t>
  </si>
  <si>
    <t>Chemical Injection Mandrel with 3/8 inch Check Valve.  
4 1/2 inch 12.6lb VAM TOP BxP, 
with (2) bypass slots to secure 1 each 11 mm TEC line
Material Inc 718
SE-1 Quality Plan
2-09-2012 MG - Assigned to Mark for design.
2-13-2012 MG - Design complete.
2-14-2012 MG - Forward to Sam for checking
------
2012-02-14 ST - SENT BACK TO M. GUY FOR CORRECTIONS
2012-02-14 MG - CORRECTIONS COMPLETE, FORWARD TO SAM FOR FINAL CHECK</t>
  </si>
  <si>
    <t>17: SPLT=126</t>
  </si>
  <si>
    <t>SPLT=168  Emailed submitter re: AIS date...well completing end of Oct,2012. 2/21/12 DM  Placing on hold per attached email from field.  2/22/12 DM</t>
  </si>
  <si>
    <t>37: SPLT=N/A</t>
  </si>
  <si>
    <t>757064</t>
  </si>
  <si>
    <t>Shell Europa</t>
  </si>
  <si>
    <t>4IN 13.2PPF S13CR110Ksi Class B VAM DRS Chemical Injection Mandrel. 1/2IN Chemical Injection. No bypass slots. SE1 Quality Plan. EDS Required. EFD Required. CERT Documentation Required.
2012-02-20, WM: Assign to James, class B; std. lead time.</t>
  </si>
  <si>
    <t>21: SPLT=126</t>
  </si>
  <si>
    <t>19: SPLT=84</t>
  </si>
  <si>
    <t>757062</t>
  </si>
  <si>
    <t>4IN 13.2PPF S13CR110Ksi MY Class B VAM DRS Gauge Mandrel to suit ROC 175 20Ksi rated Fully Redundant Gauge Assembly. This mandrel should have bypass slots to accommodate 0.66IN Control Line. SE1 Quality Plan. EDS required. EFD required. CERT Documentation required.
2012-02-20, WM: Assign to Mark class B; standard lead time
2012-02-21, MG: Design complete, forward to James for checking
2012-02-23, J. SEALE checking completed small changes, sending back to M. GUY for correction.
2012-02-24, MG: Changes complete, forward to James for checking corrections.
2012-02-24, J. SEALE sending to R. BAKHTIARY for approval</t>
  </si>
  <si>
    <t>22: SPLT=126</t>
  </si>
  <si>
    <t>17: SPLT=98 @@</t>
  </si>
  <si>
    <t>756490</t>
  </si>
  <si>
    <t>Gauge mandrel 2 b mfd. in Canada
This is being created for Mark Bedry.  Please address all questions to him.
He only requires the design, the carriers will be built in Alberta at a Halliburton Approved Machine Shop.
SO No. 9275368
The WD parts we require:
	WellDynamics					
	Material Number	Legacy Number	Description	QTY	  	
	101863926	9381-6034	GAUGE SUB-ASSEMBLY, ROC-175, 0.75IN OD,  0-16K PSIA, 25-177C	1	  	
	101865405	9381-6026	GAUGE SUB-ASSEMBLY, ROC-175, FEEDTHRU,  1.125 INCH OD, 0-16K PSIA, 25-177C	  2	  	
	598392	9388-6038	ROC-S CABLE TERMINATION ASSEMBLY  (MP35N)	5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OH size is 216mm
NOTE from Martin Staelens: If it would help to get this design done this week, please concentrate on one mandrel - the feed-thru mandrel if the single sensor can be fitted to this mandrel too.
------
2012-02-20 ST - SENT TO J. SEALE FOR CHECKING
2012-02-20, WM: Dana to follow up with requirements document and Rameen to clarify RTA scope with Martin Staelens. Dana put into WIP</t>
  </si>
  <si>
    <t>13: SPLT=N/A  To be machined locally.  2/17/12 DM</t>
  </si>
  <si>
    <t>mark.bedry@halliburton.com</t>
  </si>
  <si>
    <t>757556</t>
  </si>
  <si>
    <t>1/4 OD x 0.049 WT Alloy 825 welded?? &amp; cold drawn annealed tubing
Encapsulated as 11mm 11mm in red TT260 thermoplastic, 800 ft
TUBE TEC	T-17562</t>
  </si>
  <si>
    <t>Emailed submitter for requirements document again.  2/21/12 DM Emailed submitter with third request for requirements document.  2/28/12 DM</t>
  </si>
  <si>
    <t>Ray Taylor</t>
  </si>
  <si>
    <t>Ray.taylo2r@halliburton.com</t>
  </si>
  <si>
    <t>20: SPLT=84</t>
  </si>
  <si>
    <t>757068</t>
  </si>
  <si>
    <t>Shell Olympus</t>
  </si>
  <si>
    <t>4IN 13.2PPF S13CR110Ksi Class B VAM DRS Gauge Mandrel to suit ROC 175 25Ksi Fully Redundant Gauge. Bypass slots to accommodate bare 3/8IN Control Line. SE1 Quality Plan, EFD required. EFS required. CERT documentation required.
2012-02-20, WM: Assign to James, class B; std. lead time.</t>
  </si>
  <si>
    <t>28: SPLT=126</t>
  </si>
  <si>
    <t>756903</t>
  </si>
  <si>
    <t>Woodside Australia</t>
  </si>
  <si>
    <t>DH SAP PART NUMBER REQUIRED
In order to supply a proposal to Woodside for 14 off EFS stsyems a SAP number is required for the new tubing hnager connector.
The Tronic part number is DHCE-B36-BD-01P-1534-135.
The deatiled drawing will be supplied when released by Tronic.
The unit cost as per Tronic Quote is 21,727
021412 PRE-RELEASED PART REQUESTED AND RELEASED REF 102133441 DSH
2012-02-20, WM: Assign to Sam, class A; standard lead time</t>
  </si>
  <si>
    <t>24: SPLT=84  2/20/2012 DM: verify quality plan. No quality applied per P Allardyce.  2/20/12 DM</t>
  </si>
  <si>
    <t>756694</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</si>
  <si>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
2012-2-20, TS: Dan to send e-mail to Keith Wee to clarify requirements.
2012-02-24, TS: still working Keith to get specifications clarified.</t>
  </si>
  <si>
    <t>10: SPLT=126</t>
  </si>
  <si>
    <t>757067</t>
  </si>
  <si>
    <t>4IN 13.2PPF S13CR110Ksi Class B VAM DRS Chemical Injection Mandrel using 3/8IN Check Valve. No bypass slots. SE1 Quality Plan. EFD required. EDS required. CERT documentation required. Update: 02/16/2012 - According to Shell Completion Engineer, we will need to make the running OD of the CIM 5.68IN if possible. Also, the ID of the mandrel design circle does not match nominal 4IN 13.2PPF tubing dimensions according to the Shell CE. Lastly, Shell wants the ability to straddle the CIM port as contingency. We will use a landing nipple above the mandrel and a sub with a polished bore below the mandrel. Carrollton will design this portion.  Mandrel design only. Carrollton will handle straddle design. 
2012-02-20, WM: Assign to James class B, standard lead time.</t>
  </si>
  <si>
    <t>27:  SPLT=126  2/27/2012 DM, Contact Wolfy to veryify and update RTA requirements regarding nipple profile in mandrel.</t>
  </si>
  <si>
    <t>758623</t>
  </si>
  <si>
    <t>Non-Feed Thru Variant
WellDynamics Material Legacy Number 101863926
Description GAUGE SUB-ASSEMBLY, ROC-175, 0.75IN OD,  0-16K PSIA, 25-177C	
101865405	9381-6026	GAUGE SUB-ASSEMBLY, ROC-175, FEEDTHRU,  1.125 INCH OD, 0-16K PSIA, 25-177C	  	  	
598392	9388-6038	ROC-S CABLE TERMINATION ASSEMBLY  (MP35N)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OH size is 216mm</t>
  </si>
  <si>
    <t>14: SPLT=N/A Mandrel to be machined locally,  2/22 MS.</t>
  </si>
  <si>
    <t>757882</t>
  </si>
  <si>
    <t>Statoil Visund Sor V4</t>
  </si>
  <si>
    <t>Same as 105XO0554504-SB2 with the follwing modifications:
1. Change Box thread in top to 4 1/2inch 12,6 lbs/ft VT
2. Change Pin thread in bottom to 5 1/2inch 23 lbs/ft VT HC
3. Quality Plan SB2
Essentially we just need the reverse of reference x-over 105XO0554504-SB2</t>
  </si>
  <si>
    <t>16: SPLT=140 @@</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</si>
  <si>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
2012-02-21 WM: The cable simulator ECR has been completed.  The Dual Power XPIO is being prototyped and will transition to rack mount XPIO.  The AD will be completed after CWI and completion of all documentation.  2012-02-21 AB
2012-02-28 WM: The CWI structure has been started.  The bridge card has been entered in CWI.  The Wiring Diagram will be completed next.  2012-02-28 AB</t>
  </si>
  <si>
    <t>29: SPLT=98 Changed to code 2 see attached email from submitter.  12/8/11 DM</t>
  </si>
  <si>
    <t>756703</t>
  </si>
  <si>
    <t>Part Number creation for Control Line Flatpack SS316 filled with Red Oil and tested to 10500PSI</t>
  </si>
  <si>
    <t>23: SPLT=N/A</t>
  </si>
  <si>
    <t>756732</t>
  </si>
  <si>
    <t>Statoil FT Hyme C4</t>
  </si>
  <si>
    <t>Same As: 022083-18-SB2; SHROUDED X-OVER ASSY,ECC - SB2
Except: 1. Requesting a NON SHROUDED xover.
2. Change threads to 7 inch 29 lbs ft box X 5,5 inch 20 lbs ft pin.
3. Change Material to 25 Chrome.
4. Quality Plan SB2.
Tech Start Date is in the past
Project Name: Hyme C4
Special Quality Plan Required?: Yes
Quality Plan Identifier: SB2
Material: (12) 25 CR  AF918 85 MY (ES-MA-66-49)
Mating Infomation:</t>
  </si>
  <si>
    <t>Cong-Tam Nguyen</t>
  </si>
  <si>
    <t>36: SPLT=140 Emailed submitter re: TR061 and Code 7.  2/14/12 DM Latest release of TR06 attached.  2/17/12 DM  Emailed submitter for confirmation of completion date as Hyme C2 does not complete until December 2012.  2/21/12 DM  Pushed AIS date to 2013 per attached email from submitter.  2/22/12 DM</t>
  </si>
  <si>
    <t>Statoil Stjerne M14</t>
  </si>
  <si>
    <t>30: SPLT=140  Emailed submitter re: AIS date...well completing end of Oct,2012. 2/21/12 DM</t>
  </si>
  <si>
    <t>758773</t>
  </si>
  <si>
    <t>7inch-5.5inch ShroudedCrossover
Change top connection to 7inch 29pound Vam Top HC
Change bottom connection to 5.5inch 23pound Vam Top HC</t>
  </si>
  <si>
    <t>20: SPLT=140 @@ Emailed submitter re: AIS date, project, RTA code and quality plan.  2/21/12 DM  Emailed field for info again.  2/27/12 DM</t>
  </si>
  <si>
    <t>Kare.Hognestad@halliburton.com</t>
  </si>
  <si>
    <t>Flatpack
Create Part Number against Vendor Quoted Part
A825, 0.25in OD, 0.049in Thickness, 11mm x 11mm Nylon Encapsulation Black, 500 Ft
020912 PRE-RELEASED PART 102132197 PER ATTACHED REQUEST DSH</t>
  </si>
  <si>
    <t>29: SPLT=N/A</t>
  </si>
  <si>
    <t>756705</t>
  </si>
  <si>
    <t>Part Number creation for Control Line flatpack filled with red oil Alloy 825 material</t>
  </si>
  <si>
    <t>SPLT=N/A Attached requirements document.  2/22/22 DM</t>
  </si>
  <si>
    <t>SPLT=84 Emailed submitter for requirements document and code/quality.  1/16/12 DM  Attached req doc. Emailed submitter re: standard lead time. 2/21/12 DM</t>
  </si>
  <si>
    <t>SPLT=N/A  Emailed submitter for requirements doc.  2/13/12 DM  Emailed submitter for requirements doc.  2/21/12 DM  Recd spool info from submitter. 2/28/12 DM</t>
  </si>
  <si>
    <t>760641</t>
  </si>
  <si>
    <t>Perenco</t>
  </si>
  <si>
    <t>4.5-12.6 VamTop ChemInj, 500psi CV
Chemical Injection Mandrel, 500 PSI Check Valve
Please see attached Requirment Doc. 
Project:	Perenco Dissoni
Project Number:	TBC
Required by Date:	1st May 2012
Size (in.): 	4 1/2 in
Weight (lb./ft.):	12.6Ib/ft 
Material:	4140, L-80
Yield (psi):	80ksi
Thread type (If pin/box to be left unthreaded then state intended thread(s).  Design review will check suitability of pin/box for swaging/thread-cutting):	Vam Top
Thread cut or uncut:	Cut
Casing size/weight:	9 5/8 in 53.5ppf
Casing drift (if non-standard):	Standard
By-Pass slots cable dimensions:	11 x 11mm slot to suit TEC line
End Configuration Type (e.g., Box x Pin)	Box (coupling) x Pin
Gauge/Chemical Inj. Configuration (e.g., single, dual, feed-through, other)	Single
Gauge Porting:	Tubing
Gauge/Chemical Injection Type:	500psi Check dual check valve for 3/8 control line
Gauge/Chemical Injection Part Number:	2225-0054
Please see attached Input Sheets
------------------
2/28/2012 RB - RTA inputs reviewed &amp; verified. 
Prioritized per C.McKay; Assign to James, Class B</t>
  </si>
  <si>
    <t>14.2: SPLT=112</t>
  </si>
  <si>
    <t>David Christie</t>
  </si>
  <si>
    <t>760822</t>
  </si>
  <si>
    <t>3 Line flatpack w/2 1/4 in 0.049 wt hydraulic lines and 1 1/4 TEC line.  See attached requirements document.</t>
  </si>
  <si>
    <t>760643</t>
  </si>
  <si>
    <t>4.5-12.6 VamTop,Sngl Roc-150 10K
ROC-150 SERIES, 9381-XXXX with Dual MTM seal
Project:	Perenco Dissoni
Project Number:	TBC
Required by Date:	
Size (in.): 	4 1/2 in
Weight (lb./ft.):	12.6Ib/ft 
Material:	4140, L-80
Yield (psi):	80ksi
Thread type (If pin/box to be left unthreaded then state intended thread(s).  Design review will check suitability of pin/box for swaging/thread-cutting):	Vam Top
Thread cut or uncut:	Cut
Casing size/weight:	7 in 29ppf
Casing drift (if non-standard):	Standard
By-Pass slots cable dimensions:	None
End Configuration Type (e.g., Box x Pin)	Box (coupling) x Pin
Gauge/Chemical Inj. Configuration (e.g., single, dual, feed-through, other)	Single
Gauge Porting:	Tubing
Gauge/Chemical Injection Type:	ROC-150
Gauge/Chemical Injection Part Number:	101863921    9381-6031
Other Pertinent information:	Ref P No 101952065     9290-6765
Please see attached Input Sheets
2012-02-28, MWS:  AIS date updated to 5/21 per Colin McKay.
------------------
2/28/2012 RB - RTA inputs reviewed &amp; verified. Required AIS Date verified; The Gauge assembly required is 101954620 (9381-6144).
Prioritized per C.McKay. Assign to Sam, Class B</t>
  </si>
  <si>
    <t>14.1: SPLT=112</t>
  </si>
  <si>
    <t>760861</t>
  </si>
  <si>
    <t>Same As: 71SSS1; SFTY SYS STD RTA DESIGN REQ
Except: Please see Aramco specification for Safaniya platforms SFNY 116/131 andSFNY 118/132, specification no. EWO 11T008A/EDR16489.  Please review this specification, design control panel and obtain costs for quote from our vendors.  For due date Aramco just advises Urgent.
Project Name: 
Special Quality Plan Required?: No
Material: 
Technical Support Deliverables:
Preliminary Design Specifications
Reference Assembly Drawing</t>
  </si>
  <si>
    <t>758769</t>
  </si>
  <si>
    <t>Statoil Grane</t>
  </si>
  <si>
    <t>5.5inch Crimp clamp assy
Change to 13Cr 80 KSI MY
Change to PxB 5.5inch 23pound Vam Top HC
see attached doc for more info
SB2 quality plan</t>
  </si>
  <si>
    <t>Emailed submitter re: AIS date, project, RTA code and quality plan.  2/21/12 DM Emailed field for info again.  2/27/12 DM 2/28/12 Recd required info from field.  2/28/12 DM</t>
  </si>
  <si>
    <t>758770</t>
  </si>
  <si>
    <t>7inch Crimp Clamp assy
Change BxP Connection to 7inch 29pound Vam Top HC
SB2 quality plan</t>
  </si>
  <si>
    <t>Emailed submitter re: AIS date, project, RTA code and quality plan.  2/21/12 DM  Emailed field for info again.  2/27/12 DM</t>
  </si>
  <si>
    <t>759161</t>
  </si>
  <si>
    <t>Same As: 722HF1964780; PKR,SZ 9647,TY HF1,WITH KNOCK OUT PLUG R
Except: Packer envelope required
Tech Start Date is in the past
Project Name: Champion West
Special Quality Plan Required?: No
Material: 
Mating Infomation:</t>
  </si>
  <si>
    <t>SPLT=N/A Emailed submitter to clarify if packer envelope is all being requested.  2/27/12 DM Field confirmed packer envelope is all that is required. 2/28/12 DM</t>
  </si>
  <si>
    <t>759159</t>
  </si>
  <si>
    <t>Exxon Tapis</t>
  </si>
  <si>
    <t>Same As: 722HF1702610; PKR,HF1,7026,TBG SET,KO PLUG,25CR,5 FE
Except: 1. 23ppf.
2. Vam Top DDLAA BB
3. Aflas.
4. 80k yield sufficient
Tech Start Date is in the past
Project Name: Tapis
Special Quality Plan Required?: No
Material: (12) 25 CR  AF918 85 MY (ES-MA-66-49)
Mating Infomation:</t>
  </si>
  <si>
    <t>SPLT=126 Emailed submitter re:standard lead and thread clarification.  2/27/12 DM</t>
  </si>
  <si>
    <t>Flatpack
Set up SAP MN in specific length per meter FOR FLATPACK CONTROL LINES 3-LINE.</t>
  </si>
  <si>
    <t>SPLT=N/A  Emailed submitter re: second RTA and requirements docs for each.  2/17/12 DM  Emailed submitter re: requirements document.  2/21/12 DM Attached requirements document 2/28/12 DM</t>
  </si>
  <si>
    <t>6 foot pup joint with Vam Top box (coupling) on one end and T3SB pin on the other.
Confirmed with Paul James that bottom connection thread is really T3SB 4.5 12.75ppf. (CMN 2/28/12)</t>
  </si>
  <si>
    <t>SPLT=84 Emailed submitter for requirements doc and code/quality clarification.  1/16/12 DM Attached req doc. Emailed submitter re: standard lead time. 2/21/12 DM</t>
  </si>
  <si>
    <t>759794</t>
  </si>
  <si>
    <t>Modify existing 4 pin WHO (9895-6004) to be used for fluid filled SmartPlex tri-wire spooler during installation.</t>
  </si>
  <si>
    <t>SPLT=98</t>
  </si>
</sst>
</file>

<file path=xl/styles.xml><?xml version="1.0" encoding="utf-8"?>
<styleSheet xmlns="http://schemas.openxmlformats.org/spreadsheetml/2006/main" xmlns:mc="http://schemas.openxmlformats.org/markup-compatibility/2006" xmlns:x14ac="http://schemas.microsoft.com/office/spreadsheetml/2009/9/ac" mc:Ignorable="x14ac">
  <fonts count="42">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b/>
      <sz val="26"/>
      <color theme="1" tint="0.34998626667073579"/>
      <name val="Arial"/>
      <family val="2"/>
    </font>
    <font>
      <sz val="11"/>
      <color theme="1" tint="0.34998626667073579"/>
      <name val="Arial"/>
      <family val="2"/>
    </font>
    <font>
      <sz val="11"/>
      <color theme="1"/>
      <name val="Century Gothic"/>
      <family val="2"/>
    </font>
    <font>
      <sz val="12"/>
      <color theme="0"/>
      <name val="Century Gothic"/>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ury Gothic"/>
      <family val="2"/>
    </font>
    <font>
      <sz val="11"/>
      <color theme="1"/>
      <name val="Centry"/>
    </font>
    <font>
      <sz val="10"/>
      <color theme="1"/>
      <name val="Arial"/>
      <family val="2"/>
    </font>
    <font>
      <sz val="11"/>
      <color theme="1"/>
      <name val="Century Gothic"/>
      <family val="2"/>
    </font>
    <font>
      <sz val="11.5"/>
      <color theme="0"/>
      <name val="Century Gothic"/>
      <family val="2"/>
    </font>
    <font>
      <sz val="11.5"/>
      <color theme="1"/>
      <name val="Century Gothic"/>
      <family val="2"/>
    </font>
    <font>
      <sz val="11.5"/>
      <color theme="1"/>
      <name val="Century Gothic"/>
      <family val="2"/>
    </font>
    <font>
      <sz val="11.5"/>
      <color theme="1"/>
      <name val="Century Gothic"/>
    </font>
    <font>
      <sz val="11"/>
      <color theme="1"/>
      <name val="Century Gothic"/>
    </font>
    <font>
      <sz val="11"/>
      <color theme="1"/>
      <name val="Arial"/>
    </font>
  </fonts>
  <fills count="11">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49">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thin">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
      <left/>
      <right style="thin">
        <color theme="0" tint="-0.499984740745262"/>
      </right>
      <top/>
      <bottom/>
      <diagonal/>
    </border>
  </borders>
  <cellStyleXfs count="1">
    <xf numFmtId="0" fontId="0" fillId="0" borderId="0"/>
  </cellStyleXfs>
  <cellXfs count="231">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7" fillId="0" borderId="22" xfId="0" applyFont="1" applyBorder="1" applyAlignment="1">
      <alignment horizontal="center" vertical="center" wrapText="1"/>
    </xf>
    <xf numFmtId="0" fontId="7" fillId="0" borderId="22" xfId="0" applyFont="1" applyFill="1" applyBorder="1" applyAlignment="1">
      <alignment horizontal="center" vertical="center" wrapText="1"/>
    </xf>
    <xf numFmtId="0" fontId="7" fillId="0" borderId="22" xfId="0" applyFont="1" applyBorder="1" applyAlignment="1">
      <alignment horizontal="center" vertical="center"/>
    </xf>
    <xf numFmtId="0" fontId="9" fillId="5" borderId="11"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2"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8" fillId="3" borderId="14" xfId="0" applyFont="1" applyFill="1" applyBorder="1" applyAlignment="1">
      <alignment horizontal="right"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9" fillId="5" borderId="12" xfId="0" applyNumberFormat="1" applyFont="1" applyFill="1" applyBorder="1" applyAlignment="1">
      <alignment horizontal="center" vertical="center"/>
    </xf>
    <xf numFmtId="1" fontId="9" fillId="5" borderId="13" xfId="0" applyNumberFormat="1" applyFont="1" applyFill="1" applyBorder="1" applyAlignment="1">
      <alignment horizontal="center" vertical="center"/>
    </xf>
    <xf numFmtId="0" fontId="9" fillId="5" borderId="26" xfId="0" applyFont="1" applyFill="1" applyBorder="1" applyAlignment="1">
      <alignment horizontal="center" vertical="center"/>
    </xf>
    <xf numFmtId="0" fontId="9" fillId="5" borderId="27" xfId="0" applyFont="1" applyFill="1" applyBorder="1" applyAlignment="1">
      <alignment horizontal="center" vertical="center"/>
    </xf>
    <xf numFmtId="0" fontId="9" fillId="5" borderId="28"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7" fillId="7" borderId="0" xfId="0" applyFont="1" applyFill="1" applyProtection="1"/>
    <xf numFmtId="14" fontId="17" fillId="7" borderId="0" xfId="0" applyNumberFormat="1" applyFont="1" applyFill="1" applyProtection="1"/>
    <xf numFmtId="0" fontId="0" fillId="7" borderId="0" xfId="0" applyFill="1" applyProtection="1"/>
    <xf numFmtId="14" fontId="0" fillId="7" borderId="0" xfId="0" applyNumberFormat="1" applyFill="1" applyProtection="1"/>
    <xf numFmtId="14" fontId="0" fillId="7" borderId="0" xfId="0" applyNumberFormat="1" applyFill="1" applyBorder="1" applyProtection="1"/>
    <xf numFmtId="0" fontId="17" fillId="7" borderId="34" xfId="0" applyFont="1" applyFill="1" applyBorder="1" applyProtection="1"/>
    <xf numFmtId="0" fontId="0" fillId="7" borderId="34" xfId="0" applyFill="1" applyBorder="1" applyProtection="1"/>
    <xf numFmtId="0" fontId="0" fillId="7" borderId="33" xfId="0" applyFill="1" applyBorder="1" applyProtection="1"/>
    <xf numFmtId="0" fontId="10" fillId="7" borderId="0" xfId="0" applyFont="1" applyFill="1" applyBorder="1" applyAlignment="1" applyProtection="1">
      <alignment horizontal="center" vertical="center"/>
      <protection locked="0"/>
    </xf>
    <xf numFmtId="0" fontId="0" fillId="7" borderId="0" xfId="0" applyFont="1" applyFill="1" applyProtection="1">
      <protection locked="0"/>
    </xf>
    <xf numFmtId="0" fontId="0" fillId="7" borderId="0" xfId="0" applyFont="1" applyFill="1" applyAlignment="1" applyProtection="1">
      <alignment vertical="center"/>
      <protection locked="0"/>
    </xf>
    <xf numFmtId="0" fontId="0" fillId="7" borderId="0" xfId="0" applyFont="1" applyFill="1" applyAlignment="1" applyProtection="1">
      <alignment horizontal="center" vertical="center"/>
      <protection locked="0"/>
    </xf>
    <xf numFmtId="14" fontId="0" fillId="7" borderId="0" xfId="0" applyNumberFormat="1" applyFont="1" applyFill="1" applyProtection="1">
      <protection locked="0"/>
    </xf>
    <xf numFmtId="0" fontId="0" fillId="7" borderId="0" xfId="0" applyFont="1" applyFill="1"/>
    <xf numFmtId="0" fontId="1" fillId="7" borderId="0" xfId="0" applyFont="1" applyFill="1" applyProtection="1">
      <protection locked="0"/>
    </xf>
    <xf numFmtId="0" fontId="19" fillId="9" borderId="32" xfId="0" applyFont="1" applyFill="1" applyBorder="1" applyAlignment="1" applyProtection="1">
      <alignment horizontal="center" vertical="center"/>
    </xf>
    <xf numFmtId="0" fontId="13" fillId="7" borderId="0" xfId="0" applyFont="1" applyFill="1"/>
    <xf numFmtId="0" fontId="0" fillId="0" borderId="0" xfId="0" applyBorder="1" applyAlignment="1">
      <alignment horizontal="left" vertical="top" wrapText="1"/>
    </xf>
    <xf numFmtId="0" fontId="24" fillId="7" borderId="0" xfId="0" applyFont="1" applyFill="1"/>
    <xf numFmtId="0" fontId="20" fillId="8" borderId="39" xfId="0" applyFont="1" applyFill="1" applyBorder="1" applyAlignment="1">
      <alignment horizontal="center" vertical="center" wrapText="1"/>
    </xf>
    <xf numFmtId="0" fontId="21" fillId="8" borderId="39" xfId="0" applyFont="1" applyFill="1" applyBorder="1" applyAlignment="1">
      <alignment horizontal="center" vertical="center" wrapText="1"/>
    </xf>
    <xf numFmtId="0" fontId="20" fillId="8" borderId="36" xfId="0" applyFont="1" applyFill="1" applyBorder="1" applyAlignment="1">
      <alignment horizontal="center" vertical="top" wrapText="1"/>
    </xf>
    <xf numFmtId="0" fontId="20" fillId="8" borderId="39" xfId="0" applyFont="1" applyFill="1" applyBorder="1" applyAlignment="1" applyProtection="1">
      <alignment horizontal="center" vertical="center" wrapText="1"/>
    </xf>
    <xf numFmtId="0" fontId="20" fillId="8" borderId="40" xfId="0" applyFont="1" applyFill="1" applyBorder="1" applyAlignment="1">
      <alignment horizontal="center" vertical="center" wrapText="1"/>
    </xf>
    <xf numFmtId="0" fontId="26" fillId="8" borderId="41" xfId="0" applyFont="1" applyFill="1" applyBorder="1" applyAlignment="1">
      <alignment horizontal="center" vertical="center" wrapText="1"/>
    </xf>
    <xf numFmtId="0" fontId="20" fillId="8" borderId="38" xfId="0" applyFont="1" applyFill="1" applyBorder="1" applyAlignment="1">
      <alignment horizontal="center" vertical="top" wrapText="1"/>
    </xf>
    <xf numFmtId="0" fontId="20" fillId="8" borderId="37" xfId="0" applyFont="1" applyFill="1" applyBorder="1" applyAlignment="1">
      <alignment horizontal="center" vertical="top" wrapText="1"/>
    </xf>
    <xf numFmtId="0" fontId="22" fillId="0" borderId="43" xfId="0" applyFont="1" applyFill="1" applyBorder="1" applyAlignment="1" applyProtection="1">
      <alignment horizontal="center" vertical="top" wrapText="1"/>
      <protection locked="0"/>
    </xf>
    <xf numFmtId="0" fontId="22" fillId="0" borderId="43" xfId="0" applyFont="1" applyFill="1" applyBorder="1" applyAlignment="1" applyProtection="1">
      <alignment horizontal="left" vertical="top" wrapText="1"/>
      <protection locked="0"/>
    </xf>
    <xf numFmtId="14" fontId="22" fillId="0" borderId="43" xfId="0" applyNumberFormat="1" applyFont="1" applyFill="1" applyBorder="1" applyAlignment="1" applyProtection="1">
      <alignment horizontal="center" vertical="top" wrapText="1"/>
      <protection locked="0"/>
    </xf>
    <xf numFmtId="0" fontId="22" fillId="0" borderId="43" xfId="0" applyNumberFormat="1" applyFont="1" applyFill="1" applyBorder="1" applyAlignment="1" applyProtection="1">
      <alignment horizontal="center" vertical="top" wrapText="1"/>
    </xf>
    <xf numFmtId="1" fontId="22" fillId="0" borderId="43" xfId="0" applyNumberFormat="1" applyFont="1" applyFill="1" applyBorder="1" applyAlignment="1" applyProtection="1">
      <alignment horizontal="center" vertical="top" wrapText="1"/>
    </xf>
    <xf numFmtId="14" fontId="22" fillId="0" borderId="43" xfId="0" applyNumberFormat="1" applyFont="1" applyFill="1" applyBorder="1" applyAlignment="1" applyProtection="1">
      <alignment horizontal="center" vertical="top" wrapText="1"/>
    </xf>
    <xf numFmtId="0" fontId="22" fillId="0" borderId="42" xfId="0" applyFont="1" applyFill="1" applyBorder="1" applyAlignment="1" applyProtection="1">
      <alignment horizontal="center" vertical="top" wrapText="1"/>
      <protection locked="0"/>
    </xf>
    <xf numFmtId="49" fontId="22" fillId="0" borderId="42" xfId="0" applyNumberFormat="1" applyFont="1" applyFill="1" applyBorder="1" applyAlignment="1" applyProtection="1">
      <alignment horizontal="center" vertical="top" wrapText="1"/>
      <protection locked="0"/>
    </xf>
    <xf numFmtId="49" fontId="22" fillId="0" borderId="43" xfId="0" applyNumberFormat="1" applyFont="1" applyFill="1" applyBorder="1" applyAlignment="1" applyProtection="1">
      <alignment horizontal="center" vertical="top" wrapText="1"/>
      <protection locked="0"/>
    </xf>
    <xf numFmtId="1" fontId="22" fillId="0" borderId="43" xfId="0" applyNumberFormat="1" applyFont="1" applyFill="1" applyBorder="1" applyAlignment="1" applyProtection="1">
      <alignment horizontal="center" vertical="top" wrapText="1"/>
      <protection locked="0"/>
    </xf>
    <xf numFmtId="0" fontId="22" fillId="0" borderId="43" xfId="0" applyFont="1" applyBorder="1" applyAlignment="1">
      <alignment horizontal="center" vertical="top" wrapText="1"/>
    </xf>
    <xf numFmtId="0" fontId="22" fillId="0" borderId="43" xfId="0" applyFont="1" applyBorder="1" applyAlignment="1">
      <alignment horizontal="left" vertical="top" wrapText="1"/>
    </xf>
    <xf numFmtId="14" fontId="22" fillId="0" borderId="43" xfId="0" applyNumberFormat="1" applyFont="1" applyBorder="1" applyAlignment="1">
      <alignment horizontal="center" vertical="top" wrapText="1"/>
    </xf>
    <xf numFmtId="1" fontId="22" fillId="0" borderId="43" xfId="0" applyNumberFormat="1" applyFont="1" applyBorder="1" applyAlignment="1">
      <alignment horizontal="center" vertical="top" wrapText="1"/>
    </xf>
    <xf numFmtId="14" fontId="22" fillId="0" borderId="43" xfId="0" applyNumberFormat="1" applyFont="1" applyBorder="1" applyAlignment="1" applyProtection="1">
      <alignment horizontal="center" vertical="top" wrapText="1"/>
    </xf>
    <xf numFmtId="49" fontId="22" fillId="0" borderId="43" xfId="0" applyNumberFormat="1" applyFont="1" applyBorder="1" applyAlignment="1">
      <alignment horizontal="center" vertical="top" wrapText="1"/>
    </xf>
    <xf numFmtId="0" fontId="22" fillId="10" borderId="45" xfId="0" applyFont="1" applyFill="1" applyBorder="1" applyAlignment="1" applyProtection="1">
      <alignment horizontal="center" vertical="top" wrapText="1"/>
      <protection locked="0"/>
    </xf>
    <xf numFmtId="0" fontId="22" fillId="10" borderId="46" xfId="0" applyFont="1" applyFill="1" applyBorder="1" applyAlignment="1" applyProtection="1">
      <alignment horizontal="center" vertical="top" wrapText="1"/>
      <protection locked="0"/>
    </xf>
    <xf numFmtId="0" fontId="22" fillId="10" borderId="47" xfId="0" applyFont="1" applyFill="1" applyBorder="1" applyAlignment="1" applyProtection="1">
      <alignment horizontal="center" vertical="top" wrapText="1"/>
      <protection locked="0"/>
    </xf>
    <xf numFmtId="0" fontId="25" fillId="10" borderId="46" xfId="0" applyFont="1" applyFill="1" applyBorder="1" applyAlignment="1" applyProtection="1">
      <alignment horizontal="center" vertical="top" wrapText="1"/>
      <protection locked="0"/>
    </xf>
    <xf numFmtId="0" fontId="25" fillId="0" borderId="43" xfId="0" applyFont="1" applyBorder="1" applyAlignment="1">
      <alignment horizontal="center" vertical="top" wrapText="1"/>
    </xf>
    <xf numFmtId="14" fontId="25" fillId="0" borderId="43" xfId="0" applyNumberFormat="1" applyFont="1" applyBorder="1" applyAlignment="1">
      <alignment horizontal="center" vertical="top" wrapText="1"/>
    </xf>
    <xf numFmtId="1" fontId="25" fillId="0" borderId="43" xfId="0" applyNumberFormat="1" applyFont="1" applyBorder="1" applyAlignment="1">
      <alignment horizontal="center" vertical="top" wrapText="1"/>
    </xf>
    <xf numFmtId="14" fontId="25" fillId="0" borderId="43" xfId="0" applyNumberFormat="1" applyFont="1" applyBorder="1" applyAlignment="1" applyProtection="1">
      <alignment horizontal="center" vertical="top" wrapText="1"/>
    </xf>
    <xf numFmtId="49" fontId="25" fillId="0" borderId="43" xfId="0" applyNumberFormat="1" applyFont="1" applyBorder="1" applyAlignment="1">
      <alignment horizontal="center" vertical="top" wrapText="1"/>
    </xf>
    <xf numFmtId="0" fontId="23" fillId="7" borderId="0" xfId="0" applyFont="1" applyFill="1" applyAlignment="1">
      <alignment vertical="center"/>
    </xf>
    <xf numFmtId="0" fontId="23" fillId="7" borderId="0" xfId="0" applyFont="1" applyFill="1" applyAlignment="1">
      <alignment horizontal="center" vertical="center"/>
    </xf>
    <xf numFmtId="0" fontId="27" fillId="7" borderId="0" xfId="0" applyFont="1" applyFill="1"/>
    <xf numFmtId="0" fontId="28" fillId="7" borderId="0" xfId="0" applyFont="1" applyFill="1"/>
    <xf numFmtId="0" fontId="29" fillId="7" borderId="0" xfId="0" applyFont="1" applyFill="1"/>
    <xf numFmtId="0" fontId="30" fillId="7" borderId="0" xfId="0" applyFont="1" applyFill="1"/>
    <xf numFmtId="0" fontId="27" fillId="7" borderId="0" xfId="0" applyFont="1" applyFill="1" applyAlignment="1">
      <alignment horizontal="left" vertical="center"/>
    </xf>
    <xf numFmtId="0" fontId="28" fillId="7" borderId="0" xfId="0" applyFont="1" applyFill="1" applyAlignment="1">
      <alignment horizontal="left" vertical="center"/>
    </xf>
    <xf numFmtId="0" fontId="31" fillId="7" borderId="0" xfId="0" applyFont="1" applyFill="1"/>
    <xf numFmtId="0" fontId="0" fillId="7" borderId="0" xfId="0" applyFill="1"/>
    <xf numFmtId="0" fontId="22" fillId="0" borderId="44" xfId="0" applyFont="1" applyFill="1" applyBorder="1" applyAlignment="1" applyProtection="1">
      <alignment horizontal="center" vertical="top" wrapText="1"/>
      <protection locked="0"/>
    </xf>
    <xf numFmtId="0" fontId="22" fillId="0" borderId="44" xfId="0" applyFont="1" applyFill="1" applyBorder="1" applyAlignment="1" applyProtection="1">
      <alignment horizontal="left" vertical="top" wrapText="1"/>
      <protection locked="0"/>
    </xf>
    <xf numFmtId="14" fontId="22" fillId="0" borderId="44" xfId="0" applyNumberFormat="1" applyFont="1" applyFill="1" applyBorder="1" applyAlignment="1" applyProtection="1">
      <alignment horizontal="center" vertical="top" wrapText="1"/>
      <protection locked="0"/>
    </xf>
    <xf numFmtId="0" fontId="22" fillId="0" borderId="44"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xf>
    <xf numFmtId="14" fontId="22" fillId="0" borderId="44" xfId="0" applyNumberFormat="1" applyFont="1" applyFill="1" applyBorder="1" applyAlignment="1" applyProtection="1">
      <alignment horizontal="center" vertical="top" wrapText="1"/>
    </xf>
    <xf numFmtId="49" fontId="22" fillId="0" borderId="44" xfId="0" applyNumberFormat="1" applyFont="1" applyFill="1" applyBorder="1" applyAlignment="1" applyProtection="1">
      <alignment horizontal="center" vertical="top" wrapText="1"/>
      <protection locked="0"/>
    </xf>
    <xf numFmtId="0" fontId="33" fillId="7" borderId="0" xfId="0" applyFont="1" applyFill="1"/>
    <xf numFmtId="0" fontId="22" fillId="7" borderId="0" xfId="0" applyFont="1" applyFill="1"/>
    <xf numFmtId="0" fontId="32" fillId="0" borderId="43"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left" vertical="top" wrapText="1"/>
      <protection locked="0"/>
    </xf>
    <xf numFmtId="14" fontId="32" fillId="0" borderId="43" xfId="0" applyNumberFormat="1" applyFont="1" applyFill="1" applyBorder="1" applyAlignment="1" applyProtection="1">
      <alignment horizontal="center" vertical="top" wrapText="1"/>
      <protection locked="0"/>
    </xf>
    <xf numFmtId="0" fontId="32" fillId="0" borderId="43" xfId="0" applyNumberFormat="1" applyFont="1" applyFill="1" applyBorder="1" applyAlignment="1" applyProtection="1">
      <alignment horizontal="center" vertical="top" wrapText="1"/>
    </xf>
    <xf numFmtId="1" fontId="32" fillId="0" borderId="43" xfId="0" applyNumberFormat="1" applyFont="1" applyFill="1" applyBorder="1" applyAlignment="1" applyProtection="1">
      <alignment horizontal="center" vertical="top" wrapText="1"/>
    </xf>
    <xf numFmtId="14" fontId="32" fillId="0" borderId="43" xfId="0" applyNumberFormat="1" applyFont="1" applyFill="1" applyBorder="1" applyAlignment="1" applyProtection="1">
      <alignment horizontal="center" vertical="top" wrapText="1"/>
    </xf>
    <xf numFmtId="49" fontId="32" fillId="0" borderId="43" xfId="0" applyNumberFormat="1" applyFont="1" applyFill="1" applyBorder="1" applyAlignment="1" applyProtection="1">
      <alignment horizontal="center" vertical="top" wrapText="1"/>
      <protection locked="0"/>
    </xf>
    <xf numFmtId="0" fontId="32" fillId="10" borderId="46" xfId="0" applyFont="1" applyFill="1" applyBorder="1" applyAlignment="1" applyProtection="1">
      <alignment horizontal="center" vertical="top" wrapText="1"/>
      <protection locked="0"/>
    </xf>
    <xf numFmtId="0" fontId="17" fillId="9" borderId="33" xfId="0" applyFont="1" applyFill="1" applyBorder="1" applyProtection="1"/>
    <xf numFmtId="0" fontId="0" fillId="7" borderId="0" xfId="0" applyFill="1" applyAlignment="1" applyProtection="1">
      <alignment vertical="center"/>
    </xf>
    <xf numFmtId="0" fontId="0" fillId="7" borderId="0" xfId="0" applyFill="1" applyAlignment="1" applyProtection="1">
      <alignment horizontal="center" vertical="center" wrapText="1"/>
    </xf>
    <xf numFmtId="0" fontId="22" fillId="10" borderId="48"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left" vertical="top" wrapText="1"/>
      <protection locked="0"/>
    </xf>
    <xf numFmtId="14" fontId="35" fillId="0" borderId="43" xfId="0" applyNumberFormat="1" applyFont="1" applyFill="1" applyBorder="1" applyAlignment="1" applyProtection="1">
      <alignment horizontal="center" vertical="top" wrapText="1"/>
      <protection locked="0"/>
    </xf>
    <xf numFmtId="0" fontId="35" fillId="0" borderId="43" xfId="0" applyNumberFormat="1" applyFont="1" applyFill="1" applyBorder="1" applyAlignment="1" applyProtection="1">
      <alignment horizontal="center" vertical="top" wrapText="1"/>
    </xf>
    <xf numFmtId="1" fontId="35" fillId="0" borderId="43" xfId="0" applyNumberFormat="1" applyFont="1" applyFill="1" applyBorder="1" applyAlignment="1" applyProtection="1">
      <alignment horizontal="center" vertical="top" wrapText="1"/>
    </xf>
    <xf numFmtId="14" fontId="35" fillId="0" borderId="43" xfId="0" applyNumberFormat="1" applyFont="1" applyFill="1" applyBorder="1" applyAlignment="1" applyProtection="1">
      <alignment horizontal="center" vertical="top" wrapText="1"/>
    </xf>
    <xf numFmtId="49" fontId="35" fillId="0" borderId="43" xfId="0" applyNumberFormat="1" applyFont="1" applyFill="1" applyBorder="1" applyAlignment="1" applyProtection="1">
      <alignment horizontal="center" vertical="top" wrapText="1"/>
      <protection locked="0"/>
    </xf>
    <xf numFmtId="0" fontId="35" fillId="10" borderId="46" xfId="0" applyFont="1" applyFill="1" applyBorder="1" applyAlignment="1" applyProtection="1">
      <alignment horizontal="center" vertical="top" wrapText="1"/>
      <protection locked="0"/>
    </xf>
    <xf numFmtId="0" fontId="36" fillId="8" borderId="36" xfId="0" applyFont="1" applyFill="1" applyBorder="1" applyAlignment="1">
      <alignment horizontal="center" vertical="center" wrapText="1"/>
    </xf>
    <xf numFmtId="0" fontId="37" fillId="10" borderId="42" xfId="0" applyNumberFormat="1" applyFont="1" applyFill="1" applyBorder="1" applyAlignment="1" applyProtection="1">
      <alignment horizontal="center" vertical="top" wrapText="1"/>
    </xf>
    <xf numFmtId="0" fontId="37" fillId="10" borderId="43" xfId="0" applyNumberFormat="1" applyFont="1" applyFill="1" applyBorder="1" applyAlignment="1" applyProtection="1">
      <alignment horizontal="center" vertical="top" wrapText="1"/>
    </xf>
    <xf numFmtId="0" fontId="37" fillId="10" borderId="43" xfId="0" applyFont="1" applyFill="1" applyBorder="1" applyAlignment="1">
      <alignment horizontal="center" vertical="top" wrapText="1"/>
    </xf>
    <xf numFmtId="0" fontId="37" fillId="10" borderId="44" xfId="0" applyNumberFormat="1" applyFont="1" applyFill="1" applyBorder="1" applyAlignment="1" applyProtection="1">
      <alignment horizontal="center" vertical="top" wrapText="1"/>
    </xf>
    <xf numFmtId="0" fontId="37" fillId="10" borderId="0" xfId="0" applyNumberFormat="1" applyFont="1" applyFill="1" applyBorder="1" applyAlignment="1" applyProtection="1">
      <alignment horizontal="center" vertical="top" wrapText="1"/>
    </xf>
    <xf numFmtId="0" fontId="38" fillId="10" borderId="43"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protection locked="0"/>
    </xf>
    <xf numFmtId="0" fontId="40" fillId="10" borderId="48" xfId="0" applyFont="1" applyFill="1" applyBorder="1" applyAlignment="1" applyProtection="1">
      <alignment horizontal="center" vertical="top" wrapText="1"/>
      <protection locked="0"/>
    </xf>
    <xf numFmtId="0" fontId="40" fillId="0" borderId="0" xfId="0" applyFont="1" applyFill="1" applyBorder="1" applyAlignment="1" applyProtection="1">
      <alignment horizontal="center" vertical="top" wrapText="1"/>
      <protection locked="0"/>
    </xf>
    <xf numFmtId="0" fontId="40" fillId="0" borderId="0" xfId="0" applyFont="1" applyFill="1" applyBorder="1" applyAlignment="1" applyProtection="1">
      <alignment horizontal="left" vertical="top" wrapText="1"/>
      <protection locked="0"/>
    </xf>
    <xf numFmtId="14" fontId="40" fillId="0" borderId="0" xfId="0" applyNumberFormat="1" applyFont="1" applyFill="1" applyBorder="1" applyAlignment="1" applyProtection="1">
      <alignment horizontal="center" vertical="top" wrapText="1"/>
      <protection locked="0"/>
    </xf>
    <xf numFmtId="0" fontId="40" fillId="0" borderId="0" xfId="0" applyNumberFormat="1" applyFont="1" applyFill="1" applyBorder="1" applyAlignment="1" applyProtection="1">
      <alignment horizontal="center" vertical="top" wrapText="1"/>
    </xf>
    <xf numFmtId="1" fontId="40" fillId="0" borderId="0" xfId="0" applyNumberFormat="1" applyFont="1" applyFill="1" applyBorder="1" applyAlignment="1" applyProtection="1">
      <alignment horizontal="center" vertical="top" wrapText="1"/>
    </xf>
    <xf numFmtId="14" fontId="40" fillId="0" borderId="0" xfId="0" applyNumberFormat="1" applyFont="1" applyFill="1" applyBorder="1" applyAlignment="1" applyProtection="1">
      <alignment horizontal="center" vertical="top" wrapText="1"/>
    </xf>
    <xf numFmtId="49" fontId="40" fillId="0" borderId="0" xfId="0" applyNumberFormat="1" applyFont="1" applyFill="1" applyBorder="1" applyAlignment="1" applyProtection="1">
      <alignment horizontal="center" vertical="top" wrapText="1"/>
      <protection locked="0"/>
    </xf>
    <xf numFmtId="0" fontId="40" fillId="0" borderId="0" xfId="0" applyFont="1" applyFill="1" applyAlignment="1" applyProtection="1">
      <alignment horizontal="center" vertical="top" wrapText="1"/>
      <protection locked="0"/>
    </xf>
    <xf numFmtId="14" fontId="22" fillId="0" borderId="43" xfId="0" applyNumberFormat="1" applyFont="1" applyFill="1" applyBorder="1" applyAlignment="1" applyProtection="1">
      <alignment horizontal="center" vertical="center" wrapText="1"/>
      <protection locked="0"/>
    </xf>
    <xf numFmtId="0" fontId="39" fillId="10" borderId="43" xfId="0" applyNumberFormat="1" applyFont="1" applyFill="1" applyBorder="1" applyAlignment="1" applyProtection="1">
      <alignment horizontal="center" vertical="top" wrapText="1"/>
    </xf>
    <xf numFmtId="0" fontId="40" fillId="10" borderId="46" xfId="0" applyFont="1" applyFill="1" applyBorder="1" applyAlignment="1" applyProtection="1">
      <alignment horizontal="center" vertical="top" wrapText="1"/>
      <protection locked="0"/>
    </xf>
    <xf numFmtId="0" fontId="40" fillId="0" borderId="43" xfId="0" applyFont="1" applyFill="1" applyBorder="1" applyAlignment="1" applyProtection="1">
      <alignment horizontal="center" vertical="top" wrapText="1"/>
      <protection locked="0"/>
    </xf>
    <xf numFmtId="0" fontId="40" fillId="0" borderId="43" xfId="0" applyFont="1" applyFill="1" applyBorder="1" applyAlignment="1" applyProtection="1">
      <alignment horizontal="left" vertical="top" wrapText="1"/>
      <protection locked="0"/>
    </xf>
    <xf numFmtId="0" fontId="22" fillId="0" borderId="0" xfId="0" applyFont="1" applyFill="1" applyBorder="1" applyAlignment="1" applyProtection="1">
      <alignment horizontal="left" vertical="top" wrapText="1"/>
      <protection locked="0"/>
    </xf>
    <xf numFmtId="14" fontId="40" fillId="0" borderId="43" xfId="0" applyNumberFormat="1" applyFont="1" applyFill="1" applyBorder="1" applyAlignment="1" applyProtection="1">
      <alignment horizontal="center" vertical="top" wrapText="1"/>
      <protection locked="0"/>
    </xf>
    <xf numFmtId="14" fontId="22" fillId="0" borderId="0" xfId="0" applyNumberFormat="1" applyFont="1" applyFill="1" applyBorder="1" applyAlignment="1" applyProtection="1">
      <alignment horizontal="center" vertical="top" wrapText="1"/>
      <protection locked="0"/>
    </xf>
    <xf numFmtId="0" fontId="40" fillId="0" borderId="43" xfId="0" applyNumberFormat="1" applyFont="1" applyFill="1" applyBorder="1" applyAlignment="1" applyProtection="1">
      <alignment horizontal="center" vertical="top" wrapText="1"/>
    </xf>
    <xf numFmtId="0" fontId="22" fillId="0" borderId="0" xfId="0" applyNumberFormat="1" applyFont="1" applyFill="1" applyBorder="1" applyAlignment="1" applyProtection="1">
      <alignment horizontal="center" vertical="top" wrapText="1"/>
    </xf>
    <xf numFmtId="1" fontId="40" fillId="0" borderId="43" xfId="0" applyNumberFormat="1" applyFont="1" applyFill="1" applyBorder="1" applyAlignment="1" applyProtection="1">
      <alignment horizontal="center" vertical="top" wrapText="1"/>
    </xf>
    <xf numFmtId="1" fontId="22" fillId="0" borderId="0" xfId="0" applyNumberFormat="1" applyFont="1" applyFill="1" applyBorder="1" applyAlignment="1" applyProtection="1">
      <alignment horizontal="center" vertical="top" wrapText="1"/>
    </xf>
    <xf numFmtId="1" fontId="22" fillId="0" borderId="0" xfId="0" applyNumberFormat="1" applyFont="1" applyFill="1" applyBorder="1" applyAlignment="1" applyProtection="1">
      <alignment horizontal="center" vertical="top" wrapText="1"/>
      <protection locked="0"/>
    </xf>
    <xf numFmtId="14" fontId="40" fillId="0" borderId="43" xfId="0" applyNumberFormat="1" applyFont="1" applyFill="1" applyBorder="1" applyAlignment="1" applyProtection="1">
      <alignment horizontal="center" vertical="top" wrapText="1"/>
    </xf>
    <xf numFmtId="14" fontId="22" fillId="0" borderId="0" xfId="0" applyNumberFormat="1" applyFont="1" applyFill="1" applyBorder="1" applyAlignment="1" applyProtection="1">
      <alignment horizontal="center" vertical="top" wrapText="1"/>
    </xf>
    <xf numFmtId="14" fontId="40" fillId="0" borderId="43" xfId="0" applyNumberFormat="1" applyFont="1" applyFill="1" applyBorder="1" applyAlignment="1" applyProtection="1">
      <alignment horizontal="center" vertical="center" wrapText="1"/>
      <protection locked="0"/>
    </xf>
    <xf numFmtId="14" fontId="22" fillId="0" borderId="0" xfId="0" applyNumberFormat="1" applyFont="1" applyFill="1" applyBorder="1" applyAlignment="1" applyProtection="1">
      <alignment horizontal="center" vertical="center" wrapText="1"/>
      <protection locked="0"/>
    </xf>
    <xf numFmtId="49" fontId="40" fillId="0" borderId="43" xfId="0" applyNumberFormat="1" applyFont="1" applyFill="1" applyBorder="1" applyAlignment="1" applyProtection="1">
      <alignment horizontal="center" vertical="top" wrapText="1"/>
      <protection locked="0"/>
    </xf>
    <xf numFmtId="49" fontId="22" fillId="0" borderId="0" xfId="0" applyNumberFormat="1" applyFont="1" applyFill="1" applyBorder="1" applyAlignment="1" applyProtection="1">
      <alignment horizontal="center" vertical="top" wrapText="1"/>
      <protection locked="0"/>
    </xf>
    <xf numFmtId="0" fontId="39" fillId="10" borderId="0" xfId="0" applyNumberFormat="1" applyFont="1" applyFill="1" applyBorder="1" applyAlignment="1" applyProtection="1">
      <alignment horizontal="center" vertical="top" wrapText="1"/>
    </xf>
    <xf numFmtId="0" fontId="39" fillId="10" borderId="0" xfId="0" applyNumberFormat="1" applyFont="1" applyFill="1" applyAlignment="1" applyProtection="1">
      <alignment horizontal="center" vertical="top" wrapText="1"/>
    </xf>
    <xf numFmtId="0" fontId="40" fillId="0" borderId="0" xfId="0" applyFont="1" applyFill="1" applyAlignment="1" applyProtection="1">
      <alignment horizontal="left" vertical="top" wrapText="1"/>
      <protection locked="0"/>
    </xf>
    <xf numFmtId="14" fontId="40" fillId="0" borderId="0" xfId="0" applyNumberFormat="1" applyFont="1" applyFill="1" applyAlignment="1" applyProtection="1">
      <alignment horizontal="center" vertical="top" wrapText="1"/>
      <protection locked="0"/>
    </xf>
    <xf numFmtId="0" fontId="40" fillId="0" borderId="0" xfId="0" applyNumberFormat="1" applyFont="1" applyFill="1" applyAlignment="1" applyProtection="1">
      <alignment horizontal="center" vertical="top" wrapText="1"/>
    </xf>
    <xf numFmtId="1" fontId="40" fillId="0" borderId="0" xfId="0" applyNumberFormat="1" applyFont="1" applyFill="1" applyAlignment="1" applyProtection="1">
      <alignment horizontal="center" vertical="top" wrapText="1"/>
    </xf>
    <xf numFmtId="14" fontId="40" fillId="0" borderId="0" xfId="0" applyNumberFormat="1" applyFont="1" applyFill="1" applyAlignment="1" applyProtection="1">
      <alignment horizontal="center" vertical="top" wrapText="1"/>
    </xf>
    <xf numFmtId="49" fontId="40" fillId="0" borderId="0" xfId="0" applyNumberFormat="1" applyFont="1" applyFill="1" applyAlignment="1" applyProtection="1">
      <alignment horizontal="center" vertical="top" wrapText="1"/>
      <protection locked="0"/>
    </xf>
    <xf numFmtId="49" fontId="27" fillId="7" borderId="0" xfId="0" applyNumberFormat="1" applyFont="1" applyFill="1" applyAlignment="1">
      <alignment horizontal="left" vertical="center"/>
    </xf>
    <xf numFmtId="0" fontId="15" fillId="7" borderId="0" xfId="0" applyFont="1" applyFill="1" applyAlignment="1">
      <alignment horizontal="center" vertical="center"/>
    </xf>
    <xf numFmtId="0" fontId="23" fillId="7" borderId="0" xfId="0" applyFont="1" applyFill="1" applyAlignment="1">
      <alignment horizontal="center" vertical="center"/>
    </xf>
    <xf numFmtId="0" fontId="16" fillId="7" borderId="0" xfId="0" applyFont="1" applyFill="1" applyBorder="1" applyAlignment="1" applyProtection="1">
      <alignment horizontal="left" vertical="center"/>
      <protection locked="0"/>
    </xf>
    <xf numFmtId="0" fontId="16" fillId="7" borderId="0" xfId="0" applyFont="1" applyFill="1" applyBorder="1" applyAlignment="1" applyProtection="1">
      <alignment horizontal="center" vertical="center"/>
      <protection locked="0"/>
    </xf>
    <xf numFmtId="0" fontId="18" fillId="9" borderId="7" xfId="0" applyFont="1" applyFill="1" applyBorder="1" applyAlignment="1" applyProtection="1">
      <alignment horizontal="center" vertical="center"/>
    </xf>
    <xf numFmtId="0" fontId="18" fillId="9" borderId="31" xfId="0" applyFont="1" applyFill="1" applyBorder="1" applyAlignment="1" applyProtection="1">
      <alignment horizontal="center" vertical="center"/>
    </xf>
    <xf numFmtId="0" fontId="0" fillId="7" borderId="33" xfId="0" applyFont="1" applyFill="1" applyBorder="1" applyAlignment="1" applyProtection="1">
      <alignment horizontal="center"/>
    </xf>
    <xf numFmtId="0" fontId="0" fillId="7" borderId="34" xfId="0" applyFont="1" applyFill="1" applyBorder="1" applyAlignment="1" applyProtection="1">
      <alignment horizontal="center"/>
    </xf>
    <xf numFmtId="0" fontId="0" fillId="7" borderId="21" xfId="0" applyFont="1" applyFill="1" applyBorder="1" applyAlignment="1" applyProtection="1">
      <alignment horizontal="center"/>
    </xf>
    <xf numFmtId="0" fontId="0" fillId="7" borderId="35" xfId="0" applyFont="1" applyFill="1" applyBorder="1" applyAlignment="1" applyProtection="1">
      <alignment horizontal="center"/>
    </xf>
    <xf numFmtId="0" fontId="0" fillId="7" borderId="0" xfId="0" applyFont="1" applyFill="1" applyBorder="1" applyAlignment="1" applyProtection="1">
      <alignment horizontal="center"/>
    </xf>
    <xf numFmtId="0" fontId="0" fillId="7" borderId="30" xfId="0" applyFont="1" applyFill="1" applyBorder="1" applyAlignment="1" applyProtection="1">
      <alignment horizont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 fillId="5" borderId="18"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2" fillId="0" borderId="0" xfId="0" applyFont="1" applyAlignment="1">
      <alignment horizontal="center" vertical="center" wrapText="1"/>
    </xf>
    <xf numFmtId="0" fontId="41" fillId="0" borderId="0" xfId="0" applyFont="1" applyFill="1" applyAlignment="1">
      <alignment horizontal="center" vertical="center" wrapText="1"/>
    </xf>
    <xf numFmtId="49" fontId="22" fillId="0" borderId="0" xfId="0" quotePrefix="1" applyNumberFormat="1" applyFont="1" applyFill="1" applyBorder="1" applyAlignment="1" applyProtection="1">
      <alignment horizontal="center" vertical="top" wrapText="1"/>
      <protection locked="0"/>
    </xf>
    <xf numFmtId="0" fontId="32" fillId="10" borderId="48" xfId="0" applyFont="1" applyFill="1" applyBorder="1" applyAlignment="1" applyProtection="1">
      <alignment horizontal="center" vertical="top" wrapText="1"/>
      <protection locked="0"/>
    </xf>
    <xf numFmtId="0" fontId="35" fillId="10" borderId="48" xfId="0" applyFont="1" applyFill="1" applyBorder="1" applyAlignment="1" applyProtection="1">
      <alignment horizontal="center" vertical="top" wrapText="1"/>
      <protection locked="0"/>
    </xf>
    <xf numFmtId="0" fontId="32" fillId="0" borderId="0" xfId="0" applyFont="1" applyFill="1" applyBorder="1" applyAlignment="1" applyProtection="1">
      <alignment horizontal="center" vertical="top" wrapText="1"/>
      <protection locked="0"/>
    </xf>
    <xf numFmtId="0" fontId="35" fillId="0" borderId="0" xfId="0" applyFont="1" applyFill="1" applyBorder="1" applyAlignment="1" applyProtection="1">
      <alignment horizontal="center" vertical="top" wrapText="1"/>
      <protection locked="0"/>
    </xf>
    <xf numFmtId="0" fontId="32" fillId="0" borderId="0" xfId="0" applyFont="1" applyFill="1" applyBorder="1" applyAlignment="1" applyProtection="1">
      <alignment horizontal="left" vertical="top" wrapText="1"/>
      <protection locked="0"/>
    </xf>
    <xf numFmtId="0" fontId="35" fillId="0" borderId="0" xfId="0" applyFont="1" applyFill="1" applyBorder="1" applyAlignment="1" applyProtection="1">
      <alignment horizontal="left" vertical="top" wrapText="1"/>
      <protection locked="0"/>
    </xf>
    <xf numFmtId="14" fontId="32" fillId="0" borderId="0" xfId="0" applyNumberFormat="1" applyFont="1" applyFill="1" applyBorder="1" applyAlignment="1" applyProtection="1">
      <alignment horizontal="center" vertical="top" wrapText="1"/>
      <protection locked="0"/>
    </xf>
    <xf numFmtId="14" fontId="35" fillId="0" borderId="0" xfId="0" applyNumberFormat="1" applyFont="1" applyFill="1" applyBorder="1" applyAlignment="1" applyProtection="1">
      <alignment horizontal="center" vertical="top" wrapText="1"/>
      <protection locked="0"/>
    </xf>
    <xf numFmtId="0" fontId="32" fillId="0" borderId="0" xfId="0" applyNumberFormat="1" applyFont="1" applyFill="1" applyBorder="1" applyAlignment="1" applyProtection="1">
      <alignment horizontal="center" vertical="top" wrapText="1"/>
    </xf>
    <xf numFmtId="0" fontId="35" fillId="0" borderId="0" xfId="0" applyNumberFormat="1" applyFont="1" applyFill="1" applyBorder="1" applyAlignment="1" applyProtection="1">
      <alignment horizontal="center" vertical="top" wrapText="1"/>
    </xf>
    <xf numFmtId="1" fontId="32" fillId="0" borderId="0" xfId="0" applyNumberFormat="1" applyFont="1" applyFill="1" applyBorder="1" applyAlignment="1" applyProtection="1">
      <alignment horizontal="center" vertical="top" wrapText="1"/>
    </xf>
    <xf numFmtId="1" fontId="35" fillId="0" borderId="0" xfId="0" applyNumberFormat="1" applyFont="1" applyFill="1" applyBorder="1" applyAlignment="1" applyProtection="1">
      <alignment horizontal="center" vertical="top" wrapText="1"/>
    </xf>
    <xf numFmtId="14" fontId="32" fillId="0" borderId="0" xfId="0" applyNumberFormat="1" applyFont="1" applyFill="1" applyBorder="1" applyAlignment="1" applyProtection="1">
      <alignment horizontal="center" vertical="top" wrapText="1"/>
    </xf>
    <xf numFmtId="14" fontId="35" fillId="0" borderId="0" xfId="0" applyNumberFormat="1" applyFont="1" applyFill="1" applyBorder="1" applyAlignment="1" applyProtection="1">
      <alignment horizontal="center" vertical="top" wrapText="1"/>
    </xf>
    <xf numFmtId="49" fontId="32" fillId="0" borderId="0" xfId="0" applyNumberFormat="1" applyFont="1" applyFill="1" applyBorder="1" applyAlignment="1" applyProtection="1">
      <alignment horizontal="center" vertical="top" wrapText="1"/>
      <protection locked="0"/>
    </xf>
    <xf numFmtId="49" fontId="35" fillId="0" borderId="0" xfId="0" applyNumberFormat="1" applyFont="1" applyFill="1" applyBorder="1" applyAlignment="1" applyProtection="1">
      <alignment horizontal="center" vertical="top" wrapText="1"/>
      <protection locked="0"/>
    </xf>
  </cellXfs>
  <cellStyles count="1">
    <cellStyle name="Normal" xfId="0" builtinId="0"/>
  </cellStyles>
  <dxfs count="111">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 formatCode="0"/>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sz val="11"/>
        <color theme="1"/>
        <name val="Century Gothic"/>
        <scheme val="none"/>
      </font>
      <fill>
        <patternFill patternType="none">
          <fgColor indexed="64"/>
          <bgColor indexed="65"/>
        </patternFill>
      </fill>
      <alignment horizontal="left"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bottom/>
        <vertical/>
        <horizontal/>
      </border>
      <protection locked="0" hidden="0"/>
    </dxf>
    <dxf>
      <font>
        <b val="0"/>
        <strike val="0"/>
        <outline val="0"/>
        <shadow val="0"/>
        <u val="none"/>
        <vertAlign val="baseline"/>
        <sz val="11.5"/>
        <color theme="1"/>
        <name val="Century Gothic"/>
        <scheme val="none"/>
      </font>
      <numFmt numFmtId="0" formatCode="General"/>
      <fill>
        <patternFill patternType="solid">
          <fgColor indexed="64"/>
          <bgColor rgb="FFE8E8E8"/>
        </patternFill>
      </fill>
      <alignment horizontal="center" vertical="top" textRotation="0" wrapText="1" indent="0" justifyLastLine="0" shrinkToFit="0" readingOrder="0"/>
      <protection locked="1" hidden="0"/>
    </dxf>
    <dxf>
      <alignment horizontal="center" vertical="center" textRotation="0" wrapText="1" indent="0" justifyLastLine="0" shrinkToFit="0" readingOrder="0"/>
    </dxf>
    <dxf>
      <alignment horizontal="center" vertical="center" textRotation="0" wrapText="1" indent="0" justifyLastLine="0" shrinkToFit="0" readingOrder="0"/>
    </dxf>
    <dxf>
      <font>
        <color theme="0"/>
      </font>
      <fill>
        <patternFill>
          <bgColor rgb="FFD26865"/>
        </patternFill>
      </fill>
    </dxf>
    <dxf>
      <font>
        <color theme="1"/>
      </font>
      <fill>
        <patternFill>
          <bgColor rgb="FFCAE8AA"/>
        </patternFill>
      </fill>
    </dxf>
    <dxf>
      <font>
        <color theme="0"/>
      </font>
      <fill>
        <patternFill>
          <bgColor rgb="FFD26865"/>
        </patternFill>
      </fill>
    </dxf>
    <dxf>
      <font>
        <color theme="0"/>
      </font>
      <fill>
        <patternFill>
          <bgColor rgb="FFD26865"/>
        </patternFill>
      </fill>
    </dxf>
    <dxf>
      <font>
        <color theme="0"/>
      </font>
      <fill>
        <patternFill>
          <bgColor rgb="FFD26865"/>
        </patternFill>
      </fill>
    </dxf>
    <dxf>
      <font>
        <color theme="0"/>
      </font>
      <fill>
        <patternFill>
          <bgColor rgb="FFD26865"/>
        </patternFill>
      </fill>
    </dxf>
    <dxf>
      <font>
        <color theme="0"/>
      </font>
      <fill>
        <patternFill>
          <bgColor rgb="FFD26865"/>
        </patternFill>
      </fill>
    </dxf>
    <dxf>
      <font>
        <color theme="1"/>
      </font>
      <fill>
        <patternFill>
          <bgColor rgb="FFFFFFAF"/>
        </patternFill>
      </fill>
    </dxf>
    <dxf>
      <font>
        <color theme="0"/>
      </font>
      <fill>
        <patternFill>
          <bgColor rgb="FFD26865"/>
        </patternFill>
      </fill>
    </dxf>
    <dxf>
      <font>
        <color theme="1"/>
      </font>
      <fill>
        <patternFill>
          <bgColor rgb="FFCAE8AA"/>
        </patternFill>
      </fill>
    </dxf>
    <dxf>
      <font>
        <b val="0"/>
        <i val="0"/>
        <color rgb="FFD04340"/>
      </font>
    </dxf>
    <dxf>
      <font>
        <b val="0"/>
        <i/>
        <color theme="0" tint="-0.499984740745262"/>
      </font>
    </dxf>
    <dxf>
      <font>
        <color theme="0"/>
      </font>
      <fill>
        <patternFill>
          <bgColor rgb="FFD26865"/>
        </patternFill>
      </fill>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style="thin">
          <color theme="0"/>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10"/>
      <tableStyleElement type="headerRow" dxfId="109"/>
      <tableStyleElement type="totalRow" dxfId="108"/>
      <tableStyleElement type="firstColumn" dxfId="107"/>
      <tableStyleElement type="lastColumn" dxfId="106"/>
      <tableStyleElement type="firstRowStripe" dxfId="105"/>
      <tableStyleElement type="firstColumnStripe" dxfId="104"/>
    </tableStyle>
    <tableStyle name="TableStyleLight1 2" pivot="0" count="4">
      <tableStyleElement type="wholeTable" dxfId="103"/>
      <tableStyleElement type="headerRow" dxfId="102"/>
      <tableStyleElement type="totalRow" dxfId="101"/>
      <tableStyleElement type="firstRowStripe" dxfId="100"/>
    </tableStyle>
    <tableStyle name="TableStyleMedium16 2" pivot="0" count="7">
      <tableStyleElement type="wholeTable" dxfId="99"/>
      <tableStyleElement type="headerRow" dxfId="98"/>
      <tableStyleElement type="totalRow" dxfId="97"/>
      <tableStyleElement type="firstColumn" dxfId="96"/>
      <tableStyleElement type="lastColumn" dxfId="95"/>
      <tableStyleElement type="firstRowStripe" dxfId="94"/>
      <tableStyleElement type="firstColumnStripe" dxfId="93"/>
    </tableStyle>
    <tableStyle name="TableStyleMedium22 2" pivot="0" count="7">
      <tableStyleElement type="wholeTable" dxfId="92"/>
      <tableStyleElement type="headerRow" dxfId="91"/>
      <tableStyleElement type="totalRow" dxfId="90"/>
      <tableStyleElement type="firstColumn" dxfId="89"/>
      <tableStyleElement type="lastColumn" dxfId="88"/>
      <tableStyleElement type="firstRowStripe" dxfId="87"/>
      <tableStyleElement type="firstColumnStripe" dxfId="86"/>
    </tableStyle>
    <tableStyle name="TableStyleMedium23 2" pivot="0" count="8">
      <tableStyleElement type="wholeTable" dxfId="85"/>
      <tableStyleElement type="headerRow" dxfId="84"/>
      <tableStyleElement type="totalRow" dxfId="83"/>
      <tableStyleElement type="firstColumn" dxfId="82"/>
      <tableStyleElement type="lastColumn" dxfId="81"/>
      <tableStyleElement type="firstRowStripe" dxfId="80"/>
      <tableStyleElement type="firstColumnStripe" dxfId="79"/>
      <tableStyleElement type="secondColumnStripe" dxfId="78"/>
    </tableStyle>
  </tableStyles>
  <colors>
    <mruColors>
      <color rgb="FFD58181"/>
      <color rgb="FFCAE8AA"/>
      <color rgb="FFB8E08C"/>
      <color rgb="FFCCFFCC"/>
      <color rgb="FFAFFF8F"/>
      <color rgb="FFB0FEB9"/>
      <color rgb="FFD26865"/>
      <color rgb="FFFFFFAF"/>
      <color rgb="FFFFFF9B"/>
      <color rgb="FFFD67F2"/>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3" Type="http://schemas.openxmlformats.org/officeDocument/2006/relationships/image" Target="../media/image16.emf"/><Relationship Id="rId7" Type="http://schemas.openxmlformats.org/officeDocument/2006/relationships/image" Target="../media/image13.emf"/><Relationship Id="rId12" Type="http://schemas.openxmlformats.org/officeDocument/2006/relationships/image" Target="../media/image8.emf"/><Relationship Id="rId2" Type="http://schemas.openxmlformats.org/officeDocument/2006/relationships/image" Target="../media/image15.emf"/><Relationship Id="rId16" Type="http://schemas.openxmlformats.org/officeDocument/2006/relationships/image" Target="../media/image4.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8.emf"/><Relationship Id="rId1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17.emf"/><Relationship Id="rId9" Type="http://schemas.openxmlformats.org/officeDocument/2006/relationships/image" Target="../media/image11.emf"/><Relationship Id="rId1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452804</xdr:colOff>
      <xdr:row>0</xdr:row>
      <xdr:rowOff>0</xdr:rowOff>
    </xdr:from>
    <xdr:ext cx="5920080" cy="1150403"/>
    <xdr:grpSp>
      <xdr:nvGrpSpPr>
        <xdr:cNvPr id="2" name="Group 1"/>
        <xdr:cNvGrpSpPr>
          <a:grpSpLocks noChangeAspect="1"/>
        </xdr:cNvGrpSpPr>
      </xdr:nvGrpSpPr>
      <xdr:grpSpPr>
        <a:xfrm>
          <a:off x="4528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025" y="879154"/>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4</xdr:col>
          <xdr:colOff>0</xdr:colOff>
          <xdr:row>9</xdr:row>
          <xdr:rowOff>57150</xdr:rowOff>
        </xdr:from>
        <xdr:to>
          <xdr:col>6</xdr:col>
          <xdr:colOff>9525</xdr:colOff>
          <xdr:row>11</xdr:row>
          <xdr:rowOff>180975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xdr:row>
          <xdr:rowOff>819150</xdr:rowOff>
        </xdr:from>
        <xdr:to>
          <xdr:col>2</xdr:col>
          <xdr:colOff>1114425</xdr:colOff>
          <xdr:row>3</xdr:row>
          <xdr:rowOff>209550</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2</xdr:row>
          <xdr:rowOff>819150</xdr:rowOff>
        </xdr:from>
        <xdr:to>
          <xdr:col>2</xdr:col>
          <xdr:colOff>1524000</xdr:colOff>
          <xdr:row>3</xdr:row>
          <xdr:rowOff>219075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342900</xdr:rowOff>
        </xdr:from>
        <xdr:to>
          <xdr:col>2</xdr:col>
          <xdr:colOff>1714500</xdr:colOff>
          <xdr:row>1</xdr:row>
          <xdr:rowOff>742950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771525</xdr:rowOff>
        </xdr:from>
        <xdr:to>
          <xdr:col>2</xdr:col>
          <xdr:colOff>1714500</xdr:colOff>
          <xdr:row>2</xdr:row>
          <xdr:rowOff>352425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xdr:row>
          <xdr:rowOff>381000</xdr:rowOff>
        </xdr:from>
        <xdr:to>
          <xdr:col>2</xdr:col>
          <xdr:colOff>1714500</xdr:colOff>
          <xdr:row>2</xdr:row>
          <xdr:rowOff>781050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28575</xdr:rowOff>
        </xdr:from>
        <xdr:to>
          <xdr:col>2</xdr:col>
          <xdr:colOff>1590675</xdr:colOff>
          <xdr:row>1</xdr:row>
          <xdr:rowOff>285750</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4" unboundColumnsLeft="1">
    <queryTableFields count="27">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A1477" tableType="queryTable" totalsRowShown="0" headerRowDxfId="77" dataDxfId="75" headerRowBorderDxfId="76">
  <sortState ref="A6:AA1477">
    <sortCondition ref="A5:A1477"/>
  </sortState>
  <tableColumns count="27">
    <tableColumn id="17" uniqueName="17" name=" " queryTableFieldId="17" dataDxfId="26">
      <calculatedColumnFormula>IF(priority(Main[[#This Row],[Comments]])&lt;&gt;0, priority(Main[[#This Row],[Comments]]),"")</calculatedColumnFormula>
    </tableColumn>
    <tableColumn id="1" uniqueName="1" name="RTA" queryTableFieldId="1" dataDxfId="25"/>
    <tableColumn id="2" uniqueName="2" name="Customer" queryTableFieldId="2" dataDxfId="24"/>
    <tableColumn id="3" uniqueName="3" name="Description" queryTableFieldId="3" dataDxfId="23"/>
    <tableColumn id="4" uniqueName="4" name="Submitted" queryTableFieldId="4" dataDxfId="22"/>
    <tableColumn id="5" uniqueName="5" name="In Stock Date" queryTableFieldId="5" dataDxfId="21"/>
    <tableColumn id="19" uniqueName="19" name="Standard Production Lead Time" queryTableFieldId="19" dataDxfId="20">
      <calculatedColumnFormula>IF(stdProdLT(Main[[#This Row],[Comments]])=0.1,"N/A",IF(stdProdLT(Main[[#This Row],[Comments]])=0,"",stdProdLT(Main[[#This Row],[Comments]])))</calculatedColumnFormula>
    </tableColumn>
    <tableColumn id="18" uniqueName="18" name="Remaining Production Lead Time" queryTableFieldId="18" dataDxfId="19">
      <calculatedColumnFormula>IF(AND(Main[[#This Row],[In Stock Date]]&lt;&gt;"",Main[[#This Row],[Revised Due Date]]&lt;&gt;""),Main[[#This Row],[In Stock Date]]-Main[[#This Row],[Revised Due Date]],"")</calculatedColumnFormula>
    </tableColumn>
    <tableColumn id="6" uniqueName="6" name="Assigned To" queryTableFieldId="6" dataDxfId="18"/>
    <tableColumn id="7" uniqueName="7" name="Current Status" queryTableFieldId="7" dataDxfId="17"/>
    <tableColumn id="12" uniqueName="12" name="Class" queryTableFieldId="12" dataDxfId="16"/>
    <tableColumn id="9" uniqueName="9" name="Tech Start Date" queryTableFieldId="9" dataDxfId="15"/>
    <tableColumn id="22" uniqueName="22" name="Design" queryTableFieldId="23" dataDxfId="14">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13">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2">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1">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0"/>
    <tableColumn id="11" uniqueName="11" name="Revised Due Date" queryTableFieldId="11" dataDxfId="9"/>
    <tableColumn id="13" uniqueName="13" name="Type" queryTableFieldId="13" dataDxfId="8"/>
    <tableColumn id="14" uniqueName="14" name="Comments" queryTableFieldId="14" dataDxfId="7"/>
    <tableColumn id="15" uniqueName="15" name="State" queryTableFieldId="15" dataDxfId="6"/>
    <tableColumn id="8" uniqueName="8" name="Lab Office" queryTableFieldId="8" dataDxfId="5"/>
    <tableColumn id="16" uniqueName="16" name="Code" queryTableFieldId="16" dataDxfId="4"/>
    <tableColumn id="24" uniqueName="24" name="Submitted By" queryTableFieldId="29" dataDxfId="3"/>
    <tableColumn id="25" uniqueName="25" name="Requestor Email" queryTableFieldId="30" dataDxfId="2"/>
    <tableColumn id="27" uniqueName="27" name="Manager/Lead" queryTableFieldId="32" dataDxfId="1"/>
    <tableColumn id="26" uniqueName="26" name="Requestor Name" queryTableFieldId="33" dataDxfId="0"/>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74" dataDxfId="73">
  <tableColumns count="1">
    <tableColumn id="1" uniqueName="1" name="Assigned To" queryTableFieldId="1" headerRowDxfId="72" dataDxfId="27"/>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3" tableType="queryTable" headerRowCount="0" totalsRowShown="0" headerRowDxfId="71" dataDxfId="70">
  <tableColumns count="1">
    <tableColumn id="1" uniqueName="1" name="Assigned To" queryTableFieldId="1" headerRowDxfId="69" dataDxfId="28"/>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68" dataDxfId="67">
  <tableColumns count="1">
    <tableColumn id="1" uniqueName="1" name="Assigned To" queryTableFieldId="1" headerRowDxfId="66" dataDxfId="4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9" tableType="queryTable" headerRowCount="0" totalsRowShown="0">
  <tableColumns count="1">
    <tableColumn id="1" uniqueName="1" name="Assigned To" queryTableFieldId="1" headerRowDxfId="65" dataDxfId="4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64">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63" dataDxfId="62">
  <autoFilter ref="I28:I36"/>
  <sortState ref="I29:I36">
    <sortCondition ref="I2:I10"/>
  </sortState>
  <tableColumns count="1">
    <tableColumn id="1" uniqueName="1" name="State" queryTableFieldId="1" dataDxfId="4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61">
  <autoFilter ref="J28:J35"/>
  <sortState ref="J29:J35">
    <sortCondition ref="J24:J31"/>
  </sortState>
  <tableColumns count="1">
    <tableColumn id="1" uniqueName="1" name="Code" queryTableFieldId="2" dataDxfId="4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60" dataDxfId="59" tableBorderDxfId="58">
  <autoFilter ref="H28:H36"/>
  <tableColumns count="1">
    <tableColumn id="1" uniqueName="1" name="Type" queryTableFieldId="1" dataDxfId="4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57">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56" dataDxfId="55">
  <tableColumns count="8">
    <tableColumn id="1" name="#" dataDxfId="54"/>
    <tableColumn id="2" name="RTA" dataDxfId="53"/>
    <tableColumn id="3" name="Customer" dataDxfId="52"/>
    <tableColumn id="4" name="Description" dataDxfId="51"/>
    <tableColumn id="5" name="Available In Stock" dataDxfId="50"/>
    <tableColumn id="11" name="Assigned To" dataDxfId="49"/>
    <tableColumn id="8" name="Status" dataDxfId="48"/>
    <tableColumn id="9" name="Tech Rev'd Due Date" dataDxfId="47"/>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6.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19.emf"/><Relationship Id="rId3" Type="http://schemas.openxmlformats.org/officeDocument/2006/relationships/vmlDrawing" Target="../drawings/vmlDrawing2.vml"/><Relationship Id="rId21" Type="http://schemas.openxmlformats.org/officeDocument/2006/relationships/image" Target="../media/image10.emf"/><Relationship Id="rId34" Type="http://schemas.openxmlformats.org/officeDocument/2006/relationships/control" Target="../activeX/activeX19.xml"/><Relationship Id="rId7" Type="http://schemas.openxmlformats.org/officeDocument/2006/relationships/control" Target="../activeX/activeX4.xml"/><Relationship Id="rId12" Type="http://schemas.openxmlformats.org/officeDocument/2006/relationships/control" Target="../activeX/activeX8.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21.xml"/><Relationship Id="rId2" Type="http://schemas.openxmlformats.org/officeDocument/2006/relationships/drawing" Target="../drawings/drawing2.xml"/><Relationship Id="rId16" Type="http://schemas.openxmlformats.org/officeDocument/2006/relationships/control" Target="../activeX/activeX10.xml"/><Relationship Id="rId20" Type="http://schemas.openxmlformats.org/officeDocument/2006/relationships/control" Target="../activeX/activeX12.xml"/><Relationship Id="rId29" Type="http://schemas.openxmlformats.org/officeDocument/2006/relationships/image" Target="../media/image14.emf"/><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image" Target="../media/image5.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18.emf"/><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6.xml"/><Relationship Id="rId36" Type="http://schemas.openxmlformats.org/officeDocument/2006/relationships/control" Target="../activeX/activeX20.xml"/><Relationship Id="rId10" Type="http://schemas.openxmlformats.org/officeDocument/2006/relationships/control" Target="../activeX/activeX7.xml"/><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vmlDrawing" Target="../drawings/vmlDrawing3.vml"/><Relationship Id="rId9" Type="http://schemas.openxmlformats.org/officeDocument/2006/relationships/control" Target="../activeX/activeX6.xml"/><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13.emf"/><Relationship Id="rId30" Type="http://schemas.openxmlformats.org/officeDocument/2006/relationships/control" Target="../activeX/activeX17.xml"/><Relationship Id="rId35" Type="http://schemas.openxmlformats.org/officeDocument/2006/relationships/image" Target="../media/image17.emf"/></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election activeCell="N11" sqref="N11"/>
    </sheetView>
  </sheetViews>
  <sheetFormatPr defaultRowHeight="15.95" customHeight="1"/>
  <cols>
    <col min="1" max="1" width="8.375" style="114" customWidth="1"/>
    <col min="2" max="2" width="8.375" style="115" customWidth="1"/>
    <col min="3" max="9" width="8.375" style="106" customWidth="1"/>
    <col min="10" max="10" width="9.75" style="106" customWidth="1"/>
    <col min="11" max="11" width="8.375" style="61" customWidth="1"/>
    <col min="12" max="16384" width="9" style="61"/>
  </cols>
  <sheetData>
    <row r="1" spans="1:11" ht="14.25">
      <c r="A1" s="61"/>
      <c r="B1" s="61"/>
      <c r="C1" s="61"/>
      <c r="D1" s="61"/>
      <c r="E1" s="61"/>
      <c r="F1" s="61"/>
      <c r="G1" s="61"/>
      <c r="H1" s="61"/>
      <c r="I1" s="61"/>
      <c r="J1" s="61"/>
    </row>
    <row r="2" spans="1:11" ht="14.25">
      <c r="A2" s="61"/>
      <c r="B2" s="182" t="s">
        <v>2067</v>
      </c>
      <c r="C2" s="182"/>
      <c r="D2" s="182"/>
      <c r="E2" s="182"/>
      <c r="F2" s="182"/>
      <c r="G2" s="182"/>
      <c r="H2" s="182"/>
      <c r="I2" s="182"/>
      <c r="J2" s="182"/>
    </row>
    <row r="3" spans="1:11" ht="14.25">
      <c r="A3" s="61"/>
      <c r="B3" s="182"/>
      <c r="C3" s="182"/>
      <c r="D3" s="182"/>
      <c r="E3" s="182"/>
      <c r="F3" s="182"/>
      <c r="G3" s="182"/>
      <c r="H3" s="182"/>
      <c r="I3" s="182"/>
      <c r="J3" s="182"/>
    </row>
    <row r="4" spans="1:11" ht="15" customHeight="1">
      <c r="A4" s="61"/>
      <c r="B4" s="182"/>
      <c r="C4" s="182"/>
      <c r="D4" s="182"/>
      <c r="E4" s="182"/>
      <c r="F4" s="182"/>
      <c r="G4" s="182"/>
      <c r="H4" s="182"/>
      <c r="I4" s="182"/>
      <c r="J4" s="182"/>
    </row>
    <row r="5" spans="1:11" ht="14.25" customHeight="1">
      <c r="A5" s="61"/>
      <c r="B5" s="182"/>
      <c r="C5" s="182"/>
      <c r="D5" s="182"/>
      <c r="E5" s="182"/>
      <c r="F5" s="182"/>
      <c r="G5" s="182"/>
      <c r="H5" s="182"/>
      <c r="I5" s="182"/>
      <c r="J5" s="182"/>
    </row>
    <row r="6" spans="1:11" ht="14.25" customHeight="1">
      <c r="A6" s="61"/>
      <c r="B6" s="182"/>
      <c r="C6" s="182"/>
      <c r="D6" s="182"/>
      <c r="E6" s="182"/>
      <c r="F6" s="182"/>
      <c r="G6" s="182"/>
      <c r="H6" s="182"/>
      <c r="I6" s="182"/>
      <c r="J6" s="182"/>
    </row>
    <row r="7" spans="1:11" ht="80.25" customHeight="1">
      <c r="A7" s="61"/>
      <c r="B7" s="183" t="s">
        <v>2041</v>
      </c>
      <c r="C7" s="183"/>
      <c r="D7" s="183"/>
      <c r="E7" s="183"/>
      <c r="F7" s="183"/>
      <c r="G7" s="183"/>
      <c r="H7" s="183"/>
      <c r="I7" s="183"/>
      <c r="J7" s="97"/>
      <c r="K7" s="97"/>
    </row>
    <row r="8" spans="1:11" ht="20.25" customHeight="1">
      <c r="A8" s="61"/>
      <c r="B8" s="98"/>
      <c r="C8" s="98"/>
      <c r="D8" s="98"/>
      <c r="E8" s="98"/>
      <c r="F8" s="98"/>
      <c r="G8" s="98"/>
      <c r="H8" s="98"/>
      <c r="I8" s="98"/>
      <c r="J8" s="97"/>
      <c r="K8" s="97"/>
    </row>
    <row r="9" spans="1:11" ht="15.95" customHeight="1">
      <c r="K9" s="63"/>
    </row>
    <row r="10" spans="1:11" s="100" customFormat="1" ht="15.95" customHeight="1">
      <c r="A10" s="114"/>
      <c r="B10" s="115"/>
      <c r="C10" s="106"/>
      <c r="D10" s="106"/>
      <c r="E10" s="106"/>
      <c r="F10" s="106"/>
      <c r="G10" s="106"/>
      <c r="H10" s="106"/>
      <c r="I10" s="106"/>
      <c r="J10" s="106"/>
      <c r="K10" s="99"/>
    </row>
    <row r="11" spans="1:11" s="102" customFormat="1" ht="15.95" customHeight="1">
      <c r="A11" s="114"/>
      <c r="B11" s="115"/>
      <c r="C11" s="106"/>
      <c r="D11" s="106"/>
      <c r="E11" s="106"/>
      <c r="F11" s="106"/>
      <c r="G11" s="106"/>
      <c r="H11" s="106"/>
      <c r="I11" s="106"/>
      <c r="J11" s="106"/>
      <c r="K11" s="101"/>
    </row>
    <row r="12" spans="1:11" s="100" customFormat="1" ht="15.95" customHeight="1">
      <c r="A12" s="114"/>
      <c r="B12" s="115"/>
      <c r="C12" s="106"/>
      <c r="D12" s="106"/>
      <c r="E12" s="106"/>
      <c r="F12" s="106"/>
      <c r="G12" s="106"/>
      <c r="H12" s="106"/>
      <c r="I12" s="106"/>
      <c r="J12" s="106"/>
      <c r="K12" s="99"/>
    </row>
    <row r="13" spans="1:11" s="100" customFormat="1" ht="15.95" customHeight="1">
      <c r="A13" s="114"/>
      <c r="B13" s="115"/>
      <c r="C13" s="106"/>
      <c r="D13" s="106"/>
      <c r="E13" s="106"/>
      <c r="F13" s="106"/>
      <c r="G13" s="106"/>
      <c r="H13" s="106"/>
      <c r="I13" s="106"/>
      <c r="J13" s="106"/>
      <c r="K13" s="99"/>
    </row>
    <row r="14" spans="1:11" s="104" customFormat="1" ht="15.95" customHeight="1">
      <c r="A14" s="114"/>
      <c r="B14" s="115"/>
      <c r="C14" s="106"/>
      <c r="D14" s="106"/>
      <c r="E14" s="106"/>
      <c r="F14" s="106"/>
      <c r="G14" s="106"/>
      <c r="H14" s="106"/>
      <c r="I14" s="106"/>
      <c r="J14" s="106"/>
      <c r="K14" s="103"/>
    </row>
    <row r="15" spans="1:11" s="104" customFormat="1" ht="15.95" customHeight="1">
      <c r="A15" s="114"/>
      <c r="B15" s="115"/>
      <c r="C15" s="106"/>
      <c r="D15" s="106"/>
      <c r="E15" s="106"/>
      <c r="F15" s="106"/>
      <c r="G15" s="106"/>
      <c r="H15" s="106"/>
      <c r="I15" s="106"/>
      <c r="J15" s="106"/>
      <c r="K15" s="103"/>
    </row>
    <row r="16" spans="1:11" s="104" customFormat="1" ht="15.95" customHeight="1">
      <c r="A16" s="114"/>
      <c r="B16" s="115"/>
      <c r="C16" s="106"/>
      <c r="D16" s="106"/>
      <c r="E16" s="106"/>
      <c r="F16" s="106"/>
      <c r="G16" s="106"/>
      <c r="H16" s="106"/>
      <c r="I16" s="106"/>
      <c r="J16" s="106"/>
      <c r="K16" s="103"/>
    </row>
    <row r="17" spans="1:27" s="100" customFormat="1" ht="15.95" customHeight="1">
      <c r="A17" s="114"/>
      <c r="B17" s="115"/>
      <c r="C17" s="106"/>
      <c r="D17" s="106"/>
      <c r="E17" s="106"/>
      <c r="F17" s="106"/>
      <c r="G17" s="106"/>
      <c r="H17" s="106"/>
      <c r="I17" s="106"/>
      <c r="J17" s="106"/>
      <c r="K17" s="105"/>
    </row>
    <row r="18" spans="1:27" s="100" customFormat="1" ht="15.95" customHeight="1">
      <c r="A18" s="114"/>
      <c r="B18" s="115"/>
      <c r="C18" s="106"/>
      <c r="D18" s="106"/>
      <c r="E18" s="106"/>
      <c r="F18" s="106"/>
      <c r="G18" s="106"/>
      <c r="H18" s="106"/>
      <c r="I18" s="106"/>
      <c r="J18" s="106"/>
    </row>
    <row r="19" spans="1:27" s="100" customFormat="1" ht="15.95" customHeight="1">
      <c r="A19" s="114"/>
      <c r="B19" s="115"/>
      <c r="C19" s="106"/>
      <c r="D19" s="106"/>
      <c r="E19" s="106"/>
      <c r="F19" s="106"/>
      <c r="G19" s="106"/>
      <c r="H19" s="106"/>
      <c r="I19" s="106"/>
      <c r="J19" s="106"/>
    </row>
    <row r="20" spans="1:27" s="100" customFormat="1" ht="15.95" customHeight="1">
      <c r="A20" s="114"/>
      <c r="B20" s="115"/>
      <c r="C20" s="106"/>
      <c r="D20" s="106"/>
      <c r="E20" s="106"/>
      <c r="F20" s="106"/>
      <c r="G20" s="106"/>
      <c r="H20" s="106"/>
      <c r="I20" s="106"/>
      <c r="J20" s="106"/>
    </row>
    <row r="21" spans="1:27" s="100" customFormat="1" ht="15.95" customHeight="1">
      <c r="A21" s="114"/>
      <c r="B21" s="115"/>
      <c r="C21" s="106"/>
      <c r="D21" s="106"/>
      <c r="E21" s="106"/>
      <c r="F21" s="106"/>
      <c r="G21" s="106"/>
      <c r="H21" s="106"/>
      <c r="I21" s="106"/>
      <c r="J21" s="106"/>
    </row>
    <row r="22" spans="1:27" s="100" customFormat="1" ht="15.95" customHeight="1">
      <c r="A22" s="114"/>
      <c r="B22" s="115"/>
      <c r="C22" s="106"/>
      <c r="D22" s="106"/>
      <c r="E22" s="106"/>
      <c r="F22" s="106"/>
      <c r="G22" s="106"/>
      <c r="H22" s="106"/>
      <c r="I22" s="106"/>
      <c r="J22" s="106"/>
    </row>
    <row r="23" spans="1:27" s="100" customFormat="1" ht="15.95" customHeight="1">
      <c r="A23" s="114"/>
      <c r="B23" s="115"/>
      <c r="C23" s="106"/>
      <c r="D23" s="106"/>
      <c r="E23" s="106"/>
      <c r="F23" s="106"/>
      <c r="G23" s="106"/>
      <c r="H23" s="106"/>
      <c r="I23" s="106"/>
      <c r="J23" s="106"/>
    </row>
    <row r="24" spans="1:27" s="100" customFormat="1" ht="15.95" customHeight="1">
      <c r="A24" s="114"/>
      <c r="B24" s="115"/>
      <c r="C24" s="106"/>
      <c r="D24" s="106"/>
      <c r="E24" s="106"/>
      <c r="F24" s="106"/>
      <c r="G24" s="106"/>
      <c r="H24" s="106"/>
      <c r="I24" s="106"/>
      <c r="J24" s="106"/>
    </row>
    <row r="25" spans="1:27" s="100" customFormat="1" ht="15.95" customHeight="1">
      <c r="A25" s="114"/>
      <c r="B25" s="115"/>
      <c r="C25" s="106"/>
      <c r="D25" s="106"/>
      <c r="E25" s="106"/>
      <c r="F25" s="106"/>
      <c r="G25" s="106"/>
      <c r="H25" s="106"/>
      <c r="I25" s="106"/>
      <c r="J25" s="106"/>
    </row>
    <row r="26" spans="1:27" s="100" customFormat="1" ht="15.95" customHeight="1">
      <c r="A26" s="114"/>
      <c r="B26" s="115"/>
      <c r="C26" s="106"/>
      <c r="D26" s="106"/>
      <c r="E26" s="106"/>
      <c r="F26" s="106"/>
      <c r="G26" s="106"/>
      <c r="H26" s="106"/>
      <c r="I26" s="106"/>
      <c r="J26" s="106"/>
    </row>
    <row r="27" spans="1:27" s="100" customFormat="1" ht="15.95" customHeight="1">
      <c r="A27" s="114"/>
      <c r="B27" s="115"/>
      <c r="C27" s="106"/>
      <c r="D27" s="106"/>
      <c r="E27" s="106"/>
      <c r="F27" s="106"/>
      <c r="G27" s="106"/>
      <c r="H27" s="106"/>
      <c r="I27" s="106"/>
      <c r="J27" s="106"/>
    </row>
    <row r="28" spans="1:27" s="100" customFormat="1" ht="15.95" customHeight="1">
      <c r="A28" s="114"/>
      <c r="B28" s="115"/>
      <c r="C28" s="106"/>
      <c r="D28" s="106"/>
      <c r="E28" s="106"/>
      <c r="F28" s="106"/>
      <c r="G28" s="106"/>
      <c r="H28" s="106"/>
      <c r="I28" s="106"/>
      <c r="J28" s="106"/>
    </row>
    <row r="29" spans="1:27" s="100" customFormat="1" ht="15.95" customHeight="1">
      <c r="A29" s="114"/>
      <c r="B29" s="115"/>
      <c r="C29" s="106"/>
      <c r="D29" s="106"/>
      <c r="E29" s="106"/>
      <c r="F29" s="106"/>
      <c r="G29" s="106"/>
      <c r="H29" s="106"/>
      <c r="I29" s="106"/>
      <c r="J29" s="106"/>
      <c r="R29" s="181"/>
      <c r="S29" s="181"/>
      <c r="T29" s="181"/>
      <c r="U29" s="181"/>
      <c r="V29" s="181"/>
      <c r="W29" s="181"/>
      <c r="X29" s="181"/>
      <c r="Y29" s="181"/>
      <c r="Z29" s="181"/>
      <c r="AA29" s="181"/>
    </row>
    <row r="30" spans="1:27" s="100" customFormat="1" ht="15.95" customHeight="1">
      <c r="A30" s="114"/>
      <c r="B30" s="115"/>
      <c r="C30" s="106"/>
      <c r="D30" s="106"/>
      <c r="E30" s="106"/>
      <c r="F30" s="106"/>
      <c r="G30" s="106"/>
      <c r="H30" s="106"/>
      <c r="I30" s="106"/>
      <c r="J30" s="106"/>
    </row>
    <row r="31" spans="1:27" s="100" customFormat="1" ht="15.95" customHeight="1">
      <c r="A31" s="114"/>
      <c r="B31" s="115"/>
      <c r="C31" s="106"/>
      <c r="D31" s="106"/>
      <c r="E31" s="106"/>
      <c r="F31" s="106"/>
      <c r="G31" s="106"/>
      <c r="H31" s="106"/>
      <c r="I31" s="106"/>
      <c r="J31" s="106"/>
    </row>
    <row r="32" spans="1:27" s="100" customFormat="1" ht="15.95" customHeight="1">
      <c r="A32" s="114"/>
      <c r="B32" s="115"/>
      <c r="C32" s="106"/>
      <c r="D32" s="106"/>
      <c r="E32" s="106"/>
      <c r="F32" s="106"/>
      <c r="G32" s="106"/>
      <c r="H32" s="106"/>
      <c r="I32" s="106"/>
      <c r="J32" s="106"/>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sheetRev">
          <controlPr defaultSize="0" autoLine="0" r:id="rId5">
            <anchor moveWithCells="1">
              <from>
                <xdr:col>9</xdr:col>
                <xdr:colOff>247650</xdr:colOff>
                <xdr:row>4</xdr:row>
                <xdr:rowOff>133350</xdr:rowOff>
              </from>
              <to>
                <xdr:col>9</xdr:col>
                <xdr:colOff>466725</xdr:colOff>
                <xdr:row>5</xdr:row>
                <xdr:rowOff>161925</xdr:rowOff>
              </to>
            </anchor>
          </controlPr>
        </control>
      </mc:Choice>
      <mc:Fallback>
        <control shapeId="10241" r:id="rId4" name="sheetRev"/>
      </mc:Fallback>
    </mc:AlternateContent>
    <mc:AlternateContent xmlns:mc="http://schemas.openxmlformats.org/markup-compatibility/2006">
      <mc:Choice Requires="x14">
        <control shapeId="10242" r:id="rId6" name="CommandButton1">
          <controlPr defaultSize="0" autoLine="0" r:id="rId7">
            <anchor moveWithCells="1">
              <from>
                <xdr:col>4</xdr:col>
                <xdr:colOff>0</xdr:colOff>
                <xdr:row>9</xdr:row>
                <xdr:rowOff>57150</xdr:rowOff>
              </from>
              <to>
                <xdr:col>6</xdr:col>
                <xdr:colOff>9525</xdr:colOff>
                <xdr:row>11</xdr:row>
                <xdr:rowOff>180975</xdr:rowOff>
              </to>
            </anchor>
          </controlPr>
        </control>
      </mc:Choice>
      <mc:Fallback>
        <control shapeId="10242"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sheetPr>
  <dimension ref="A1:AJ1477"/>
  <sheetViews>
    <sheetView showGridLines="0" zoomScaleNormal="100" workbookViewId="0">
      <pane xSplit="4" ySplit="5" topLeftCell="E6"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56" customWidth="1"/>
    <col min="2" max="2" width="10.125" style="54" customWidth="1"/>
    <col min="3" max="3" width="24.875" style="54" customWidth="1"/>
    <col min="4" max="4" width="38.5" style="54" customWidth="1"/>
    <col min="5" max="5" width="11.375" style="54" hidden="1" customWidth="1"/>
    <col min="6" max="6" width="12.625" style="54" customWidth="1"/>
    <col min="7" max="7" width="10.625" style="54" customWidth="1"/>
    <col min="8" max="8" width="9.625" style="54" customWidth="1"/>
    <col min="9" max="9" width="20.125" style="54" hidden="1" customWidth="1"/>
    <col min="10" max="10" width="17.875" style="54" customWidth="1"/>
    <col min="11" max="11" width="8" style="54" hidden="1" customWidth="1"/>
    <col min="12" max="12" width="12.25" style="57" hidden="1" customWidth="1"/>
    <col min="13" max="16" width="13.5" style="57" hidden="1" customWidth="1"/>
    <col min="17" max="17" width="12.875" style="58" hidden="1" customWidth="1"/>
    <col min="18" max="18" width="13.25" style="57" customWidth="1"/>
    <col min="19" max="19" width="17.375" style="54" hidden="1" customWidth="1"/>
    <col min="20" max="20" width="31" style="54" hidden="1" customWidth="1"/>
    <col min="21" max="21" width="13.375" style="54" hidden="1" customWidth="1"/>
    <col min="22" max="22" width="11.5" style="54" hidden="1" customWidth="1"/>
    <col min="23" max="23" width="6.375" style="54" hidden="1" customWidth="1"/>
    <col min="24" max="27" width="24.875" style="54" hidden="1" customWidth="1"/>
    <col min="28" max="28" width="24.875" style="54" customWidth="1"/>
    <col min="29" max="29" width="13.875" style="54" customWidth="1"/>
    <col min="30" max="30" width="5.875" style="54" customWidth="1"/>
    <col min="31" max="31" width="7.75" style="54" customWidth="1"/>
    <col min="32" max="32" width="5.75" style="54" customWidth="1"/>
    <col min="33" max="33" width="22.375" style="54" customWidth="1"/>
    <col min="34" max="36" width="9" style="54" customWidth="1"/>
    <col min="37" max="16384" width="9" style="54"/>
  </cols>
  <sheetData>
    <row r="1" spans="1:35" s="47" customFormat="1" ht="18" customHeight="1">
      <c r="A1" s="186" t="s">
        <v>3177</v>
      </c>
      <c r="B1" s="187"/>
      <c r="C1" s="60" t="s">
        <v>2677</v>
      </c>
      <c r="D1" s="52"/>
      <c r="L1" s="48"/>
      <c r="M1" s="48"/>
      <c r="N1" s="48"/>
      <c r="O1" s="48"/>
      <c r="P1" s="48"/>
      <c r="Q1" s="48"/>
    </row>
    <row r="2" spans="1:35" s="47" customFormat="1" ht="64.5" customHeight="1">
      <c r="A2" s="190"/>
      <c r="B2" s="191"/>
      <c r="C2" s="188"/>
      <c r="D2" s="51"/>
      <c r="I2" s="125"/>
      <c r="L2" s="48"/>
      <c r="M2" s="48"/>
      <c r="N2" s="48"/>
      <c r="O2" s="48"/>
      <c r="P2" s="48"/>
      <c r="Q2" s="48"/>
    </row>
    <row r="3" spans="1:35" s="47" customFormat="1" ht="69" customHeight="1">
      <c r="A3" s="192"/>
      <c r="B3" s="193"/>
      <c r="C3" s="189"/>
      <c r="D3" s="51"/>
      <c r="I3" s="126" t="s">
        <v>3490</v>
      </c>
      <c r="L3" s="48"/>
      <c r="M3" s="49"/>
      <c r="N3" s="48"/>
      <c r="O3" s="48"/>
      <c r="P3" s="48"/>
      <c r="Q3" s="48"/>
    </row>
    <row r="4" spans="1:35" s="45" customFormat="1" ht="18" customHeight="1">
      <c r="A4" s="192"/>
      <c r="B4" s="193"/>
      <c r="C4" s="189"/>
      <c r="D4" s="50"/>
      <c r="I4" s="124"/>
      <c r="L4" s="46"/>
      <c r="M4" s="46"/>
      <c r="N4" s="46"/>
      <c r="O4" s="46"/>
      <c r="P4" s="46"/>
      <c r="Q4" s="46"/>
    </row>
    <row r="5" spans="1:35" s="53" customFormat="1" ht="42" customHeight="1">
      <c r="A5" s="137" t="s">
        <v>86</v>
      </c>
      <c r="B5" s="69" t="s">
        <v>965</v>
      </c>
      <c r="C5" s="68" t="s">
        <v>1004</v>
      </c>
      <c r="D5" s="64" t="s">
        <v>0</v>
      </c>
      <c r="E5" s="64" t="s">
        <v>7</v>
      </c>
      <c r="F5" s="64" t="s">
        <v>1005</v>
      </c>
      <c r="G5" s="65" t="s">
        <v>1964</v>
      </c>
      <c r="H5" s="65" t="s">
        <v>1965</v>
      </c>
      <c r="I5" s="64" t="s">
        <v>1916</v>
      </c>
      <c r="J5" s="64" t="s">
        <v>1006</v>
      </c>
      <c r="K5" s="64" t="s">
        <v>968</v>
      </c>
      <c r="L5" s="64" t="s">
        <v>1007</v>
      </c>
      <c r="M5" s="67" t="s">
        <v>966</v>
      </c>
      <c r="N5" s="67" t="s">
        <v>967</v>
      </c>
      <c r="O5" s="67" t="s">
        <v>979</v>
      </c>
      <c r="P5" s="67" t="s">
        <v>980</v>
      </c>
      <c r="Q5" s="65" t="s">
        <v>1008</v>
      </c>
      <c r="R5" s="64" t="s">
        <v>1915</v>
      </c>
      <c r="S5" s="70" t="s">
        <v>969</v>
      </c>
      <c r="T5" s="66" t="s">
        <v>2</v>
      </c>
      <c r="U5" s="66" t="s">
        <v>3</v>
      </c>
      <c r="V5" s="66" t="s">
        <v>1</v>
      </c>
      <c r="W5" s="71" t="s">
        <v>1009</v>
      </c>
      <c r="X5" s="71" t="s">
        <v>2820</v>
      </c>
      <c r="Y5" s="71" t="s">
        <v>2932</v>
      </c>
      <c r="Z5" s="71" t="s">
        <v>3167</v>
      </c>
      <c r="AA5" s="71" t="s">
        <v>3383</v>
      </c>
      <c r="AB5" s="184"/>
      <c r="AC5" s="185"/>
      <c r="AD5" s="185"/>
      <c r="AE5" s="185"/>
      <c r="AF5" s="185"/>
      <c r="AG5" s="185"/>
      <c r="AH5" s="185"/>
      <c r="AI5" s="185"/>
    </row>
    <row r="6" spans="1:35" ht="18.600000000000001" customHeight="1">
      <c r="A6" s="138">
        <f>IF(priority(Main[[#This Row],[Comments]])&lt;&gt;0, priority(Main[[#This Row],[Comments]]),"")</f>
        <v>1</v>
      </c>
      <c r="B6" s="88" t="s">
        <v>1171</v>
      </c>
      <c r="C6" s="72" t="s">
        <v>137</v>
      </c>
      <c r="D6" s="73" t="s">
        <v>224</v>
      </c>
      <c r="E6" s="74"/>
      <c r="F6" s="74">
        <v>40770</v>
      </c>
      <c r="G6" s="75" t="str">
        <f>IF(stdProdLT(Main[[#This Row],[Comments]])=0.1,"N/A",IF(stdProdLT(Main[[#This Row],[Comments]])=0,"",stdProdLT(Main[[#This Row],[Comments]])))</f>
        <v/>
      </c>
      <c r="H6" s="76" t="str">
        <f>IF(AND(Main[[#This Row],[In Stock Date]]&lt;&gt;"",Main[[#This Row],[Revised Due Date]]&lt;&gt;""),Main[[#This Row],[In Stock Date]]-Main[[#This Row],[Revised Due Date]],"")</f>
        <v/>
      </c>
      <c r="I6" s="72" t="s">
        <v>4</v>
      </c>
      <c r="J6" s="72" t="s">
        <v>28</v>
      </c>
      <c r="K6" s="72" t="s">
        <v>1929</v>
      </c>
      <c r="L6" s="74"/>
      <c r="M6" s="77" t="str">
        <f>IF(Main[[#This Row],[Tech Start Date]]&lt;1/1/1990,"",IF(Main[[#This Row],[Class]]="C",WORKDAY(Main[[#This Row],[Tech Start Date]],9),IF(Main[[#This Row],[Class]]="B", WORKDAY(Main[[#This Row],[Tech Start Date]],6),IF(Main[[#This Row],[Class]]="A",WORKDAY(Main[[#This Row],[Tech Start Date]],2),""))))</f>
        <v/>
      </c>
      <c r="N6" s="77" t="str">
        <f>IF(Main[[#This Row],[Tech Start Date]]&lt;1/1/1990,"",IF(Main[[#This Row],[Class]]="C",WORKDAY(Main[[#This Row],[Tech Start Date]],19),IF(Main[[#This Row],[Class]]="B", WORKDAY(Main[[#This Row],[Tech Start Date]],12),IF(Main[[#This Row],[Class]]="A",WORKDAY(Main[[#This Row],[Tech Start Date]],4),""))))</f>
        <v/>
      </c>
      <c r="O6" s="77" t="str">
        <f>IF(Main[[#This Row],[Tech Start Date]]&lt;1/1/1990,"",IF(Main[[#This Row],[Class]]="C",WORKDAY(Main[[#This Row],[Tech Start Date]],23),IF(Main[[#This Row],[Class]]="B", WORKDAY(Main[[#This Row],[Tech Start Date]],15),IF(Main[[#This Row],[Class]]="A",WORKDAY(Main[[#This Row],[Tech Start Date]],5),""))))</f>
        <v/>
      </c>
      <c r="P6" s="77" t="str">
        <f>IF(Main[[#This Row],[Tech Start Date]]&lt;1/1/1990,"",IF(Main[[#This Row],[Class]]="C",WORKDAY(Main[[#This Row],[Tech Start Date]],28),IF(Main[[#This Row],[Class]]="B", WORKDAY(Main[[#This Row],[Tech Start Date]],19),IF(Main[[#This Row],[Class]]="A",WORKDAY(Main[[#This Row],[Tech Start Date]],9),""))))</f>
        <v/>
      </c>
      <c r="Q6" s="74">
        <v>40585</v>
      </c>
      <c r="R6" s="74"/>
      <c r="S6" s="78" t="s">
        <v>11</v>
      </c>
      <c r="T6" s="79" t="s">
        <v>225</v>
      </c>
      <c r="U6" s="78" t="s">
        <v>14</v>
      </c>
      <c r="V6" s="78" t="s">
        <v>1918</v>
      </c>
      <c r="W6" s="78" t="s">
        <v>1922</v>
      </c>
      <c r="X6" s="78" t="s">
        <v>2845</v>
      </c>
      <c r="Y6" s="78" t="s">
        <v>3014</v>
      </c>
      <c r="Z6" s="78" t="s">
        <v>129</v>
      </c>
      <c r="AA6" s="146" t="s">
        <v>2845</v>
      </c>
    </row>
    <row r="7" spans="1:35" ht="18.600000000000001" customHeight="1">
      <c r="A7" s="139">
        <f>IF(priority(Main[[#This Row],[Comments]])&lt;&gt;0, priority(Main[[#This Row],[Comments]]),"")</f>
        <v>1</v>
      </c>
      <c r="B7" s="89" t="s">
        <v>3225</v>
      </c>
      <c r="C7" s="72" t="s">
        <v>72</v>
      </c>
      <c r="D7" s="73" t="s">
        <v>240</v>
      </c>
      <c r="E7" s="74">
        <v>40461.111585648148</v>
      </c>
      <c r="F7" s="74"/>
      <c r="G7" s="75" t="str">
        <f>IF(stdProdLT(Main[[#This Row],[Comments]])=0.1,"N/A",IF(stdProdLT(Main[[#This Row],[Comments]])=0,"",stdProdLT(Main[[#This Row],[Comments]])))</f>
        <v/>
      </c>
      <c r="H7" s="76" t="str">
        <f>IF(AND(Main[[#This Row],[In Stock Date]]&lt;&gt;"",Main[[#This Row],[Revised Due Date]]&lt;&gt;""),Main[[#This Row],[In Stock Date]]-Main[[#This Row],[Revised Due Date]],"")</f>
        <v/>
      </c>
      <c r="I7" s="72" t="s">
        <v>74</v>
      </c>
      <c r="J7" s="72" t="s">
        <v>4</v>
      </c>
      <c r="K7" s="72" t="s">
        <v>1929</v>
      </c>
      <c r="L7" s="74"/>
      <c r="M7" s="77" t="str">
        <f>IF(Main[[#This Row],[Tech Start Date]]&lt;1/1/1990,"",IF(Main[[#This Row],[Class]]="C",WORKDAY(Main[[#This Row],[Tech Start Date]],9),IF(Main[[#This Row],[Class]]="B", WORKDAY(Main[[#This Row],[Tech Start Date]],6),IF(Main[[#This Row],[Class]]="A",WORKDAY(Main[[#This Row],[Tech Start Date]],2),""))))</f>
        <v/>
      </c>
      <c r="N7" s="77" t="str">
        <f>IF(Main[[#This Row],[Tech Start Date]]&lt;1/1/1990,"",IF(Main[[#This Row],[Class]]="C",WORKDAY(Main[[#This Row],[Tech Start Date]],19),IF(Main[[#This Row],[Class]]="B", WORKDAY(Main[[#This Row],[Tech Start Date]],12),IF(Main[[#This Row],[Class]]="A",WORKDAY(Main[[#This Row],[Tech Start Date]],4),""))))</f>
        <v/>
      </c>
      <c r="O7" s="77" t="str">
        <f>IF(Main[[#This Row],[Tech Start Date]]&lt;1/1/1990,"",IF(Main[[#This Row],[Class]]="C",WORKDAY(Main[[#This Row],[Tech Start Date]],23),IF(Main[[#This Row],[Class]]="B", WORKDAY(Main[[#This Row],[Tech Start Date]],15),IF(Main[[#This Row],[Class]]="A",WORKDAY(Main[[#This Row],[Tech Start Date]],5),""))))</f>
        <v/>
      </c>
      <c r="P7" s="77" t="str">
        <f>IF(Main[[#This Row],[Tech Start Date]]&lt;1/1/1990,"",IF(Main[[#This Row],[Class]]="C",WORKDAY(Main[[#This Row],[Tech Start Date]],28),IF(Main[[#This Row],[Class]]="B", WORKDAY(Main[[#This Row],[Tech Start Date]],19),IF(Main[[#This Row],[Class]]="A",WORKDAY(Main[[#This Row],[Tech Start Date]],9),""))))</f>
        <v/>
      </c>
      <c r="Q7" s="74"/>
      <c r="R7" s="74">
        <v>40836</v>
      </c>
      <c r="S7" s="72" t="s">
        <v>17</v>
      </c>
      <c r="T7" s="80" t="s">
        <v>241</v>
      </c>
      <c r="U7" s="72" t="s">
        <v>29</v>
      </c>
      <c r="V7" s="72" t="s">
        <v>1920</v>
      </c>
      <c r="W7" s="72" t="s">
        <v>1925</v>
      </c>
      <c r="X7" s="72" t="s">
        <v>2853</v>
      </c>
      <c r="Y7" s="72" t="s">
        <v>2984</v>
      </c>
      <c r="Z7" s="72" t="s">
        <v>415</v>
      </c>
      <c r="AA7" s="146" t="s">
        <v>2853</v>
      </c>
    </row>
    <row r="8" spans="1:35" ht="18.600000000000001" customHeight="1">
      <c r="A8" s="139">
        <f>IF(priority(Main[[#This Row],[Comments]])&lt;&gt;0, priority(Main[[#This Row],[Comments]]),"")</f>
        <v>1</v>
      </c>
      <c r="B8" s="89" t="s">
        <v>1047</v>
      </c>
      <c r="C8" s="72" t="s">
        <v>72</v>
      </c>
      <c r="D8" s="73" t="s">
        <v>73</v>
      </c>
      <c r="E8" s="74">
        <v>40461.12232638889</v>
      </c>
      <c r="F8" s="74"/>
      <c r="G8" s="75" t="str">
        <f>IF(stdProdLT(Main[[#This Row],[Comments]])=0.1,"N/A",IF(stdProdLT(Main[[#This Row],[Comments]])=0,"",stdProdLT(Main[[#This Row],[Comments]])))</f>
        <v/>
      </c>
      <c r="H8" s="76" t="str">
        <f>IF(AND(Main[[#This Row],[In Stock Date]]&lt;&gt;"",Main[[#This Row],[Revised Due Date]]&lt;&gt;""),Main[[#This Row],[In Stock Date]]-Main[[#This Row],[Revised Due Date]],"")</f>
        <v/>
      </c>
      <c r="I8" s="72" t="s">
        <v>74</v>
      </c>
      <c r="J8" s="72" t="s">
        <v>75</v>
      </c>
      <c r="K8" s="72" t="s">
        <v>1929</v>
      </c>
      <c r="L8" s="74"/>
      <c r="M8" s="77" t="str">
        <f>IF(Main[[#This Row],[Tech Start Date]]&lt;1/1/1990,"",IF(Main[[#This Row],[Class]]="C",WORKDAY(Main[[#This Row],[Tech Start Date]],9),IF(Main[[#This Row],[Class]]="B", WORKDAY(Main[[#This Row],[Tech Start Date]],6),IF(Main[[#This Row],[Class]]="A",WORKDAY(Main[[#This Row],[Tech Start Date]],2),""))))</f>
        <v/>
      </c>
      <c r="N8" s="77" t="str">
        <f>IF(Main[[#This Row],[Tech Start Date]]&lt;1/1/1990,"",IF(Main[[#This Row],[Class]]="C",WORKDAY(Main[[#This Row],[Tech Start Date]],19),IF(Main[[#This Row],[Class]]="B", WORKDAY(Main[[#This Row],[Tech Start Date]],12),IF(Main[[#This Row],[Class]]="A",WORKDAY(Main[[#This Row],[Tech Start Date]],4),""))))</f>
        <v/>
      </c>
      <c r="O8" s="77" t="str">
        <f>IF(Main[[#This Row],[Tech Start Date]]&lt;1/1/1990,"",IF(Main[[#This Row],[Class]]="C",WORKDAY(Main[[#This Row],[Tech Start Date]],23),IF(Main[[#This Row],[Class]]="B", WORKDAY(Main[[#This Row],[Tech Start Date]],15),IF(Main[[#This Row],[Class]]="A",WORKDAY(Main[[#This Row],[Tech Start Date]],5),""))))</f>
        <v/>
      </c>
      <c r="P8" s="77" t="str">
        <f>IF(Main[[#This Row],[Tech Start Date]]&lt;1/1/1990,"",IF(Main[[#This Row],[Class]]="C",WORKDAY(Main[[#This Row],[Tech Start Date]],28),IF(Main[[#This Row],[Class]]="B", WORKDAY(Main[[#This Row],[Tech Start Date]],19),IF(Main[[#This Row],[Class]]="A",WORKDAY(Main[[#This Row],[Tech Start Date]],9),""))))</f>
        <v/>
      </c>
      <c r="Q8" s="74"/>
      <c r="R8" s="74">
        <v>40849</v>
      </c>
      <c r="S8" s="72" t="s">
        <v>17</v>
      </c>
      <c r="T8" s="80" t="s">
        <v>76</v>
      </c>
      <c r="U8" s="72" t="s">
        <v>29</v>
      </c>
      <c r="V8" s="72" t="s">
        <v>1920</v>
      </c>
      <c r="W8" s="72" t="s">
        <v>1925</v>
      </c>
      <c r="X8" s="72" t="s">
        <v>2853</v>
      </c>
      <c r="Y8" s="72" t="s">
        <v>2984</v>
      </c>
      <c r="Z8" s="72" t="s">
        <v>415</v>
      </c>
      <c r="AA8" s="146" t="s">
        <v>2853</v>
      </c>
    </row>
    <row r="9" spans="1:35" ht="18.600000000000001" customHeight="1">
      <c r="A9" s="139">
        <f>IF(priority(Main[[#This Row],[Comments]])&lt;&gt;0, priority(Main[[#This Row],[Comments]]),"")</f>
        <v>1</v>
      </c>
      <c r="B9" s="89" t="s">
        <v>2685</v>
      </c>
      <c r="C9" s="72" t="s">
        <v>19</v>
      </c>
      <c r="D9" s="73" t="s">
        <v>2609</v>
      </c>
      <c r="E9" s="74">
        <v>40487.36078703704</v>
      </c>
      <c r="F9" s="74"/>
      <c r="G9" s="75" t="str">
        <f>IF(stdProdLT(Main[[#This Row],[Comments]])=0.1,"N/A",IF(stdProdLT(Main[[#This Row],[Comments]])=0,"",stdProdLT(Main[[#This Row],[Comments]])))</f>
        <v/>
      </c>
      <c r="H9" s="76" t="str">
        <f>IF(AND(Main[[#This Row],[In Stock Date]]&lt;&gt;"",Main[[#This Row],[Revised Due Date]]&lt;&gt;""),Main[[#This Row],[In Stock Date]]-Main[[#This Row],[Revised Due Date]],"")</f>
        <v/>
      </c>
      <c r="I9" s="72" t="s">
        <v>2021</v>
      </c>
      <c r="J9" s="72" t="s">
        <v>28</v>
      </c>
      <c r="K9" s="72" t="s">
        <v>1929</v>
      </c>
      <c r="L9" s="74"/>
      <c r="M9" s="77" t="str">
        <f>IF(Main[[#This Row],[Tech Start Date]]&lt;1/1/1990,"",IF(Main[[#This Row],[Class]]="C",WORKDAY(Main[[#This Row],[Tech Start Date]],9),IF(Main[[#This Row],[Class]]="B", WORKDAY(Main[[#This Row],[Tech Start Date]],6),IF(Main[[#This Row],[Class]]="A",WORKDAY(Main[[#This Row],[Tech Start Date]],2),""))))</f>
        <v/>
      </c>
      <c r="N9" s="77" t="str">
        <f>IF(Main[[#This Row],[Tech Start Date]]&lt;1/1/1990,"",IF(Main[[#This Row],[Class]]="C",WORKDAY(Main[[#This Row],[Tech Start Date]],19),IF(Main[[#This Row],[Class]]="B", WORKDAY(Main[[#This Row],[Tech Start Date]],12),IF(Main[[#This Row],[Class]]="A",WORKDAY(Main[[#This Row],[Tech Start Date]],4),""))))</f>
        <v/>
      </c>
      <c r="O9" s="77" t="str">
        <f>IF(Main[[#This Row],[Tech Start Date]]&lt;1/1/1990,"",IF(Main[[#This Row],[Class]]="C",WORKDAY(Main[[#This Row],[Tech Start Date]],23),IF(Main[[#This Row],[Class]]="B", WORKDAY(Main[[#This Row],[Tech Start Date]],15),IF(Main[[#This Row],[Class]]="A",WORKDAY(Main[[#This Row],[Tech Start Date]],5),""))))</f>
        <v/>
      </c>
      <c r="P9" s="77" t="str">
        <f>IF(Main[[#This Row],[Tech Start Date]]&lt;1/1/1990,"",IF(Main[[#This Row],[Class]]="C",WORKDAY(Main[[#This Row],[Tech Start Date]],28),IF(Main[[#This Row],[Class]]="B", WORKDAY(Main[[#This Row],[Tech Start Date]],19),IF(Main[[#This Row],[Class]]="A",WORKDAY(Main[[#This Row],[Tech Start Date]],9),""))))</f>
        <v/>
      </c>
      <c r="Q9" s="74">
        <v>40862</v>
      </c>
      <c r="R9" s="74">
        <v>40862</v>
      </c>
      <c r="S9" s="72" t="s">
        <v>17</v>
      </c>
      <c r="T9" s="80" t="s">
        <v>3662</v>
      </c>
      <c r="U9" s="72" t="s">
        <v>29</v>
      </c>
      <c r="V9" s="72" t="s">
        <v>1932</v>
      </c>
      <c r="W9" s="72" t="s">
        <v>1925</v>
      </c>
      <c r="X9" s="72" t="s">
        <v>129</v>
      </c>
      <c r="Y9" s="72" t="s">
        <v>2939</v>
      </c>
      <c r="Z9" s="72" t="s">
        <v>2214</v>
      </c>
      <c r="AA9" s="146" t="s">
        <v>129</v>
      </c>
    </row>
    <row r="10" spans="1:35" ht="18.600000000000001" customHeight="1">
      <c r="A10" s="139">
        <f>IF(priority(Main[[#This Row],[Comments]])&lt;&gt;0, priority(Main[[#This Row],[Comments]]),"")</f>
        <v>1</v>
      </c>
      <c r="B10" s="89" t="s">
        <v>1884</v>
      </c>
      <c r="C10" s="72" t="s">
        <v>933</v>
      </c>
      <c r="D10" s="73" t="s">
        <v>934</v>
      </c>
      <c r="E10" s="74"/>
      <c r="F10" s="74">
        <v>40787</v>
      </c>
      <c r="G10" s="75" t="str">
        <f>IF(stdProdLT(Main[[#This Row],[Comments]])=0.1,"N/A",IF(stdProdLT(Main[[#This Row],[Comments]])=0,"",stdProdLT(Main[[#This Row],[Comments]])))</f>
        <v/>
      </c>
      <c r="H10" s="76">
        <f>IF(AND(Main[[#This Row],[In Stock Date]]&lt;&gt;"",Main[[#This Row],[Revised Due Date]]&lt;&gt;""),Main[[#This Row],[In Stock Date]]-Main[[#This Row],[Revised Due Date]],"")</f>
        <v>91</v>
      </c>
      <c r="I10" s="72" t="s">
        <v>489</v>
      </c>
      <c r="J10" s="72" t="s">
        <v>70</v>
      </c>
      <c r="K10" s="72" t="s">
        <v>1926</v>
      </c>
      <c r="L10" s="74">
        <v>40658</v>
      </c>
      <c r="M10" s="77">
        <f>IF(Main[[#This Row],[Tech Start Date]]&lt;1/1/1990,"",IF(Main[[#This Row],[Class]]="C",WORKDAY(Main[[#This Row],[Tech Start Date]],9),IF(Main[[#This Row],[Class]]="B", WORKDAY(Main[[#This Row],[Tech Start Date]],6),IF(Main[[#This Row],[Class]]="A",WORKDAY(Main[[#This Row],[Tech Start Date]],2),""))))</f>
        <v>40660</v>
      </c>
      <c r="N10" s="77">
        <f>IF(Main[[#This Row],[Tech Start Date]]&lt;1/1/1990,"",IF(Main[[#This Row],[Class]]="C",WORKDAY(Main[[#This Row],[Tech Start Date]],19),IF(Main[[#This Row],[Class]]="B", WORKDAY(Main[[#This Row],[Tech Start Date]],12),IF(Main[[#This Row],[Class]]="A",WORKDAY(Main[[#This Row],[Tech Start Date]],4),""))))</f>
        <v>40662</v>
      </c>
      <c r="O10" s="77">
        <f>IF(Main[[#This Row],[Tech Start Date]]&lt;1/1/1990,"",IF(Main[[#This Row],[Class]]="C",WORKDAY(Main[[#This Row],[Tech Start Date]],23),IF(Main[[#This Row],[Class]]="B", WORKDAY(Main[[#This Row],[Tech Start Date]],15),IF(Main[[#This Row],[Class]]="A",WORKDAY(Main[[#This Row],[Tech Start Date]],5),""))))</f>
        <v>40665</v>
      </c>
      <c r="P10" s="77">
        <f>IF(Main[[#This Row],[Tech Start Date]]&lt;1/1/1990,"",IF(Main[[#This Row],[Class]]="C",WORKDAY(Main[[#This Row],[Tech Start Date]],28),IF(Main[[#This Row],[Class]]="B", WORKDAY(Main[[#This Row],[Tech Start Date]],19),IF(Main[[#This Row],[Class]]="A",WORKDAY(Main[[#This Row],[Tech Start Date]],9),""))))</f>
        <v>40669</v>
      </c>
      <c r="Q10" s="74">
        <v>40696</v>
      </c>
      <c r="R10" s="74">
        <v>40696</v>
      </c>
      <c r="S10" s="72" t="s">
        <v>11</v>
      </c>
      <c r="T10" s="80" t="s">
        <v>935</v>
      </c>
      <c r="U10" s="72" t="s">
        <v>14</v>
      </c>
      <c r="V10" s="72" t="s">
        <v>1920</v>
      </c>
      <c r="W10" s="72" t="s">
        <v>1923</v>
      </c>
      <c r="X10" s="72" t="s">
        <v>2878</v>
      </c>
      <c r="Y10" s="72" t="s">
        <v>3002</v>
      </c>
      <c r="Z10" s="72" t="s">
        <v>2054</v>
      </c>
      <c r="AA10" s="146" t="s">
        <v>2878</v>
      </c>
    </row>
    <row r="11" spans="1:35" ht="18.600000000000001" customHeight="1">
      <c r="A11" s="139">
        <f>IF(priority(Main[[#This Row],[Comments]])&lt;&gt;0, priority(Main[[#This Row],[Comments]]),"")</f>
        <v>1</v>
      </c>
      <c r="B11" s="89" t="s">
        <v>2625</v>
      </c>
      <c r="C11" s="72" t="s">
        <v>2626</v>
      </c>
      <c r="D11" s="73" t="s">
        <v>2805</v>
      </c>
      <c r="E11" s="74"/>
      <c r="F11" s="74">
        <v>40855</v>
      </c>
      <c r="G11" s="75" t="str">
        <f>IF(stdProdLT(Main[[#This Row],[Comments]])=0.1,"N/A",IF(stdProdLT(Main[[#This Row],[Comments]])=0,"",stdProdLT(Main[[#This Row],[Comments]])))</f>
        <v>N/A</v>
      </c>
      <c r="H11" s="76">
        <f>IF(AND(Main[[#This Row],[In Stock Date]]&lt;&gt;"",Main[[#This Row],[Revised Due Date]]&lt;&gt;""),Main[[#This Row],[In Stock Date]]-Main[[#This Row],[Revised Due Date]],"")</f>
        <v>-84</v>
      </c>
      <c r="I11" s="72" t="s">
        <v>939</v>
      </c>
      <c r="J11" s="72" t="s">
        <v>28</v>
      </c>
      <c r="K11" s="72" t="s">
        <v>1926</v>
      </c>
      <c r="L11" s="74">
        <v>40834</v>
      </c>
      <c r="M11" s="77">
        <f>IF(Main[[#This Row],[Tech Start Date]]&lt;1/1/1990,"",IF(Main[[#This Row],[Class]]="C",WORKDAY(Main[[#This Row],[Tech Start Date]],9),IF(Main[[#This Row],[Class]]="B", WORKDAY(Main[[#This Row],[Tech Start Date]],6),IF(Main[[#This Row],[Class]]="A",WORKDAY(Main[[#This Row],[Tech Start Date]],2),""))))</f>
        <v>40836</v>
      </c>
      <c r="N11" s="77">
        <f>IF(Main[[#This Row],[Tech Start Date]]&lt;1/1/1990,"",IF(Main[[#This Row],[Class]]="C",WORKDAY(Main[[#This Row],[Tech Start Date]],19),IF(Main[[#This Row],[Class]]="B", WORKDAY(Main[[#This Row],[Tech Start Date]],12),IF(Main[[#This Row],[Class]]="A",WORKDAY(Main[[#This Row],[Tech Start Date]],4),""))))</f>
        <v>40840</v>
      </c>
      <c r="O11" s="77">
        <f>IF(Main[[#This Row],[Tech Start Date]]&lt;1/1/1990,"",IF(Main[[#This Row],[Class]]="C",WORKDAY(Main[[#This Row],[Tech Start Date]],23),IF(Main[[#This Row],[Class]]="B", WORKDAY(Main[[#This Row],[Tech Start Date]],15),IF(Main[[#This Row],[Class]]="A",WORKDAY(Main[[#This Row],[Tech Start Date]],5),""))))</f>
        <v>40841</v>
      </c>
      <c r="P11" s="77">
        <f>IF(Main[[#This Row],[Tech Start Date]]&lt;1/1/1990,"",IF(Main[[#This Row],[Class]]="C",WORKDAY(Main[[#This Row],[Tech Start Date]],28),IF(Main[[#This Row],[Class]]="B", WORKDAY(Main[[#This Row],[Tech Start Date]],19),IF(Main[[#This Row],[Class]]="A",WORKDAY(Main[[#This Row],[Tech Start Date]],9),""))))</f>
        <v>40847</v>
      </c>
      <c r="Q11" s="74">
        <v>40855</v>
      </c>
      <c r="R11" s="74">
        <v>40939</v>
      </c>
      <c r="S11" s="72" t="s">
        <v>11</v>
      </c>
      <c r="T11" s="80" t="s">
        <v>2806</v>
      </c>
      <c r="U11" s="72" t="s">
        <v>14</v>
      </c>
      <c r="V11" s="72" t="s">
        <v>1917</v>
      </c>
      <c r="W11" s="72" t="s">
        <v>1919</v>
      </c>
      <c r="X11" s="72" t="s">
        <v>2837</v>
      </c>
      <c r="Y11" s="72" t="s">
        <v>2960</v>
      </c>
      <c r="Z11" s="72" t="s">
        <v>129</v>
      </c>
      <c r="AA11" s="146" t="s">
        <v>2837</v>
      </c>
    </row>
    <row r="12" spans="1:35" ht="18.600000000000001" customHeight="1">
      <c r="A12" s="139">
        <f>IF(priority(Main[[#This Row],[Comments]])&lt;&gt;0, priority(Main[[#This Row],[Comments]]),"")</f>
        <v>1</v>
      </c>
      <c r="B12" s="89" t="s">
        <v>2634</v>
      </c>
      <c r="C12" s="72" t="s">
        <v>2635</v>
      </c>
      <c r="D12" s="73" t="s">
        <v>3845</v>
      </c>
      <c r="E12" s="74">
        <v>40835.462650462963</v>
      </c>
      <c r="F12" s="74">
        <v>40928</v>
      </c>
      <c r="G12" s="75" t="str">
        <f>IF(stdProdLT(Main[[#This Row],[Comments]])=0.1,"N/A",IF(stdProdLT(Main[[#This Row],[Comments]])=0,"",stdProdLT(Main[[#This Row],[Comments]])))</f>
        <v>N/A</v>
      </c>
      <c r="H12" s="76">
        <f>IF(AND(Main[[#This Row],[In Stock Date]]&lt;&gt;"",Main[[#This Row],[Revised Due Date]]&lt;&gt;""),Main[[#This Row],[In Stock Date]]-Main[[#This Row],[Revised Due Date]],"")</f>
        <v>-40</v>
      </c>
      <c r="I12" s="72" t="s">
        <v>306</v>
      </c>
      <c r="J12" s="72" t="s">
        <v>75</v>
      </c>
      <c r="K12" s="72" t="s">
        <v>1930</v>
      </c>
      <c r="L12" s="74">
        <v>40848</v>
      </c>
      <c r="M12" s="77">
        <f>IF(Main[[#This Row],[Tech Start Date]]&lt;1/1/1990,"",IF(Main[[#This Row],[Class]]="C",WORKDAY(Main[[#This Row],[Tech Start Date]],9),IF(Main[[#This Row],[Class]]="B", WORKDAY(Main[[#This Row],[Tech Start Date]],6),IF(Main[[#This Row],[Class]]="A",WORKDAY(Main[[#This Row],[Tech Start Date]],2),""))))</f>
        <v>40861</v>
      </c>
      <c r="N12" s="77">
        <f>IF(Main[[#This Row],[Tech Start Date]]&lt;1/1/1990,"",IF(Main[[#This Row],[Class]]="C",WORKDAY(Main[[#This Row],[Tech Start Date]],19),IF(Main[[#This Row],[Class]]="B", WORKDAY(Main[[#This Row],[Tech Start Date]],12),IF(Main[[#This Row],[Class]]="A",WORKDAY(Main[[#This Row],[Tech Start Date]],4),""))))</f>
        <v>40875</v>
      </c>
      <c r="O12" s="77">
        <f>IF(Main[[#This Row],[Tech Start Date]]&lt;1/1/1990,"",IF(Main[[#This Row],[Class]]="C",WORKDAY(Main[[#This Row],[Tech Start Date]],23),IF(Main[[#This Row],[Class]]="B", WORKDAY(Main[[#This Row],[Tech Start Date]],15),IF(Main[[#This Row],[Class]]="A",WORKDAY(Main[[#This Row],[Tech Start Date]],5),""))))</f>
        <v>40879</v>
      </c>
      <c r="P12" s="77">
        <f>IF(Main[[#This Row],[Tech Start Date]]&lt;1/1/1990,"",IF(Main[[#This Row],[Class]]="C",WORKDAY(Main[[#This Row],[Tech Start Date]],28),IF(Main[[#This Row],[Class]]="B", WORKDAY(Main[[#This Row],[Tech Start Date]],19),IF(Main[[#This Row],[Class]]="A",WORKDAY(Main[[#This Row],[Tech Start Date]],9),""))))</f>
        <v>40886</v>
      </c>
      <c r="Q12" s="74">
        <v>40857</v>
      </c>
      <c r="R12" s="74">
        <v>40968</v>
      </c>
      <c r="S12" s="72" t="s">
        <v>11</v>
      </c>
      <c r="T12" s="80" t="s">
        <v>3846</v>
      </c>
      <c r="U12" s="72" t="s">
        <v>29</v>
      </c>
      <c r="V12" s="72" t="s">
        <v>1918</v>
      </c>
      <c r="W12" s="72" t="s">
        <v>1919</v>
      </c>
      <c r="X12" s="72" t="s">
        <v>2878</v>
      </c>
      <c r="Y12" s="72" t="s">
        <v>3002</v>
      </c>
      <c r="Z12" s="72" t="s">
        <v>2056</v>
      </c>
      <c r="AA12" s="146" t="s">
        <v>2878</v>
      </c>
    </row>
    <row r="13" spans="1:35" ht="18.600000000000001" customHeight="1">
      <c r="A13" s="155">
        <f>IF(priority(Main[[#This Row],[Comments]])&lt;&gt;0, priority(Main[[#This Row],[Comments]]),"")</f>
        <v>1</v>
      </c>
      <c r="B13" s="156" t="s">
        <v>3194</v>
      </c>
      <c r="C13" s="157" t="s">
        <v>3658</v>
      </c>
      <c r="D13" s="158" t="s">
        <v>3897</v>
      </c>
      <c r="E13" s="160">
        <v>40919.097627314812</v>
      </c>
      <c r="F13" s="160">
        <v>40967</v>
      </c>
      <c r="G13" s="162" t="str">
        <f>IF(stdProdLT(Main[[#This Row],[Comments]])=0.1,"N/A",IF(stdProdLT(Main[[#This Row],[Comments]])=0,"",stdProdLT(Main[[#This Row],[Comments]])))</f>
        <v>N/A</v>
      </c>
      <c r="H13" s="164">
        <f>IF(AND(Main[[#This Row],[In Stock Date]]&lt;&gt;"",Main[[#This Row],[Revised Due Date]]&lt;&gt;""),Main[[#This Row],[In Stock Date]]-Main[[#This Row],[Revised Due Date]],"")</f>
        <v>1</v>
      </c>
      <c r="I13" s="157" t="s">
        <v>972</v>
      </c>
      <c r="J13" s="157" t="s">
        <v>51</v>
      </c>
      <c r="K13" s="157" t="s">
        <v>1926</v>
      </c>
      <c r="L13" s="160">
        <v>40947</v>
      </c>
      <c r="M13" s="167">
        <f>IF(Main[[#This Row],[Tech Start Date]]&lt;1/1/1990,"",IF(Main[[#This Row],[Class]]="C",WORKDAY(Main[[#This Row],[Tech Start Date]],9),IF(Main[[#This Row],[Class]]="B", WORKDAY(Main[[#This Row],[Tech Start Date]],6),IF(Main[[#This Row],[Class]]="A",WORKDAY(Main[[#This Row],[Tech Start Date]],2),""))))</f>
        <v>40949</v>
      </c>
      <c r="N13" s="167">
        <f>IF(Main[[#This Row],[Tech Start Date]]&lt;1/1/1990,"",IF(Main[[#This Row],[Class]]="C",WORKDAY(Main[[#This Row],[Tech Start Date]],19),IF(Main[[#This Row],[Class]]="B", WORKDAY(Main[[#This Row],[Tech Start Date]],12),IF(Main[[#This Row],[Class]]="A",WORKDAY(Main[[#This Row],[Tech Start Date]],4),""))))</f>
        <v>40953</v>
      </c>
      <c r="O13" s="167">
        <f>IF(Main[[#This Row],[Tech Start Date]]&lt;1/1/1990,"",IF(Main[[#This Row],[Class]]="C",WORKDAY(Main[[#This Row],[Tech Start Date]],23),IF(Main[[#This Row],[Class]]="B", WORKDAY(Main[[#This Row],[Tech Start Date]],15),IF(Main[[#This Row],[Class]]="A",WORKDAY(Main[[#This Row],[Tech Start Date]],5),""))))</f>
        <v>40954</v>
      </c>
      <c r="P13" s="167">
        <f>IF(Main[[#This Row],[Tech Start Date]]&lt;1/1/1990,"",IF(Main[[#This Row],[Class]]="C",WORKDAY(Main[[#This Row],[Tech Start Date]],28),IF(Main[[#This Row],[Class]]="B", WORKDAY(Main[[#This Row],[Tech Start Date]],19),IF(Main[[#This Row],[Class]]="A",WORKDAY(Main[[#This Row],[Tech Start Date]],9),""))))</f>
        <v>40960</v>
      </c>
      <c r="Q13" s="160">
        <v>40967</v>
      </c>
      <c r="R13" s="160">
        <v>40966</v>
      </c>
      <c r="S13" s="157" t="s">
        <v>11</v>
      </c>
      <c r="T13" s="171" t="s">
        <v>3898</v>
      </c>
      <c r="U13" s="157" t="s">
        <v>29</v>
      </c>
      <c r="V13" s="157" t="s">
        <v>1927</v>
      </c>
      <c r="W13" s="157" t="s">
        <v>1923</v>
      </c>
      <c r="X13" s="157" t="s">
        <v>2918</v>
      </c>
      <c r="Y13" s="157" t="s">
        <v>3195</v>
      </c>
      <c r="Z13" s="157" t="s">
        <v>530</v>
      </c>
      <c r="AA13" s="153" t="s">
        <v>2918</v>
      </c>
    </row>
    <row r="14" spans="1:35" ht="18.600000000000001" customHeight="1">
      <c r="A14" s="139">
        <f>IF(priority(Main[[#This Row],[Comments]])&lt;&gt;0, priority(Main[[#This Row],[Comments]]),"")</f>
        <v>1.01</v>
      </c>
      <c r="B14" s="89" t="s">
        <v>1883</v>
      </c>
      <c r="C14" s="72" t="s">
        <v>113</v>
      </c>
      <c r="D14" s="73" t="s">
        <v>3829</v>
      </c>
      <c r="E14" s="74">
        <v>40633.588854166665</v>
      </c>
      <c r="F14" s="74">
        <v>40674</v>
      </c>
      <c r="G14" s="75" t="str">
        <f>IF(stdProdLT(Main[[#This Row],[Comments]])=0.1,"N/A",IF(stdProdLT(Main[[#This Row],[Comments]])=0,"",stdProdLT(Main[[#This Row],[Comments]])))</f>
        <v/>
      </c>
      <c r="H14" s="76">
        <f>IF(AND(Main[[#This Row],[In Stock Date]]&lt;&gt;"",Main[[#This Row],[Revised Due Date]]&lt;&gt;""),Main[[#This Row],[In Stock Date]]-Main[[#This Row],[Revised Due Date]],"")</f>
        <v>-355</v>
      </c>
      <c r="I14" s="72" t="s">
        <v>939</v>
      </c>
      <c r="J14" s="72" t="s">
        <v>28</v>
      </c>
      <c r="K14" s="81" t="s">
        <v>1929</v>
      </c>
      <c r="L14" s="74">
        <v>40666</v>
      </c>
      <c r="M14" s="77" t="str">
        <f>IF(Main[[#This Row],[Tech Start Date]]&lt;1/1/1990,"",IF(Main[[#This Row],[Class]]="C",WORKDAY(Main[[#This Row],[Tech Start Date]],9),IF(Main[[#This Row],[Class]]="B", WORKDAY(Main[[#This Row],[Tech Start Date]],6),IF(Main[[#This Row],[Class]]="A",WORKDAY(Main[[#This Row],[Tech Start Date]],2),""))))</f>
        <v/>
      </c>
      <c r="N14" s="77" t="str">
        <f>IF(Main[[#This Row],[Tech Start Date]]&lt;1/1/1990,"",IF(Main[[#This Row],[Class]]="C",WORKDAY(Main[[#This Row],[Tech Start Date]],19),IF(Main[[#This Row],[Class]]="B", WORKDAY(Main[[#This Row],[Tech Start Date]],12),IF(Main[[#This Row],[Class]]="A",WORKDAY(Main[[#This Row],[Tech Start Date]],4),""))))</f>
        <v/>
      </c>
      <c r="O14" s="77" t="str">
        <f>IF(Main[[#This Row],[Tech Start Date]]&lt;1/1/1990,"",IF(Main[[#This Row],[Class]]="C",WORKDAY(Main[[#This Row],[Tech Start Date]],23),IF(Main[[#This Row],[Class]]="B", WORKDAY(Main[[#This Row],[Tech Start Date]],15),IF(Main[[#This Row],[Class]]="A",WORKDAY(Main[[#This Row],[Tech Start Date]],5),""))))</f>
        <v/>
      </c>
      <c r="P14" s="77" t="str">
        <f>IF(Main[[#This Row],[Tech Start Date]]&lt;1/1/1990,"",IF(Main[[#This Row],[Class]]="C",WORKDAY(Main[[#This Row],[Tech Start Date]],28),IF(Main[[#This Row],[Class]]="B", WORKDAY(Main[[#This Row],[Tech Start Date]],19),IF(Main[[#This Row],[Class]]="A",WORKDAY(Main[[#This Row],[Tech Start Date]],9),""))))</f>
        <v/>
      </c>
      <c r="Q14" s="74">
        <v>40939</v>
      </c>
      <c r="R14" s="74">
        <v>41029</v>
      </c>
      <c r="S14" s="72" t="s">
        <v>17</v>
      </c>
      <c r="T14" s="80" t="s">
        <v>2615</v>
      </c>
      <c r="U14" s="72" t="s">
        <v>29</v>
      </c>
      <c r="V14" s="72" t="s">
        <v>1917</v>
      </c>
      <c r="W14" s="72" t="s">
        <v>1928</v>
      </c>
      <c r="X14" s="72" t="s">
        <v>2839</v>
      </c>
      <c r="Y14" s="72" t="s">
        <v>2945</v>
      </c>
      <c r="Z14" s="72" t="s">
        <v>129</v>
      </c>
      <c r="AA14" s="146" t="s">
        <v>2839</v>
      </c>
    </row>
    <row r="15" spans="1:35" ht="18.600000000000001" customHeight="1">
      <c r="A15" s="139">
        <f>IF(priority(Main[[#This Row],[Comments]])&lt;&gt;0, priority(Main[[#This Row],[Comments]]),"")</f>
        <v>2</v>
      </c>
      <c r="B15" s="89" t="s">
        <v>1157</v>
      </c>
      <c r="C15" s="72" t="s">
        <v>19</v>
      </c>
      <c r="D15" s="73" t="s">
        <v>2433</v>
      </c>
      <c r="E15" s="74">
        <v>40487.363657407404</v>
      </c>
      <c r="F15" s="74"/>
      <c r="G15" s="75" t="str">
        <f>IF(stdProdLT(Main[[#This Row],[Comments]])=0.1,"N/A",IF(stdProdLT(Main[[#This Row],[Comments]])=0,"",stdProdLT(Main[[#This Row],[Comments]])))</f>
        <v/>
      </c>
      <c r="H15" s="76" t="str">
        <f>IF(AND(Main[[#This Row],[In Stock Date]]&lt;&gt;"",Main[[#This Row],[Revised Due Date]]&lt;&gt;""),Main[[#This Row],[In Stock Date]]-Main[[#This Row],[Revised Due Date]],"")</f>
        <v/>
      </c>
      <c r="I15" s="72" t="s">
        <v>2021</v>
      </c>
      <c r="J15" s="72" t="s">
        <v>28</v>
      </c>
      <c r="K15" s="72" t="s">
        <v>4</v>
      </c>
      <c r="L15" s="74"/>
      <c r="M15" s="77" t="str">
        <f>IF(Main[[#This Row],[Tech Start Date]]&lt;1/1/1990,"",IF(Main[[#This Row],[Class]]="C",WORKDAY(Main[[#This Row],[Tech Start Date]],9),IF(Main[[#This Row],[Class]]="B", WORKDAY(Main[[#This Row],[Tech Start Date]],6),IF(Main[[#This Row],[Class]]="A",WORKDAY(Main[[#This Row],[Tech Start Date]],2),""))))</f>
        <v/>
      </c>
      <c r="N15" s="77" t="str">
        <f>IF(Main[[#This Row],[Tech Start Date]]&lt;1/1/1990,"",IF(Main[[#This Row],[Class]]="C",WORKDAY(Main[[#This Row],[Tech Start Date]],19),IF(Main[[#This Row],[Class]]="B", WORKDAY(Main[[#This Row],[Tech Start Date]],12),IF(Main[[#This Row],[Class]]="A",WORKDAY(Main[[#This Row],[Tech Start Date]],4),""))))</f>
        <v/>
      </c>
      <c r="O15" s="77" t="str">
        <f>IF(Main[[#This Row],[Tech Start Date]]&lt;1/1/1990,"",IF(Main[[#This Row],[Class]]="C",WORKDAY(Main[[#This Row],[Tech Start Date]],23),IF(Main[[#This Row],[Class]]="B", WORKDAY(Main[[#This Row],[Tech Start Date]],15),IF(Main[[#This Row],[Class]]="A",WORKDAY(Main[[#This Row],[Tech Start Date]],5),""))))</f>
        <v/>
      </c>
      <c r="P15" s="77" t="str">
        <f>IF(Main[[#This Row],[Tech Start Date]]&lt;1/1/1990,"",IF(Main[[#This Row],[Class]]="C",WORKDAY(Main[[#This Row],[Tech Start Date]],28),IF(Main[[#This Row],[Class]]="B", WORKDAY(Main[[#This Row],[Tech Start Date]],19),IF(Main[[#This Row],[Class]]="A",WORKDAY(Main[[#This Row],[Tech Start Date]],9),""))))</f>
        <v/>
      </c>
      <c r="Q15" s="74">
        <v>40862</v>
      </c>
      <c r="R15" s="74">
        <v>40862</v>
      </c>
      <c r="S15" s="72" t="s">
        <v>17</v>
      </c>
      <c r="T15" s="80" t="s">
        <v>2434</v>
      </c>
      <c r="U15" s="72" t="s">
        <v>29</v>
      </c>
      <c r="V15" s="72" t="s">
        <v>1932</v>
      </c>
      <c r="W15" s="72" t="s">
        <v>1919</v>
      </c>
      <c r="X15" s="72" t="s">
        <v>129</v>
      </c>
      <c r="Y15" s="72" t="s">
        <v>2939</v>
      </c>
      <c r="Z15" s="72" t="s">
        <v>2214</v>
      </c>
      <c r="AA15" s="146" t="s">
        <v>129</v>
      </c>
    </row>
    <row r="16" spans="1:35" ht="18.600000000000001" customHeight="1">
      <c r="A16" s="139">
        <f>IF(priority(Main[[#This Row],[Comments]])&lt;&gt;0, priority(Main[[#This Row],[Comments]]),"")</f>
        <v>2</v>
      </c>
      <c r="B16" s="89" t="s">
        <v>2048</v>
      </c>
      <c r="C16" s="72" t="s">
        <v>299</v>
      </c>
      <c r="D16" s="73" t="s">
        <v>2324</v>
      </c>
      <c r="E16" s="74">
        <v>40682.272986111115</v>
      </c>
      <c r="F16" s="74">
        <v>40909</v>
      </c>
      <c r="G16" s="75">
        <f>IF(stdProdLT(Main[[#This Row],[Comments]])=0.1,"N/A",IF(stdProdLT(Main[[#This Row],[Comments]])=0,"",stdProdLT(Main[[#This Row],[Comments]])))</f>
        <v>182</v>
      </c>
      <c r="H16" s="76">
        <f>IF(AND(Main[[#This Row],[In Stock Date]]&lt;&gt;"",Main[[#This Row],[Revised Due Date]]&lt;&gt;""),Main[[#This Row],[In Stock Date]]-Main[[#This Row],[Revised Due Date]],"")</f>
        <v>78</v>
      </c>
      <c r="I16" s="72" t="s">
        <v>948</v>
      </c>
      <c r="J16" s="72" t="s">
        <v>28</v>
      </c>
      <c r="K16" s="72" t="s">
        <v>1930</v>
      </c>
      <c r="L16" s="74">
        <v>40725</v>
      </c>
      <c r="M16" s="77">
        <f>IF(Main[[#This Row],[Tech Start Date]]&lt;1/1/1990,"",IF(Main[[#This Row],[Class]]="C",WORKDAY(Main[[#This Row],[Tech Start Date]],9),IF(Main[[#This Row],[Class]]="B", WORKDAY(Main[[#This Row],[Tech Start Date]],6),IF(Main[[#This Row],[Class]]="A",WORKDAY(Main[[#This Row],[Tech Start Date]],2),""))))</f>
        <v>40738</v>
      </c>
      <c r="N16" s="77">
        <f>IF(Main[[#This Row],[Tech Start Date]]&lt;1/1/1990,"",IF(Main[[#This Row],[Class]]="C",WORKDAY(Main[[#This Row],[Tech Start Date]],19),IF(Main[[#This Row],[Class]]="B", WORKDAY(Main[[#This Row],[Tech Start Date]],12),IF(Main[[#This Row],[Class]]="A",WORKDAY(Main[[#This Row],[Tech Start Date]],4),""))))</f>
        <v>40752</v>
      </c>
      <c r="O16" s="77">
        <f>IF(Main[[#This Row],[Tech Start Date]]&lt;1/1/1990,"",IF(Main[[#This Row],[Class]]="C",WORKDAY(Main[[#This Row],[Tech Start Date]],23),IF(Main[[#This Row],[Class]]="B", WORKDAY(Main[[#This Row],[Tech Start Date]],15),IF(Main[[#This Row],[Class]]="A",WORKDAY(Main[[#This Row],[Tech Start Date]],5),""))))</f>
        <v>40758</v>
      </c>
      <c r="P16" s="77">
        <f>IF(Main[[#This Row],[Tech Start Date]]&lt;1/1/1990,"",IF(Main[[#This Row],[Class]]="C",WORKDAY(Main[[#This Row],[Tech Start Date]],28),IF(Main[[#This Row],[Class]]="B", WORKDAY(Main[[#This Row],[Tech Start Date]],19),IF(Main[[#This Row],[Class]]="A",WORKDAY(Main[[#This Row],[Tech Start Date]],9),""))))</f>
        <v>40765</v>
      </c>
      <c r="Q16" s="74">
        <v>40724</v>
      </c>
      <c r="R16" s="74">
        <v>40831</v>
      </c>
      <c r="S16" s="72" t="s">
        <v>17</v>
      </c>
      <c r="T16" s="80" t="s">
        <v>2210</v>
      </c>
      <c r="U16" s="72" t="s">
        <v>29</v>
      </c>
      <c r="V16" s="72" t="s">
        <v>1918</v>
      </c>
      <c r="W16" s="72" t="s">
        <v>1922</v>
      </c>
      <c r="X16" s="72" t="s">
        <v>2841</v>
      </c>
      <c r="Y16" s="72" t="s">
        <v>4</v>
      </c>
      <c r="Z16" s="72" t="s">
        <v>2056</v>
      </c>
      <c r="AA16" s="146" t="s">
        <v>2841</v>
      </c>
    </row>
    <row r="17" spans="1:34" ht="18.600000000000001" customHeight="1">
      <c r="A17" s="139">
        <f>IF(priority(Main[[#This Row],[Comments]])&lt;&gt;0, priority(Main[[#This Row],[Comments]]),"")</f>
        <v>2</v>
      </c>
      <c r="B17" s="89" t="s">
        <v>2281</v>
      </c>
      <c r="C17" s="72" t="s">
        <v>518</v>
      </c>
      <c r="D17" s="73" t="s">
        <v>2931</v>
      </c>
      <c r="E17" s="74">
        <v>40812.552488425928</v>
      </c>
      <c r="F17" s="74">
        <v>41030</v>
      </c>
      <c r="G17" s="75">
        <f>IF(stdProdLT(Main[[#This Row],[Comments]])=0.1,"N/A",IF(stdProdLT(Main[[#This Row],[Comments]])=0,"",stdProdLT(Main[[#This Row],[Comments]])))</f>
        <v>84</v>
      </c>
      <c r="H17" s="76">
        <f>IF(AND(Main[[#This Row],[In Stock Date]]&lt;&gt;"",Main[[#This Row],[Revised Due Date]]&lt;&gt;""),Main[[#This Row],[In Stock Date]]-Main[[#This Row],[Revised Due Date]],"")</f>
        <v>74</v>
      </c>
      <c r="I17" s="72" t="s">
        <v>2630</v>
      </c>
      <c r="J17" s="72" t="s">
        <v>21</v>
      </c>
      <c r="K17" s="72" t="s">
        <v>1924</v>
      </c>
      <c r="L17" s="74">
        <v>40835</v>
      </c>
      <c r="M17" s="77">
        <f>IF(Main[[#This Row],[Tech Start Date]]&lt;1/1/1990,"",IF(Main[[#This Row],[Class]]="C",WORKDAY(Main[[#This Row],[Tech Start Date]],9),IF(Main[[#This Row],[Class]]="B", WORKDAY(Main[[#This Row],[Tech Start Date]],6),IF(Main[[#This Row],[Class]]="A",WORKDAY(Main[[#This Row],[Tech Start Date]],2),""))))</f>
        <v>40843</v>
      </c>
      <c r="N17" s="77">
        <f>IF(Main[[#This Row],[Tech Start Date]]&lt;1/1/1990,"",IF(Main[[#This Row],[Class]]="C",WORKDAY(Main[[#This Row],[Tech Start Date]],19),IF(Main[[#This Row],[Class]]="B", WORKDAY(Main[[#This Row],[Tech Start Date]],12),IF(Main[[#This Row],[Class]]="A",WORKDAY(Main[[#This Row],[Tech Start Date]],4),""))))</f>
        <v>40851</v>
      </c>
      <c r="O17" s="77">
        <f>IF(Main[[#This Row],[Tech Start Date]]&lt;1/1/1990,"",IF(Main[[#This Row],[Class]]="C",WORKDAY(Main[[#This Row],[Tech Start Date]],23),IF(Main[[#This Row],[Class]]="B", WORKDAY(Main[[#This Row],[Tech Start Date]],15),IF(Main[[#This Row],[Class]]="A",WORKDAY(Main[[#This Row],[Tech Start Date]],5),""))))</f>
        <v>40856</v>
      </c>
      <c r="P17" s="77">
        <f>IF(Main[[#This Row],[Tech Start Date]]&lt;1/1/1990,"",IF(Main[[#This Row],[Class]]="C",WORKDAY(Main[[#This Row],[Tech Start Date]],28),IF(Main[[#This Row],[Class]]="B", WORKDAY(Main[[#This Row],[Tech Start Date]],19),IF(Main[[#This Row],[Class]]="A",WORKDAY(Main[[#This Row],[Tech Start Date]],9),""))))</f>
        <v>40862</v>
      </c>
      <c r="Q17" s="74">
        <v>40816</v>
      </c>
      <c r="R17" s="74">
        <v>40956</v>
      </c>
      <c r="S17" s="72" t="s">
        <v>17</v>
      </c>
      <c r="T17" s="80" t="s">
        <v>2807</v>
      </c>
      <c r="U17" s="72" t="s">
        <v>29</v>
      </c>
      <c r="V17" s="72" t="s">
        <v>1918</v>
      </c>
      <c r="W17" s="72" t="s">
        <v>1925</v>
      </c>
      <c r="X17" s="72" t="s">
        <v>2916</v>
      </c>
      <c r="Y17" s="72" t="s">
        <v>3123</v>
      </c>
      <c r="Z17" s="72" t="s">
        <v>2056</v>
      </c>
      <c r="AA17" s="146" t="s">
        <v>3461</v>
      </c>
    </row>
    <row r="18" spans="1:34" ht="18.600000000000001" customHeight="1">
      <c r="A18" s="155">
        <f>IF(priority(Main[[#This Row],[Comments]])&lt;&gt;0, priority(Main[[#This Row],[Comments]]),"")</f>
        <v>2</v>
      </c>
      <c r="B18" s="156" t="s">
        <v>3193</v>
      </c>
      <c r="C18" s="157" t="s">
        <v>3221</v>
      </c>
      <c r="D18" s="158" t="s">
        <v>3874</v>
      </c>
      <c r="E18" s="160">
        <v>40920.17900462963</v>
      </c>
      <c r="F18" s="160">
        <v>41122</v>
      </c>
      <c r="G18" s="162">
        <f>IF(stdProdLT(Main[[#This Row],[Comments]])=0.1,"N/A",IF(stdProdLT(Main[[#This Row],[Comments]])=0,"",stdProdLT(Main[[#This Row],[Comments]])))</f>
        <v>168</v>
      </c>
      <c r="H18" s="164">
        <f>IF(AND(Main[[#This Row],[In Stock Date]]&lt;&gt;"",Main[[#This Row],[Revised Due Date]]&lt;&gt;""),Main[[#This Row],[In Stock Date]]-Main[[#This Row],[Revised Due Date]],"")</f>
        <v>160</v>
      </c>
      <c r="I18" s="157" t="s">
        <v>102</v>
      </c>
      <c r="J18" s="157" t="s">
        <v>51</v>
      </c>
      <c r="K18" s="157" t="s">
        <v>1930</v>
      </c>
      <c r="L18" s="160">
        <v>40925</v>
      </c>
      <c r="M18" s="167">
        <f>IF(Main[[#This Row],[Tech Start Date]]&lt;1/1/1990,"",IF(Main[[#This Row],[Class]]="C",WORKDAY(Main[[#This Row],[Tech Start Date]],9),IF(Main[[#This Row],[Class]]="B", WORKDAY(Main[[#This Row],[Tech Start Date]],6),IF(Main[[#This Row],[Class]]="A",WORKDAY(Main[[#This Row],[Tech Start Date]],2),""))))</f>
        <v>40938</v>
      </c>
      <c r="N18" s="167">
        <f>IF(Main[[#This Row],[Tech Start Date]]&lt;1/1/1990,"",IF(Main[[#This Row],[Class]]="C",WORKDAY(Main[[#This Row],[Tech Start Date]],19),IF(Main[[#This Row],[Class]]="B", WORKDAY(Main[[#This Row],[Tech Start Date]],12),IF(Main[[#This Row],[Class]]="A",WORKDAY(Main[[#This Row],[Tech Start Date]],4),""))))</f>
        <v>40952</v>
      </c>
      <c r="O18" s="167">
        <f>IF(Main[[#This Row],[Tech Start Date]]&lt;1/1/1990,"",IF(Main[[#This Row],[Class]]="C",WORKDAY(Main[[#This Row],[Tech Start Date]],23),IF(Main[[#This Row],[Class]]="B", WORKDAY(Main[[#This Row],[Tech Start Date]],15),IF(Main[[#This Row],[Class]]="A",WORKDAY(Main[[#This Row],[Tech Start Date]],5),""))))</f>
        <v>40956</v>
      </c>
      <c r="P18" s="167">
        <f>IF(Main[[#This Row],[Tech Start Date]]&lt;1/1/1990,"",IF(Main[[#This Row],[Class]]="C",WORKDAY(Main[[#This Row],[Tech Start Date]],28),IF(Main[[#This Row],[Class]]="B", WORKDAY(Main[[#This Row],[Tech Start Date]],19),IF(Main[[#This Row],[Class]]="A",WORKDAY(Main[[#This Row],[Tech Start Date]],9),""))))</f>
        <v>40963</v>
      </c>
      <c r="Q18" s="160">
        <v>40953</v>
      </c>
      <c r="R18" s="160">
        <v>40962</v>
      </c>
      <c r="S18" s="157" t="s">
        <v>11</v>
      </c>
      <c r="T18" s="171" t="s">
        <v>3875</v>
      </c>
      <c r="U18" s="157" t="s">
        <v>29</v>
      </c>
      <c r="V18" s="157" t="s">
        <v>1920</v>
      </c>
      <c r="W18" s="157" t="s">
        <v>1923</v>
      </c>
      <c r="X18" s="157" t="s">
        <v>2854</v>
      </c>
      <c r="Y18" s="157" t="s">
        <v>2985</v>
      </c>
      <c r="Z18" s="157" t="s">
        <v>306</v>
      </c>
      <c r="AA18" s="153" t="s">
        <v>2854</v>
      </c>
    </row>
    <row r="19" spans="1:34" ht="18.600000000000001" customHeight="1">
      <c r="A19" s="139">
        <f>IF(priority(Main[[#This Row],[Comments]])&lt;&gt;0, priority(Main[[#This Row],[Comments]]),"")</f>
        <v>3</v>
      </c>
      <c r="B19" s="89" t="s">
        <v>1893</v>
      </c>
      <c r="C19" s="72" t="s">
        <v>947</v>
      </c>
      <c r="D19" s="73" t="s">
        <v>2636</v>
      </c>
      <c r="E19" s="74">
        <v>40694.711041666669</v>
      </c>
      <c r="F19" s="74"/>
      <c r="G19" s="75" t="str">
        <f>IF(stdProdLT(Main[[#This Row],[Comments]])=0.1,"N/A",IF(stdProdLT(Main[[#This Row],[Comments]])=0,"",stdProdLT(Main[[#This Row],[Comments]])))</f>
        <v/>
      </c>
      <c r="H19" s="76" t="str">
        <f>IF(AND(Main[[#This Row],[In Stock Date]]&lt;&gt;"",Main[[#This Row],[Revised Due Date]]&lt;&gt;""),Main[[#This Row],[In Stock Date]]-Main[[#This Row],[Revised Due Date]],"")</f>
        <v/>
      </c>
      <c r="I19" s="72" t="s">
        <v>948</v>
      </c>
      <c r="J19" s="72" t="s">
        <v>28</v>
      </c>
      <c r="K19" s="72" t="s">
        <v>1929</v>
      </c>
      <c r="L19" s="74">
        <v>40848</v>
      </c>
      <c r="M19" s="77" t="str">
        <f>IF(Main[[#This Row],[Tech Start Date]]&lt;1/1/1990,"",IF(Main[[#This Row],[Class]]="C",WORKDAY(Main[[#This Row],[Tech Start Date]],9),IF(Main[[#This Row],[Class]]="B", WORKDAY(Main[[#This Row],[Tech Start Date]],6),IF(Main[[#This Row],[Class]]="A",WORKDAY(Main[[#This Row],[Tech Start Date]],2),""))))</f>
        <v/>
      </c>
      <c r="N19" s="77" t="str">
        <f>IF(Main[[#This Row],[Tech Start Date]]&lt;1/1/1990,"",IF(Main[[#This Row],[Class]]="C",WORKDAY(Main[[#This Row],[Tech Start Date]],19),IF(Main[[#This Row],[Class]]="B", WORKDAY(Main[[#This Row],[Tech Start Date]],12),IF(Main[[#This Row],[Class]]="A",WORKDAY(Main[[#This Row],[Tech Start Date]],4),""))))</f>
        <v/>
      </c>
      <c r="O19" s="77" t="str">
        <f>IF(Main[[#This Row],[Tech Start Date]]&lt;1/1/1990,"",IF(Main[[#This Row],[Class]]="C",WORKDAY(Main[[#This Row],[Tech Start Date]],23),IF(Main[[#This Row],[Class]]="B", WORKDAY(Main[[#This Row],[Tech Start Date]],15),IF(Main[[#This Row],[Class]]="A",WORKDAY(Main[[#This Row],[Tech Start Date]],5),""))))</f>
        <v/>
      </c>
      <c r="P19" s="77" t="str">
        <f>IF(Main[[#This Row],[Tech Start Date]]&lt;1/1/1990,"",IF(Main[[#This Row],[Class]]="C",WORKDAY(Main[[#This Row],[Tech Start Date]],28),IF(Main[[#This Row],[Class]]="B", WORKDAY(Main[[#This Row],[Tech Start Date]],19),IF(Main[[#This Row],[Class]]="A",WORKDAY(Main[[#This Row],[Tech Start Date]],9),""))))</f>
        <v/>
      </c>
      <c r="Q19" s="74">
        <v>40729</v>
      </c>
      <c r="R19" s="74"/>
      <c r="S19" s="72" t="s">
        <v>17</v>
      </c>
      <c r="T19" s="80" t="s">
        <v>3844</v>
      </c>
      <c r="U19" s="72" t="s">
        <v>29</v>
      </c>
      <c r="V19" s="72" t="s">
        <v>1932</v>
      </c>
      <c r="W19" s="72" t="s">
        <v>1925</v>
      </c>
      <c r="X19" s="72" t="s">
        <v>2868</v>
      </c>
      <c r="Y19" s="72" t="s">
        <v>3012</v>
      </c>
      <c r="Z19" s="72" t="s">
        <v>2214</v>
      </c>
      <c r="AA19" s="146" t="s">
        <v>2868</v>
      </c>
    </row>
    <row r="20" spans="1:34" ht="18.600000000000001" customHeight="1">
      <c r="A20" s="139">
        <f>IF(priority(Main[[#This Row],[Comments]])&lt;&gt;0, priority(Main[[#This Row],[Comments]]),"")</f>
        <v>3</v>
      </c>
      <c r="B20" s="89" t="s">
        <v>2736</v>
      </c>
      <c r="C20" s="72" t="s">
        <v>3187</v>
      </c>
      <c r="D20" s="73" t="s">
        <v>3859</v>
      </c>
      <c r="E20" s="74">
        <v>40911.202465277776</v>
      </c>
      <c r="F20" s="74">
        <v>41334</v>
      </c>
      <c r="G20" s="75">
        <f>IF(stdProdLT(Main[[#This Row],[Comments]])=0.1,"N/A",IF(stdProdLT(Main[[#This Row],[Comments]])=0,"",stdProdLT(Main[[#This Row],[Comments]])))</f>
        <v>140</v>
      </c>
      <c r="H20" s="76">
        <f>IF(AND(Main[[#This Row],[In Stock Date]]&lt;&gt;"",Main[[#This Row],[Revised Due Date]]&lt;&gt;""),Main[[#This Row],[In Stock Date]]-Main[[#This Row],[Revised Due Date]],"")</f>
        <v>366</v>
      </c>
      <c r="I20" s="72" t="s">
        <v>972</v>
      </c>
      <c r="J20" s="72" t="s">
        <v>51</v>
      </c>
      <c r="K20" s="72" t="s">
        <v>1924</v>
      </c>
      <c r="L20" s="74">
        <v>40913</v>
      </c>
      <c r="M20" s="77">
        <f>IF(Main[[#This Row],[Tech Start Date]]&lt;1/1/1990,"",IF(Main[[#This Row],[Class]]="C",WORKDAY(Main[[#This Row],[Tech Start Date]],9),IF(Main[[#This Row],[Class]]="B", WORKDAY(Main[[#This Row],[Tech Start Date]],6),IF(Main[[#This Row],[Class]]="A",WORKDAY(Main[[#This Row],[Tech Start Date]],2),""))))</f>
        <v>40921</v>
      </c>
      <c r="N20" s="77">
        <f>IF(Main[[#This Row],[Tech Start Date]]&lt;1/1/1990,"",IF(Main[[#This Row],[Class]]="C",WORKDAY(Main[[#This Row],[Tech Start Date]],19),IF(Main[[#This Row],[Class]]="B", WORKDAY(Main[[#This Row],[Tech Start Date]],12),IF(Main[[#This Row],[Class]]="A",WORKDAY(Main[[#This Row],[Tech Start Date]],4),""))))</f>
        <v>40931</v>
      </c>
      <c r="O20" s="77">
        <f>IF(Main[[#This Row],[Tech Start Date]]&lt;1/1/1990,"",IF(Main[[#This Row],[Class]]="C",WORKDAY(Main[[#This Row],[Tech Start Date]],23),IF(Main[[#This Row],[Class]]="B", WORKDAY(Main[[#This Row],[Tech Start Date]],15),IF(Main[[#This Row],[Class]]="A",WORKDAY(Main[[#This Row],[Tech Start Date]],5),""))))</f>
        <v>40934</v>
      </c>
      <c r="P20" s="77">
        <f>IF(Main[[#This Row],[Tech Start Date]]&lt;1/1/1990,"",IF(Main[[#This Row],[Class]]="C",WORKDAY(Main[[#This Row],[Tech Start Date]],28),IF(Main[[#This Row],[Class]]="B", WORKDAY(Main[[#This Row],[Tech Start Date]],19),IF(Main[[#This Row],[Class]]="A",WORKDAY(Main[[#This Row],[Tech Start Date]],9),""))))</f>
        <v>40940</v>
      </c>
      <c r="Q20" s="74">
        <v>40903</v>
      </c>
      <c r="R20" s="74">
        <v>40968</v>
      </c>
      <c r="S20" s="72" t="s">
        <v>11</v>
      </c>
      <c r="T20" s="80" t="s">
        <v>3860</v>
      </c>
      <c r="U20" s="72" t="s">
        <v>29</v>
      </c>
      <c r="V20" s="72" t="s">
        <v>1927</v>
      </c>
      <c r="W20" s="72" t="s">
        <v>1923</v>
      </c>
      <c r="X20" s="72" t="s">
        <v>2852</v>
      </c>
      <c r="Y20" s="72" t="s">
        <v>4</v>
      </c>
      <c r="Z20" s="72" t="s">
        <v>530</v>
      </c>
      <c r="AA20" s="146" t="s">
        <v>2852</v>
      </c>
    </row>
    <row r="21" spans="1:34" ht="18.600000000000001" customHeight="1">
      <c r="A21" s="139">
        <f>IF(priority(Main[[#This Row],[Comments]])&lt;&gt;0, priority(Main[[#This Row],[Comments]]),"")</f>
        <v>5</v>
      </c>
      <c r="B21" s="89" t="s">
        <v>2147</v>
      </c>
      <c r="C21" s="72" t="s">
        <v>2027</v>
      </c>
      <c r="D21" s="73" t="s">
        <v>2148</v>
      </c>
      <c r="E21" s="74"/>
      <c r="F21" s="74">
        <v>40771</v>
      </c>
      <c r="G21" s="75">
        <f>IF(stdProdLT(Main[[#This Row],[Comments]])=0.1,"N/A",IF(stdProdLT(Main[[#This Row],[Comments]])=0,"",stdProdLT(Main[[#This Row],[Comments]])))</f>
        <v>154</v>
      </c>
      <c r="H21" s="76">
        <f>IF(AND(Main[[#This Row],[In Stock Date]]&lt;&gt;"",Main[[#This Row],[Revised Due Date]]&lt;&gt;""),Main[[#This Row],[In Stock Date]]-Main[[#This Row],[Revised Due Date]],"")</f>
        <v>-44</v>
      </c>
      <c r="I21" s="72" t="s">
        <v>943</v>
      </c>
      <c r="J21" s="72" t="s">
        <v>28</v>
      </c>
      <c r="K21" s="72" t="s">
        <v>1930</v>
      </c>
      <c r="L21" s="74">
        <v>40772</v>
      </c>
      <c r="M21" s="77">
        <f>IF(Main[[#This Row],[Tech Start Date]]&lt;1/1/1990,"",IF(Main[[#This Row],[Class]]="C",WORKDAY(Main[[#This Row],[Tech Start Date]],9),IF(Main[[#This Row],[Class]]="B", WORKDAY(Main[[#This Row],[Tech Start Date]],6),IF(Main[[#This Row],[Class]]="A",WORKDAY(Main[[#This Row],[Tech Start Date]],2),""))))</f>
        <v>40785</v>
      </c>
      <c r="N21" s="77">
        <f>IF(Main[[#This Row],[Tech Start Date]]&lt;1/1/1990,"",IF(Main[[#This Row],[Class]]="C",WORKDAY(Main[[#This Row],[Tech Start Date]],19),IF(Main[[#This Row],[Class]]="B", WORKDAY(Main[[#This Row],[Tech Start Date]],12),IF(Main[[#This Row],[Class]]="A",WORKDAY(Main[[#This Row],[Tech Start Date]],4),""))))</f>
        <v>40799</v>
      </c>
      <c r="O21" s="77">
        <f>IF(Main[[#This Row],[Tech Start Date]]&lt;1/1/1990,"",IF(Main[[#This Row],[Class]]="C",WORKDAY(Main[[#This Row],[Tech Start Date]],23),IF(Main[[#This Row],[Class]]="B", WORKDAY(Main[[#This Row],[Tech Start Date]],15),IF(Main[[#This Row],[Class]]="A",WORKDAY(Main[[#This Row],[Tech Start Date]],5),""))))</f>
        <v>40805</v>
      </c>
      <c r="P21" s="77">
        <f>IF(Main[[#This Row],[Tech Start Date]]&lt;1/1/1990,"",IF(Main[[#This Row],[Class]]="C",WORKDAY(Main[[#This Row],[Tech Start Date]],28),IF(Main[[#This Row],[Class]]="B", WORKDAY(Main[[#This Row],[Tech Start Date]],19),IF(Main[[#This Row],[Class]]="A",WORKDAY(Main[[#This Row],[Tech Start Date]],9),""))))</f>
        <v>40812</v>
      </c>
      <c r="Q21" s="74">
        <v>40771</v>
      </c>
      <c r="R21" s="74">
        <v>40815</v>
      </c>
      <c r="S21" s="72" t="s">
        <v>11</v>
      </c>
      <c r="T21" s="80" t="s">
        <v>2149</v>
      </c>
      <c r="U21" s="72" t="s">
        <v>14</v>
      </c>
      <c r="V21" s="72" t="s">
        <v>1918</v>
      </c>
      <c r="W21" s="72" t="s">
        <v>1925</v>
      </c>
      <c r="X21" s="72" t="s">
        <v>2822</v>
      </c>
      <c r="Y21" s="72" t="s">
        <v>4</v>
      </c>
      <c r="Z21" s="72" t="s">
        <v>2056</v>
      </c>
      <c r="AA21" s="146" t="s">
        <v>2822</v>
      </c>
    </row>
    <row r="22" spans="1:34" ht="18.600000000000001" customHeight="1">
      <c r="A22" s="155">
        <f>IF(priority(Main[[#This Row],[Comments]])&lt;&gt;0, priority(Main[[#This Row],[Comments]]),"")</f>
        <v>5</v>
      </c>
      <c r="B22" s="156" t="s">
        <v>3261</v>
      </c>
      <c r="C22" s="157" t="s">
        <v>578</v>
      </c>
      <c r="D22" s="158" t="s">
        <v>3885</v>
      </c>
      <c r="E22" s="160">
        <v>40933.480763888889</v>
      </c>
      <c r="F22" s="160">
        <v>40969</v>
      </c>
      <c r="G22" s="162" t="str">
        <f>IF(stdProdLT(Main[[#This Row],[Comments]])=0.1,"N/A",IF(stdProdLT(Main[[#This Row],[Comments]])=0,"",stdProdLT(Main[[#This Row],[Comments]])))</f>
        <v>N/A</v>
      </c>
      <c r="H22" s="164">
        <f>IF(AND(Main[[#This Row],[In Stock Date]]&lt;&gt;"",Main[[#This Row],[Revised Due Date]]&lt;&gt;""),Main[[#This Row],[In Stock Date]]-Main[[#This Row],[Revised Due Date]],"")</f>
        <v>-4</v>
      </c>
      <c r="I22" s="157" t="s">
        <v>942</v>
      </c>
      <c r="J22" s="157" t="s">
        <v>28</v>
      </c>
      <c r="K22" s="157" t="s">
        <v>1930</v>
      </c>
      <c r="L22" s="160">
        <v>40938</v>
      </c>
      <c r="M22" s="167">
        <f>IF(Main[[#This Row],[Tech Start Date]]&lt;1/1/1990,"",IF(Main[[#This Row],[Class]]="C",WORKDAY(Main[[#This Row],[Tech Start Date]],9),IF(Main[[#This Row],[Class]]="B", WORKDAY(Main[[#This Row],[Tech Start Date]],6),IF(Main[[#This Row],[Class]]="A",WORKDAY(Main[[#This Row],[Tech Start Date]],2),""))))</f>
        <v>40949</v>
      </c>
      <c r="N22" s="167">
        <f>IF(Main[[#This Row],[Tech Start Date]]&lt;1/1/1990,"",IF(Main[[#This Row],[Class]]="C",WORKDAY(Main[[#This Row],[Tech Start Date]],19),IF(Main[[#This Row],[Class]]="B", WORKDAY(Main[[#This Row],[Tech Start Date]],12),IF(Main[[#This Row],[Class]]="A",WORKDAY(Main[[#This Row],[Tech Start Date]],4),""))))</f>
        <v>40963</v>
      </c>
      <c r="O22" s="167">
        <f>IF(Main[[#This Row],[Tech Start Date]]&lt;1/1/1990,"",IF(Main[[#This Row],[Class]]="C",WORKDAY(Main[[#This Row],[Tech Start Date]],23),IF(Main[[#This Row],[Class]]="B", WORKDAY(Main[[#This Row],[Tech Start Date]],15),IF(Main[[#This Row],[Class]]="A",WORKDAY(Main[[#This Row],[Tech Start Date]],5),""))))</f>
        <v>40969</v>
      </c>
      <c r="P22" s="167">
        <f>IF(Main[[#This Row],[Tech Start Date]]&lt;1/1/1990,"",IF(Main[[#This Row],[Class]]="C",WORKDAY(Main[[#This Row],[Tech Start Date]],28),IF(Main[[#This Row],[Class]]="B", WORKDAY(Main[[#This Row],[Tech Start Date]],19),IF(Main[[#This Row],[Class]]="A",WORKDAY(Main[[#This Row],[Tech Start Date]],9),""))))</f>
        <v>40976</v>
      </c>
      <c r="Q22" s="160">
        <v>40940</v>
      </c>
      <c r="R22" s="160">
        <v>40973</v>
      </c>
      <c r="S22" s="157" t="s">
        <v>11</v>
      </c>
      <c r="T22" s="171" t="s">
        <v>3886</v>
      </c>
      <c r="U22" s="157" t="s">
        <v>29</v>
      </c>
      <c r="V22" s="157" t="s">
        <v>1918</v>
      </c>
      <c r="W22" s="157" t="s">
        <v>1919</v>
      </c>
      <c r="X22" s="157" t="s">
        <v>2822</v>
      </c>
      <c r="Y22" s="157" t="s">
        <v>4</v>
      </c>
      <c r="Z22" s="157" t="s">
        <v>2056</v>
      </c>
      <c r="AA22" s="153" t="s">
        <v>2822</v>
      </c>
    </row>
    <row r="23" spans="1:34" ht="18.600000000000001" customHeight="1">
      <c r="A23" s="139">
        <f>IF(priority(Main[[#This Row],[Comments]])&lt;&gt;0, priority(Main[[#This Row],[Comments]]),"")</f>
        <v>6</v>
      </c>
      <c r="B23" s="89" t="s">
        <v>2403</v>
      </c>
      <c r="C23" s="72" t="s">
        <v>2404</v>
      </c>
      <c r="D23" s="73" t="s">
        <v>3853</v>
      </c>
      <c r="E23" s="74">
        <v>40864.56318287037</v>
      </c>
      <c r="F23" s="74"/>
      <c r="G23" s="75" t="str">
        <f>IF(stdProdLT(Main[[#This Row],[Comments]])=0.1,"N/A",IF(stdProdLT(Main[[#This Row],[Comments]])=0,"",stdProdLT(Main[[#This Row],[Comments]])))</f>
        <v>N/A</v>
      </c>
      <c r="H23" s="76" t="str">
        <f>IF(AND(Main[[#This Row],[In Stock Date]]&lt;&gt;"",Main[[#This Row],[Revised Due Date]]&lt;&gt;""),Main[[#This Row],[In Stock Date]]-Main[[#This Row],[Revised Due Date]],"")</f>
        <v/>
      </c>
      <c r="I23" s="72" t="s">
        <v>2254</v>
      </c>
      <c r="J23" s="72" t="s">
        <v>28</v>
      </c>
      <c r="K23" s="72" t="s">
        <v>1924</v>
      </c>
      <c r="L23" s="74">
        <v>40878</v>
      </c>
      <c r="M23" s="77">
        <f>IF(Main[[#This Row],[Tech Start Date]]&lt;1/1/1990,"",IF(Main[[#This Row],[Class]]="C",WORKDAY(Main[[#This Row],[Tech Start Date]],9),IF(Main[[#This Row],[Class]]="B", WORKDAY(Main[[#This Row],[Tech Start Date]],6),IF(Main[[#This Row],[Class]]="A",WORKDAY(Main[[#This Row],[Tech Start Date]],2),""))))</f>
        <v>40886</v>
      </c>
      <c r="N23" s="77">
        <f>IF(Main[[#This Row],[Tech Start Date]]&lt;1/1/1990,"",IF(Main[[#This Row],[Class]]="C",WORKDAY(Main[[#This Row],[Tech Start Date]],19),IF(Main[[#This Row],[Class]]="B", WORKDAY(Main[[#This Row],[Tech Start Date]],12),IF(Main[[#This Row],[Class]]="A",WORKDAY(Main[[#This Row],[Tech Start Date]],4),""))))</f>
        <v>40896</v>
      </c>
      <c r="O23" s="77">
        <f>IF(Main[[#This Row],[Tech Start Date]]&lt;1/1/1990,"",IF(Main[[#This Row],[Class]]="C",WORKDAY(Main[[#This Row],[Tech Start Date]],23),IF(Main[[#This Row],[Class]]="B", WORKDAY(Main[[#This Row],[Tech Start Date]],15),IF(Main[[#This Row],[Class]]="A",WORKDAY(Main[[#This Row],[Tech Start Date]],5),""))))</f>
        <v>40899</v>
      </c>
      <c r="P23" s="77">
        <f>IF(Main[[#This Row],[Tech Start Date]]&lt;1/1/1990,"",IF(Main[[#This Row],[Class]]="C",WORKDAY(Main[[#This Row],[Tech Start Date]],28),IF(Main[[#This Row],[Class]]="B", WORKDAY(Main[[#This Row],[Tech Start Date]],19),IF(Main[[#This Row],[Class]]="A",WORKDAY(Main[[#This Row],[Tech Start Date]],9),""))))</f>
        <v>40905</v>
      </c>
      <c r="Q23" s="74"/>
      <c r="R23" s="74">
        <v>40982</v>
      </c>
      <c r="S23" s="72" t="s">
        <v>11</v>
      </c>
      <c r="T23" s="80" t="s">
        <v>3854</v>
      </c>
      <c r="U23" s="72" t="s">
        <v>29</v>
      </c>
      <c r="V23" s="72" t="s">
        <v>1918</v>
      </c>
      <c r="W23" s="72" t="s">
        <v>1919</v>
      </c>
      <c r="X23" s="72" t="s">
        <v>2822</v>
      </c>
      <c r="Y23" s="72" t="s">
        <v>2999</v>
      </c>
      <c r="Z23" s="72" t="s">
        <v>2056</v>
      </c>
      <c r="AA23" s="146" t="s">
        <v>2822</v>
      </c>
    </row>
    <row r="24" spans="1:34" ht="18.600000000000001" customHeight="1">
      <c r="A24" s="155">
        <f>IF(priority(Main[[#This Row],[Comments]])&lt;&gt;0, priority(Main[[#This Row],[Comments]]),"")</f>
        <v>6</v>
      </c>
      <c r="B24" s="156" t="s">
        <v>3236</v>
      </c>
      <c r="C24" s="157" t="s">
        <v>3217</v>
      </c>
      <c r="D24" s="158" t="s">
        <v>3878</v>
      </c>
      <c r="E24" s="160">
        <v>40925.100439814814</v>
      </c>
      <c r="F24" s="160">
        <v>41153</v>
      </c>
      <c r="G24" s="162">
        <f>IF(stdProdLT(Main[[#This Row],[Comments]])=0.1,"N/A",IF(stdProdLT(Main[[#This Row],[Comments]])=0,"",stdProdLT(Main[[#This Row],[Comments]])))</f>
        <v>140</v>
      </c>
      <c r="H24" s="164">
        <f>IF(AND(Main[[#This Row],[In Stock Date]]&lt;&gt;"",Main[[#This Row],[Revised Due Date]]&lt;&gt;""),Main[[#This Row],[In Stock Date]]-Main[[#This Row],[Revised Due Date]],"")</f>
        <v>190</v>
      </c>
      <c r="I24" s="157" t="s">
        <v>972</v>
      </c>
      <c r="J24" s="157" t="s">
        <v>51</v>
      </c>
      <c r="K24" s="157" t="s">
        <v>1924</v>
      </c>
      <c r="L24" s="160">
        <v>40925</v>
      </c>
      <c r="M24" s="167">
        <f>IF(Main[[#This Row],[Tech Start Date]]&lt;1/1/1990,"",IF(Main[[#This Row],[Class]]="C",WORKDAY(Main[[#This Row],[Tech Start Date]],9),IF(Main[[#This Row],[Class]]="B", WORKDAY(Main[[#This Row],[Tech Start Date]],6),IF(Main[[#This Row],[Class]]="A",WORKDAY(Main[[#This Row],[Tech Start Date]],2),""))))</f>
        <v>40933</v>
      </c>
      <c r="N24" s="167">
        <f>IF(Main[[#This Row],[Tech Start Date]]&lt;1/1/1990,"",IF(Main[[#This Row],[Class]]="C",WORKDAY(Main[[#This Row],[Tech Start Date]],19),IF(Main[[#This Row],[Class]]="B", WORKDAY(Main[[#This Row],[Tech Start Date]],12),IF(Main[[#This Row],[Class]]="A",WORKDAY(Main[[#This Row],[Tech Start Date]],4),""))))</f>
        <v>40941</v>
      </c>
      <c r="O24" s="167">
        <f>IF(Main[[#This Row],[Tech Start Date]]&lt;1/1/1990,"",IF(Main[[#This Row],[Class]]="C",WORKDAY(Main[[#This Row],[Tech Start Date]],23),IF(Main[[#This Row],[Class]]="B", WORKDAY(Main[[#This Row],[Tech Start Date]],15),IF(Main[[#This Row],[Class]]="A",WORKDAY(Main[[#This Row],[Tech Start Date]],5),""))))</f>
        <v>40946</v>
      </c>
      <c r="P24" s="167">
        <f>IF(Main[[#This Row],[Tech Start Date]]&lt;1/1/1990,"",IF(Main[[#This Row],[Class]]="C",WORKDAY(Main[[#This Row],[Tech Start Date]],28),IF(Main[[#This Row],[Class]]="B", WORKDAY(Main[[#This Row],[Tech Start Date]],19),IF(Main[[#This Row],[Class]]="A",WORKDAY(Main[[#This Row],[Tech Start Date]],9),""))))</f>
        <v>40952</v>
      </c>
      <c r="Q24" s="160">
        <v>41011</v>
      </c>
      <c r="R24" s="160">
        <v>40963</v>
      </c>
      <c r="S24" s="157" t="s">
        <v>11</v>
      </c>
      <c r="T24" s="171" t="s">
        <v>3879</v>
      </c>
      <c r="U24" s="157" t="s">
        <v>29</v>
      </c>
      <c r="V24" s="157" t="s">
        <v>1927</v>
      </c>
      <c r="W24" s="157" t="s">
        <v>1923</v>
      </c>
      <c r="X24" s="157" t="s">
        <v>2854</v>
      </c>
      <c r="Y24" s="157" t="s">
        <v>2985</v>
      </c>
      <c r="Z24" s="157" t="s">
        <v>530</v>
      </c>
      <c r="AA24" s="153" t="s">
        <v>2854</v>
      </c>
    </row>
    <row r="25" spans="1:34" ht="18.600000000000001" customHeight="1">
      <c r="A25" s="139">
        <f>IF(priority(Main[[#This Row],[Comments]])&lt;&gt;0, priority(Main[[#This Row],[Comments]]),"")</f>
        <v>7</v>
      </c>
      <c r="B25" s="89" t="s">
        <v>3178</v>
      </c>
      <c r="C25" s="72" t="s">
        <v>3181</v>
      </c>
      <c r="D25" s="73" t="s">
        <v>3865</v>
      </c>
      <c r="E25" s="74">
        <v>40919.073576388888</v>
      </c>
      <c r="F25" s="74">
        <v>41153</v>
      </c>
      <c r="G25" s="75">
        <f>IF(stdProdLT(Main[[#This Row],[Comments]])=0.1,"N/A",IF(stdProdLT(Main[[#This Row],[Comments]])=0,"",stdProdLT(Main[[#This Row],[Comments]])))</f>
        <v>126</v>
      </c>
      <c r="H25" s="76">
        <f>IF(AND(Main[[#This Row],[In Stock Date]]&lt;&gt;"",Main[[#This Row],[Revised Due Date]]&lt;&gt;""),Main[[#This Row],[In Stock Date]]-Main[[#This Row],[Revised Due Date]],"")</f>
        <v>180</v>
      </c>
      <c r="I25" s="72" t="s">
        <v>914</v>
      </c>
      <c r="J25" s="72" t="s">
        <v>52</v>
      </c>
      <c r="K25" s="72" t="s">
        <v>1924</v>
      </c>
      <c r="L25" s="74">
        <v>40920</v>
      </c>
      <c r="M25" s="77">
        <f>IF(Main[[#This Row],[Tech Start Date]]&lt;1/1/1990,"",IF(Main[[#This Row],[Class]]="C",WORKDAY(Main[[#This Row],[Tech Start Date]],9),IF(Main[[#This Row],[Class]]="B", WORKDAY(Main[[#This Row],[Tech Start Date]],6),IF(Main[[#This Row],[Class]]="A",WORKDAY(Main[[#This Row],[Tech Start Date]],2),""))))</f>
        <v>40928</v>
      </c>
      <c r="N25" s="77">
        <f>IF(Main[[#This Row],[Tech Start Date]]&lt;1/1/1990,"",IF(Main[[#This Row],[Class]]="C",WORKDAY(Main[[#This Row],[Tech Start Date]],19),IF(Main[[#This Row],[Class]]="B", WORKDAY(Main[[#This Row],[Tech Start Date]],12),IF(Main[[#This Row],[Class]]="A",WORKDAY(Main[[#This Row],[Tech Start Date]],4),""))))</f>
        <v>40938</v>
      </c>
      <c r="O25" s="77">
        <f>IF(Main[[#This Row],[Tech Start Date]]&lt;1/1/1990,"",IF(Main[[#This Row],[Class]]="C",WORKDAY(Main[[#This Row],[Tech Start Date]],23),IF(Main[[#This Row],[Class]]="B", WORKDAY(Main[[#This Row],[Tech Start Date]],15),IF(Main[[#This Row],[Class]]="A",WORKDAY(Main[[#This Row],[Tech Start Date]],5),""))))</f>
        <v>40941</v>
      </c>
      <c r="P25" s="77">
        <f>IF(Main[[#This Row],[Tech Start Date]]&lt;1/1/1990,"",IF(Main[[#This Row],[Class]]="C",WORKDAY(Main[[#This Row],[Tech Start Date]],28),IF(Main[[#This Row],[Class]]="B", WORKDAY(Main[[#This Row],[Tech Start Date]],19),IF(Main[[#This Row],[Class]]="A",WORKDAY(Main[[#This Row],[Tech Start Date]],9),""))))</f>
        <v>40947</v>
      </c>
      <c r="Q25" s="74">
        <v>40926</v>
      </c>
      <c r="R25" s="74">
        <v>40973</v>
      </c>
      <c r="S25" s="72" t="s">
        <v>11</v>
      </c>
      <c r="T25" s="80" t="s">
        <v>3866</v>
      </c>
      <c r="U25" s="72" t="s">
        <v>29</v>
      </c>
      <c r="V25" s="72" t="s">
        <v>1917</v>
      </c>
      <c r="W25" s="72" t="s">
        <v>1928</v>
      </c>
      <c r="X25" s="72" t="s">
        <v>2852</v>
      </c>
      <c r="Y25" s="72" t="s">
        <v>4</v>
      </c>
      <c r="Z25" s="72" t="s">
        <v>129</v>
      </c>
      <c r="AA25" s="146" t="s">
        <v>2852</v>
      </c>
    </row>
    <row r="26" spans="1:34" ht="18.600000000000001" customHeight="1">
      <c r="A26" s="139">
        <f>IF(priority(Main[[#This Row],[Comments]])&lt;&gt;0, priority(Main[[#This Row],[Comments]]),"")</f>
        <v>7</v>
      </c>
      <c r="B26" s="89" t="s">
        <v>3672</v>
      </c>
      <c r="C26" s="72" t="s">
        <v>3658</v>
      </c>
      <c r="D26" s="73" t="s">
        <v>3673</v>
      </c>
      <c r="E26" s="74">
        <v>40960.491516203707</v>
      </c>
      <c r="F26" s="74">
        <v>40963</v>
      </c>
      <c r="G26" s="75" t="str">
        <f>IF(stdProdLT(Main[[#This Row],[Comments]])=0.1,"N/A",IF(stdProdLT(Main[[#This Row],[Comments]])=0,"",stdProdLT(Main[[#This Row],[Comments]])))</f>
        <v>N/A</v>
      </c>
      <c r="H26" s="76">
        <f>IF(AND(Main[[#This Row],[In Stock Date]]&lt;&gt;"",Main[[#This Row],[Revised Due Date]]&lt;&gt;""),Main[[#This Row],[In Stock Date]]-Main[[#This Row],[Revised Due Date]],"")</f>
        <v>0</v>
      </c>
      <c r="I26" s="72" t="s">
        <v>972</v>
      </c>
      <c r="J26" s="72" t="s">
        <v>51</v>
      </c>
      <c r="K26" s="72" t="s">
        <v>1926</v>
      </c>
      <c r="L26" s="74"/>
      <c r="M26" s="77" t="str">
        <f>IF(Main[[#This Row],[Tech Start Date]]&lt;1/1/1990,"",IF(Main[[#This Row],[Class]]="C",WORKDAY(Main[[#This Row],[Tech Start Date]],9),IF(Main[[#This Row],[Class]]="B", WORKDAY(Main[[#This Row],[Tech Start Date]],6),IF(Main[[#This Row],[Class]]="A",WORKDAY(Main[[#This Row],[Tech Start Date]],2),""))))</f>
        <v/>
      </c>
      <c r="N26" s="77" t="str">
        <f>IF(Main[[#This Row],[Tech Start Date]]&lt;1/1/1990,"",IF(Main[[#This Row],[Class]]="C",WORKDAY(Main[[#This Row],[Tech Start Date]],19),IF(Main[[#This Row],[Class]]="B", WORKDAY(Main[[#This Row],[Tech Start Date]],12),IF(Main[[#This Row],[Class]]="A",WORKDAY(Main[[#This Row],[Tech Start Date]],4),""))))</f>
        <v/>
      </c>
      <c r="O26" s="77" t="str">
        <f>IF(Main[[#This Row],[Tech Start Date]]&lt;1/1/1990,"",IF(Main[[#This Row],[Class]]="C",WORKDAY(Main[[#This Row],[Tech Start Date]],23),IF(Main[[#This Row],[Class]]="B", WORKDAY(Main[[#This Row],[Tech Start Date]],15),IF(Main[[#This Row],[Class]]="A",WORKDAY(Main[[#This Row],[Tech Start Date]],5),""))))</f>
        <v/>
      </c>
      <c r="P26" s="77" t="str">
        <f>IF(Main[[#This Row],[Tech Start Date]]&lt;1/1/1990,"",IF(Main[[#This Row],[Class]]="C",WORKDAY(Main[[#This Row],[Tech Start Date]],28),IF(Main[[#This Row],[Class]]="B", WORKDAY(Main[[#This Row],[Tech Start Date]],19),IF(Main[[#This Row],[Class]]="A",WORKDAY(Main[[#This Row],[Tech Start Date]],9),""))))</f>
        <v/>
      </c>
      <c r="Q26" s="74">
        <v>40963</v>
      </c>
      <c r="R26" s="74">
        <v>40963</v>
      </c>
      <c r="S26" s="72" t="s">
        <v>11</v>
      </c>
      <c r="T26" s="80" t="s">
        <v>3674</v>
      </c>
      <c r="U26" s="72" t="s">
        <v>29</v>
      </c>
      <c r="V26" s="72" t="s">
        <v>1927</v>
      </c>
      <c r="W26" s="72" t="s">
        <v>1923</v>
      </c>
      <c r="X26" s="72" t="s">
        <v>399</v>
      </c>
      <c r="Y26" s="72" t="s">
        <v>3661</v>
      </c>
      <c r="Z26" s="72" t="s">
        <v>306</v>
      </c>
      <c r="AA26" s="146" t="s">
        <v>3660</v>
      </c>
    </row>
    <row r="27" spans="1:34" ht="18.600000000000001" customHeight="1">
      <c r="A27" s="155">
        <f>IF(priority(Main[[#This Row],[Comments]])&lt;&gt;0, priority(Main[[#This Row],[Comments]]),"")</f>
        <v>7</v>
      </c>
      <c r="B27" s="156" t="s">
        <v>3501</v>
      </c>
      <c r="C27" s="157" t="s">
        <v>3502</v>
      </c>
      <c r="D27" s="158" t="s">
        <v>3889</v>
      </c>
      <c r="E27" s="160">
        <v>40941.352685185186</v>
      </c>
      <c r="F27" s="160">
        <v>40962</v>
      </c>
      <c r="G27" s="162" t="str">
        <f>IF(stdProdLT(Main[[#This Row],[Comments]])=0.1,"N/A",IF(stdProdLT(Main[[#This Row],[Comments]])=0,"",stdProdLT(Main[[#This Row],[Comments]])))</f>
        <v>N/A</v>
      </c>
      <c r="H27" s="164">
        <f>IF(AND(Main[[#This Row],[In Stock Date]]&lt;&gt;"",Main[[#This Row],[Revised Due Date]]&lt;&gt;""),Main[[#This Row],[In Stock Date]]-Main[[#This Row],[Revised Due Date]],"")</f>
        <v>-13</v>
      </c>
      <c r="I27" s="157" t="s">
        <v>2254</v>
      </c>
      <c r="J27" s="157" t="s">
        <v>28</v>
      </c>
      <c r="K27" s="157" t="s">
        <v>1930</v>
      </c>
      <c r="L27" s="160">
        <v>40942</v>
      </c>
      <c r="M27" s="167">
        <f>IF(Main[[#This Row],[Tech Start Date]]&lt;1/1/1990,"",IF(Main[[#This Row],[Class]]="C",WORKDAY(Main[[#This Row],[Tech Start Date]],9),IF(Main[[#This Row],[Class]]="B", WORKDAY(Main[[#This Row],[Tech Start Date]],6),IF(Main[[#This Row],[Class]]="A",WORKDAY(Main[[#This Row],[Tech Start Date]],2),""))))</f>
        <v>40955</v>
      </c>
      <c r="N27" s="167">
        <f>IF(Main[[#This Row],[Tech Start Date]]&lt;1/1/1990,"",IF(Main[[#This Row],[Class]]="C",WORKDAY(Main[[#This Row],[Tech Start Date]],19),IF(Main[[#This Row],[Class]]="B", WORKDAY(Main[[#This Row],[Tech Start Date]],12),IF(Main[[#This Row],[Class]]="A",WORKDAY(Main[[#This Row],[Tech Start Date]],4),""))))</f>
        <v>40969</v>
      </c>
      <c r="O27" s="167">
        <f>IF(Main[[#This Row],[Tech Start Date]]&lt;1/1/1990,"",IF(Main[[#This Row],[Class]]="C",WORKDAY(Main[[#This Row],[Tech Start Date]],23),IF(Main[[#This Row],[Class]]="B", WORKDAY(Main[[#This Row],[Tech Start Date]],15),IF(Main[[#This Row],[Class]]="A",WORKDAY(Main[[#This Row],[Tech Start Date]],5),""))))</f>
        <v>40975</v>
      </c>
      <c r="P27" s="167">
        <f>IF(Main[[#This Row],[Tech Start Date]]&lt;1/1/1990,"",IF(Main[[#This Row],[Class]]="C",WORKDAY(Main[[#This Row],[Tech Start Date]],28),IF(Main[[#This Row],[Class]]="B", WORKDAY(Main[[#This Row],[Tech Start Date]],19),IF(Main[[#This Row],[Class]]="A",WORKDAY(Main[[#This Row],[Tech Start Date]],9),""))))</f>
        <v>40982</v>
      </c>
      <c r="Q27" s="160">
        <v>40948</v>
      </c>
      <c r="R27" s="160">
        <v>40975</v>
      </c>
      <c r="S27" s="157" t="s">
        <v>11</v>
      </c>
      <c r="T27" s="171" t="s">
        <v>3890</v>
      </c>
      <c r="U27" s="157" t="s">
        <v>29</v>
      </c>
      <c r="V27" s="157" t="s">
        <v>1918</v>
      </c>
      <c r="W27" s="157" t="s">
        <v>1919</v>
      </c>
      <c r="X27" s="157" t="s">
        <v>2822</v>
      </c>
      <c r="Y27" s="157" t="s">
        <v>4</v>
      </c>
      <c r="Z27" s="157" t="s">
        <v>2056</v>
      </c>
      <c r="AA27" s="153" t="s">
        <v>2822</v>
      </c>
    </row>
    <row r="28" spans="1:34" ht="18.600000000000001" customHeight="1">
      <c r="A28" s="139">
        <f>IF(priority(Main[[#This Row],[Comments]])&lt;&gt;0, priority(Main[[#This Row],[Comments]]),"")</f>
        <v>8</v>
      </c>
      <c r="B28" s="89" t="s">
        <v>3762</v>
      </c>
      <c r="C28" s="72" t="s">
        <v>95</v>
      </c>
      <c r="D28" s="73" t="s">
        <v>3763</v>
      </c>
      <c r="E28" s="74">
        <v>40959.551469907405</v>
      </c>
      <c r="F28" s="74">
        <v>40967</v>
      </c>
      <c r="G28" s="75" t="str">
        <f>IF(stdProdLT(Main[[#This Row],[Comments]])=0.1,"N/A",IF(stdProdLT(Main[[#This Row],[Comments]])=0,"",stdProdLT(Main[[#This Row],[Comments]])))</f>
        <v>N/A</v>
      </c>
      <c r="H28" s="76">
        <f>IF(AND(Main[[#This Row],[In Stock Date]]&lt;&gt;"",Main[[#This Row],[Revised Due Date]]&lt;&gt;""),Main[[#This Row],[In Stock Date]]-Main[[#This Row],[Revised Due Date]],"")</f>
        <v>0</v>
      </c>
      <c r="I28" s="72" t="s">
        <v>126</v>
      </c>
      <c r="J28" s="72" t="s">
        <v>21</v>
      </c>
      <c r="K28" s="72" t="s">
        <v>1926</v>
      </c>
      <c r="L28" s="74"/>
      <c r="M28" s="77" t="str">
        <f>IF(Main[[#This Row],[Tech Start Date]]&lt;1/1/1990,"",IF(Main[[#This Row],[Class]]="C",WORKDAY(Main[[#This Row],[Tech Start Date]],9),IF(Main[[#This Row],[Class]]="B", WORKDAY(Main[[#This Row],[Tech Start Date]],6),IF(Main[[#This Row],[Class]]="A",WORKDAY(Main[[#This Row],[Tech Start Date]],2),""))))</f>
        <v/>
      </c>
      <c r="N28" s="77" t="str">
        <f>IF(Main[[#This Row],[Tech Start Date]]&lt;1/1/1990,"",IF(Main[[#This Row],[Class]]="C",WORKDAY(Main[[#This Row],[Tech Start Date]],19),IF(Main[[#This Row],[Class]]="B", WORKDAY(Main[[#This Row],[Tech Start Date]],12),IF(Main[[#This Row],[Class]]="A",WORKDAY(Main[[#This Row],[Tech Start Date]],4),""))))</f>
        <v/>
      </c>
      <c r="O28" s="77" t="str">
        <f>IF(Main[[#This Row],[Tech Start Date]]&lt;1/1/1990,"",IF(Main[[#This Row],[Class]]="C",WORKDAY(Main[[#This Row],[Tech Start Date]],23),IF(Main[[#This Row],[Class]]="B", WORKDAY(Main[[#This Row],[Tech Start Date]],15),IF(Main[[#This Row],[Class]]="A",WORKDAY(Main[[#This Row],[Tech Start Date]],5),""))))</f>
        <v/>
      </c>
      <c r="P28" s="77" t="str">
        <f>IF(Main[[#This Row],[Tech Start Date]]&lt;1/1/1990,"",IF(Main[[#This Row],[Class]]="C",WORKDAY(Main[[#This Row],[Tech Start Date]],28),IF(Main[[#This Row],[Class]]="B", WORKDAY(Main[[#This Row],[Tech Start Date]],19),IF(Main[[#This Row],[Class]]="A",WORKDAY(Main[[#This Row],[Tech Start Date]],9),""))))</f>
        <v/>
      </c>
      <c r="Q28" s="74">
        <v>40976</v>
      </c>
      <c r="R28" s="74">
        <v>40967</v>
      </c>
      <c r="S28" s="72" t="s">
        <v>11</v>
      </c>
      <c r="T28" s="80" t="s">
        <v>3710</v>
      </c>
      <c r="U28" s="72" t="s">
        <v>29</v>
      </c>
      <c r="V28" s="72" t="s">
        <v>1917</v>
      </c>
      <c r="W28" s="72" t="s">
        <v>1919</v>
      </c>
      <c r="X28" s="72" t="s">
        <v>2858</v>
      </c>
      <c r="Y28" s="72" t="s">
        <v>2996</v>
      </c>
      <c r="Z28" s="72" t="s">
        <v>129</v>
      </c>
      <c r="AA28" s="146" t="s">
        <v>2858</v>
      </c>
    </row>
    <row r="29" spans="1:34" ht="18.600000000000001" customHeight="1">
      <c r="A29" s="139">
        <f>IF(priority(Main[[#This Row],[Comments]])&lt;&gt;0, priority(Main[[#This Row],[Comments]]),"")</f>
        <v>8</v>
      </c>
      <c r="B29" s="89" t="s">
        <v>3708</v>
      </c>
      <c r="C29" s="72" t="s">
        <v>3658</v>
      </c>
      <c r="D29" s="73" t="s">
        <v>3709</v>
      </c>
      <c r="E29" s="74">
        <v>40960.481192129628</v>
      </c>
      <c r="F29" s="74">
        <v>40963</v>
      </c>
      <c r="G29" s="75" t="str">
        <f>IF(stdProdLT(Main[[#This Row],[Comments]])=0.1,"N/A",IF(stdProdLT(Main[[#This Row],[Comments]])=0,"",stdProdLT(Main[[#This Row],[Comments]])))</f>
        <v>N/A</v>
      </c>
      <c r="H29" s="76">
        <f>IF(AND(Main[[#This Row],[In Stock Date]]&lt;&gt;"",Main[[#This Row],[Revised Due Date]]&lt;&gt;""),Main[[#This Row],[In Stock Date]]-Main[[#This Row],[Revised Due Date]],"")</f>
        <v>0</v>
      </c>
      <c r="I29" s="72" t="s">
        <v>972</v>
      </c>
      <c r="J29" s="72" t="s">
        <v>51</v>
      </c>
      <c r="K29" s="81" t="s">
        <v>1926</v>
      </c>
      <c r="L29" s="74"/>
      <c r="M29" s="77" t="str">
        <f>IF(Main[[#This Row],[Tech Start Date]]&lt;1/1/1990,"",IF(Main[[#This Row],[Class]]="C",WORKDAY(Main[[#This Row],[Tech Start Date]],9),IF(Main[[#This Row],[Class]]="B", WORKDAY(Main[[#This Row],[Tech Start Date]],6),IF(Main[[#This Row],[Class]]="A",WORKDAY(Main[[#This Row],[Tech Start Date]],2),""))))</f>
        <v/>
      </c>
      <c r="N29" s="77" t="str">
        <f>IF(Main[[#This Row],[Tech Start Date]]&lt;1/1/1990,"",IF(Main[[#This Row],[Class]]="C",WORKDAY(Main[[#This Row],[Tech Start Date]],19),IF(Main[[#This Row],[Class]]="B", WORKDAY(Main[[#This Row],[Tech Start Date]],12),IF(Main[[#This Row],[Class]]="A",WORKDAY(Main[[#This Row],[Tech Start Date]],4),""))))</f>
        <v/>
      </c>
      <c r="O29" s="77" t="str">
        <f>IF(Main[[#This Row],[Tech Start Date]]&lt;1/1/1990,"",IF(Main[[#This Row],[Class]]="C",WORKDAY(Main[[#This Row],[Tech Start Date]],23),IF(Main[[#This Row],[Class]]="B", WORKDAY(Main[[#This Row],[Tech Start Date]],15),IF(Main[[#This Row],[Class]]="A",WORKDAY(Main[[#This Row],[Tech Start Date]],5),""))))</f>
        <v/>
      </c>
      <c r="P29" s="77" t="str">
        <f>IF(Main[[#This Row],[Tech Start Date]]&lt;1/1/1990,"",IF(Main[[#This Row],[Class]]="C",WORKDAY(Main[[#This Row],[Tech Start Date]],28),IF(Main[[#This Row],[Class]]="B", WORKDAY(Main[[#This Row],[Tech Start Date]],19),IF(Main[[#This Row],[Class]]="A",WORKDAY(Main[[#This Row],[Tech Start Date]],9),""))))</f>
        <v/>
      </c>
      <c r="Q29" s="74">
        <v>40963</v>
      </c>
      <c r="R29" s="74">
        <v>40963</v>
      </c>
      <c r="S29" s="72" t="s">
        <v>11</v>
      </c>
      <c r="T29" s="80" t="s">
        <v>3710</v>
      </c>
      <c r="U29" s="72" t="s">
        <v>29</v>
      </c>
      <c r="V29" s="72" t="s">
        <v>1927</v>
      </c>
      <c r="W29" s="72" t="s">
        <v>1923</v>
      </c>
      <c r="X29" s="72" t="s">
        <v>399</v>
      </c>
      <c r="Y29" s="72" t="s">
        <v>3661</v>
      </c>
      <c r="Z29" s="72" t="s">
        <v>306</v>
      </c>
      <c r="AA29" s="146" t="s">
        <v>3660</v>
      </c>
    </row>
    <row r="30" spans="1:34" ht="18.600000000000001" customHeight="1">
      <c r="A30" s="139">
        <f>IF(priority(Main[[#This Row],[Comments]])&lt;&gt;0, priority(Main[[#This Row],[Comments]]),"")</f>
        <v>8</v>
      </c>
      <c r="B30" s="89" t="s">
        <v>3243</v>
      </c>
      <c r="C30" s="72" t="s">
        <v>33</v>
      </c>
      <c r="D30" s="73" t="s">
        <v>3376</v>
      </c>
      <c r="E30" s="74"/>
      <c r="F30" s="74">
        <v>41047</v>
      </c>
      <c r="G30" s="75">
        <f>IF(stdProdLT(Main[[#This Row],[Comments]])=0.1,"N/A",IF(stdProdLT(Main[[#This Row],[Comments]])=0,"",stdProdLT(Main[[#This Row],[Comments]])))</f>
        <v>126</v>
      </c>
      <c r="H30" s="76" t="str">
        <f>IF(AND(Main[[#This Row],[In Stock Date]]&lt;&gt;"",Main[[#This Row],[Revised Due Date]]&lt;&gt;""),Main[[#This Row],[In Stock Date]]-Main[[#This Row],[Revised Due Date]],"")</f>
        <v/>
      </c>
      <c r="I30" s="72" t="s">
        <v>4</v>
      </c>
      <c r="J30" s="72" t="s">
        <v>4</v>
      </c>
      <c r="K30" s="72" t="s">
        <v>4</v>
      </c>
      <c r="L30" s="74"/>
      <c r="M30" s="77" t="str">
        <f>IF(Main[[#This Row],[Tech Start Date]]&lt;1/1/1990,"",IF(Main[[#This Row],[Class]]="C",WORKDAY(Main[[#This Row],[Tech Start Date]],9),IF(Main[[#This Row],[Class]]="B", WORKDAY(Main[[#This Row],[Tech Start Date]],6),IF(Main[[#This Row],[Class]]="A",WORKDAY(Main[[#This Row],[Tech Start Date]],2),""))))</f>
        <v/>
      </c>
      <c r="N30" s="77" t="str">
        <f>IF(Main[[#This Row],[Tech Start Date]]&lt;1/1/1990,"",IF(Main[[#This Row],[Class]]="C",WORKDAY(Main[[#This Row],[Tech Start Date]],19),IF(Main[[#This Row],[Class]]="B", WORKDAY(Main[[#This Row],[Tech Start Date]],12),IF(Main[[#This Row],[Class]]="A",WORKDAY(Main[[#This Row],[Tech Start Date]],4),""))))</f>
        <v/>
      </c>
      <c r="O30" s="77" t="str">
        <f>IF(Main[[#This Row],[Tech Start Date]]&lt;1/1/1990,"",IF(Main[[#This Row],[Class]]="C",WORKDAY(Main[[#This Row],[Tech Start Date]],23),IF(Main[[#This Row],[Class]]="B", WORKDAY(Main[[#This Row],[Tech Start Date]],15),IF(Main[[#This Row],[Class]]="A",WORKDAY(Main[[#This Row],[Tech Start Date]],5),""))))</f>
        <v/>
      </c>
      <c r="P30" s="77" t="str">
        <f>IF(Main[[#This Row],[Tech Start Date]]&lt;1/1/1990,"",IF(Main[[#This Row],[Class]]="C",WORKDAY(Main[[#This Row],[Tech Start Date]],28),IF(Main[[#This Row],[Class]]="B", WORKDAY(Main[[#This Row],[Tech Start Date]],19),IF(Main[[#This Row],[Class]]="A",WORKDAY(Main[[#This Row],[Tech Start Date]],9),""))))</f>
        <v/>
      </c>
      <c r="Q30" s="74"/>
      <c r="R30" s="74"/>
      <c r="S30" s="72" t="s">
        <v>11</v>
      </c>
      <c r="T30" s="80" t="s">
        <v>3518</v>
      </c>
      <c r="U30" s="72" t="s">
        <v>14</v>
      </c>
      <c r="V30" s="72" t="s">
        <v>1918</v>
      </c>
      <c r="W30" s="72" t="s">
        <v>1922</v>
      </c>
      <c r="X30" s="72" t="s">
        <v>2881</v>
      </c>
      <c r="Y30" s="72" t="s">
        <v>3027</v>
      </c>
      <c r="Z30" s="72" t="s">
        <v>4</v>
      </c>
      <c r="AA30" s="146" t="s">
        <v>2881</v>
      </c>
    </row>
    <row r="31" spans="1:34" ht="18.600000000000001" customHeight="1">
      <c r="A31" s="155">
        <f>IF(priority(Main[[#This Row],[Comments]])&lt;&gt;0, priority(Main[[#This Row],[Comments]]),"")</f>
        <v>8</v>
      </c>
      <c r="B31" s="156" t="s">
        <v>3326</v>
      </c>
      <c r="C31" s="157" t="s">
        <v>72</v>
      </c>
      <c r="D31" s="158" t="s">
        <v>3882</v>
      </c>
      <c r="E31" s="160">
        <v>40931.826180555552</v>
      </c>
      <c r="F31" s="160">
        <v>41090</v>
      </c>
      <c r="G31" s="162">
        <f>IF(stdProdLT(Main[[#This Row],[Comments]])=0.1,"N/A",IF(stdProdLT(Main[[#This Row],[Comments]])=0,"",stdProdLT(Main[[#This Row],[Comments]])))</f>
        <v>126</v>
      </c>
      <c r="H31" s="164">
        <f>IF(AND(Main[[#This Row],[In Stock Date]]&lt;&gt;"",Main[[#This Row],[Revised Due Date]]&lt;&gt;""),Main[[#This Row],[In Stock Date]]-Main[[#This Row],[Revised Due Date]],"")</f>
        <v>115</v>
      </c>
      <c r="I31" s="157" t="s">
        <v>2630</v>
      </c>
      <c r="J31" s="157" t="s">
        <v>28</v>
      </c>
      <c r="K31" s="157" t="s">
        <v>1930</v>
      </c>
      <c r="L31" s="160">
        <v>40932</v>
      </c>
      <c r="M31" s="167">
        <f>IF(Main[[#This Row],[Tech Start Date]]&lt;1/1/1990,"",IF(Main[[#This Row],[Class]]="C",WORKDAY(Main[[#This Row],[Tech Start Date]],9),IF(Main[[#This Row],[Class]]="B", WORKDAY(Main[[#This Row],[Tech Start Date]],6),IF(Main[[#This Row],[Class]]="A",WORKDAY(Main[[#This Row],[Tech Start Date]],2),""))))</f>
        <v>40945</v>
      </c>
      <c r="N31" s="167">
        <f>IF(Main[[#This Row],[Tech Start Date]]&lt;1/1/1990,"",IF(Main[[#This Row],[Class]]="C",WORKDAY(Main[[#This Row],[Tech Start Date]],19),IF(Main[[#This Row],[Class]]="B", WORKDAY(Main[[#This Row],[Tech Start Date]],12),IF(Main[[#This Row],[Class]]="A",WORKDAY(Main[[#This Row],[Tech Start Date]],4),""))))</f>
        <v>40959</v>
      </c>
      <c r="O31" s="167">
        <f>IF(Main[[#This Row],[Tech Start Date]]&lt;1/1/1990,"",IF(Main[[#This Row],[Class]]="C",WORKDAY(Main[[#This Row],[Tech Start Date]],23),IF(Main[[#This Row],[Class]]="B", WORKDAY(Main[[#This Row],[Tech Start Date]],15),IF(Main[[#This Row],[Class]]="A",WORKDAY(Main[[#This Row],[Tech Start Date]],5),""))))</f>
        <v>40963</v>
      </c>
      <c r="P31" s="167">
        <f>IF(Main[[#This Row],[Tech Start Date]]&lt;1/1/1990,"",IF(Main[[#This Row],[Class]]="C",WORKDAY(Main[[#This Row],[Tech Start Date]],28),IF(Main[[#This Row],[Class]]="B", WORKDAY(Main[[#This Row],[Tech Start Date]],19),IF(Main[[#This Row],[Class]]="A",WORKDAY(Main[[#This Row],[Tech Start Date]],9),""))))</f>
        <v>40970</v>
      </c>
      <c r="Q31" s="160">
        <v>40950</v>
      </c>
      <c r="R31" s="160">
        <v>40975</v>
      </c>
      <c r="S31" s="157" t="s">
        <v>11</v>
      </c>
      <c r="T31" s="171" t="s">
        <v>3883</v>
      </c>
      <c r="U31" s="157" t="s">
        <v>29</v>
      </c>
      <c r="V31" s="157" t="s">
        <v>1918</v>
      </c>
      <c r="W31" s="157" t="s">
        <v>1925</v>
      </c>
      <c r="X31" s="157" t="s">
        <v>2853</v>
      </c>
      <c r="Y31" s="157" t="s">
        <v>4</v>
      </c>
      <c r="Z31" s="157" t="s">
        <v>2056</v>
      </c>
      <c r="AA31" s="153" t="s">
        <v>2853</v>
      </c>
    </row>
    <row r="32" spans="1:34" ht="18.600000000000001" customHeight="1">
      <c r="A32" s="139">
        <f>IF(priority(Main[[#This Row],[Comments]])&lt;&gt;0, priority(Main[[#This Row],[Comments]]),"")</f>
        <v>9</v>
      </c>
      <c r="B32" s="89" t="s">
        <v>2103</v>
      </c>
      <c r="C32" s="72" t="s">
        <v>53</v>
      </c>
      <c r="D32" s="73" t="s">
        <v>2104</v>
      </c>
      <c r="E32" s="74"/>
      <c r="F32" s="74">
        <v>40789</v>
      </c>
      <c r="G32" s="75">
        <f>IF(stdProdLT(Main[[#This Row],[Comments]])=0.1,"N/A",IF(stdProdLT(Main[[#This Row],[Comments]])=0,"",stdProdLT(Main[[#This Row],[Comments]])))</f>
        <v>42</v>
      </c>
      <c r="H32" s="76">
        <f>IF(AND(Main[[#This Row],[In Stock Date]]&lt;&gt;"",Main[[#This Row],[Revised Due Date]]&lt;&gt;""),Main[[#This Row],[In Stock Date]]-Main[[#This Row],[Revised Due Date]],"")</f>
        <v>1</v>
      </c>
      <c r="I32" s="72" t="s">
        <v>943</v>
      </c>
      <c r="J32" s="72" t="s">
        <v>28</v>
      </c>
      <c r="K32" s="72" t="s">
        <v>4</v>
      </c>
      <c r="L32" s="74"/>
      <c r="M32" s="77" t="str">
        <f>IF(Main[[#This Row],[Tech Start Date]]&lt;1/1/1990,"",IF(Main[[#This Row],[Class]]="C",WORKDAY(Main[[#This Row],[Tech Start Date]],9),IF(Main[[#This Row],[Class]]="B", WORKDAY(Main[[#This Row],[Tech Start Date]],6),IF(Main[[#This Row],[Class]]="A",WORKDAY(Main[[#This Row],[Tech Start Date]],2),""))))</f>
        <v/>
      </c>
      <c r="N32" s="77" t="str">
        <f>IF(Main[[#This Row],[Tech Start Date]]&lt;1/1/1990,"",IF(Main[[#This Row],[Class]]="C",WORKDAY(Main[[#This Row],[Tech Start Date]],19),IF(Main[[#This Row],[Class]]="B", WORKDAY(Main[[#This Row],[Tech Start Date]],12),IF(Main[[#This Row],[Class]]="A",WORKDAY(Main[[#This Row],[Tech Start Date]],4),""))))</f>
        <v/>
      </c>
      <c r="O32" s="77" t="str">
        <f>IF(Main[[#This Row],[Tech Start Date]]&lt;1/1/1990,"",IF(Main[[#This Row],[Class]]="C",WORKDAY(Main[[#This Row],[Tech Start Date]],23),IF(Main[[#This Row],[Class]]="B", WORKDAY(Main[[#This Row],[Tech Start Date]],15),IF(Main[[#This Row],[Class]]="A",WORKDAY(Main[[#This Row],[Tech Start Date]],5),""))))</f>
        <v/>
      </c>
      <c r="P32" s="77" t="str">
        <f>IF(Main[[#This Row],[Tech Start Date]]&lt;1/1/1990,"",IF(Main[[#This Row],[Class]]="C",WORKDAY(Main[[#This Row],[Tech Start Date]],28),IF(Main[[#This Row],[Class]]="B", WORKDAY(Main[[#This Row],[Tech Start Date]],19),IF(Main[[#This Row],[Class]]="A",WORKDAY(Main[[#This Row],[Tech Start Date]],9),""))))</f>
        <v/>
      </c>
      <c r="Q32" s="74"/>
      <c r="R32" s="74">
        <v>40788</v>
      </c>
      <c r="S32" s="72" t="s">
        <v>11</v>
      </c>
      <c r="T32" s="80" t="s">
        <v>2105</v>
      </c>
      <c r="U32" s="72" t="s">
        <v>14</v>
      </c>
      <c r="V32" s="72" t="s">
        <v>1918</v>
      </c>
      <c r="W32" s="72" t="s">
        <v>1919</v>
      </c>
      <c r="X32" s="72" t="s">
        <v>2822</v>
      </c>
      <c r="Y32" s="72" t="s">
        <v>2999</v>
      </c>
      <c r="Z32" s="72" t="s">
        <v>2056</v>
      </c>
      <c r="AA32" s="146" t="s">
        <v>3441</v>
      </c>
      <c r="AH32" s="55"/>
    </row>
    <row r="33" spans="1:32" ht="18.600000000000001" customHeight="1">
      <c r="A33" s="139">
        <f>IF(priority(Main[[#This Row],[Comments]])&lt;&gt;0, priority(Main[[#This Row],[Comments]]),"")</f>
        <v>9</v>
      </c>
      <c r="B33" s="89" t="s">
        <v>3791</v>
      </c>
      <c r="C33" s="72" t="s">
        <v>95</v>
      </c>
      <c r="D33" s="73" t="s">
        <v>3792</v>
      </c>
      <c r="E33" s="74">
        <v>40959.560983796298</v>
      </c>
      <c r="F33" s="74">
        <v>40967</v>
      </c>
      <c r="G33" s="75" t="str">
        <f>IF(stdProdLT(Main[[#This Row],[Comments]])=0.1,"N/A",IF(stdProdLT(Main[[#This Row],[Comments]])=0,"",stdProdLT(Main[[#This Row],[Comments]])))</f>
        <v>N/A</v>
      </c>
      <c r="H33" s="76">
        <f>IF(AND(Main[[#This Row],[In Stock Date]]&lt;&gt;"",Main[[#This Row],[Revised Due Date]]&lt;&gt;""),Main[[#This Row],[In Stock Date]]-Main[[#This Row],[Revised Due Date]],"")</f>
        <v>0</v>
      </c>
      <c r="I33" s="72" t="s">
        <v>939</v>
      </c>
      <c r="J33" s="72" t="s">
        <v>28</v>
      </c>
      <c r="K33" s="72" t="s">
        <v>1926</v>
      </c>
      <c r="L33" s="74"/>
      <c r="M33" s="77" t="str">
        <f>IF(Main[[#This Row],[Tech Start Date]]&lt;1/1/1990,"",IF(Main[[#This Row],[Class]]="C",WORKDAY(Main[[#This Row],[Tech Start Date]],9),IF(Main[[#This Row],[Class]]="B", WORKDAY(Main[[#This Row],[Tech Start Date]],6),IF(Main[[#This Row],[Class]]="A",WORKDAY(Main[[#This Row],[Tech Start Date]],2),""))))</f>
        <v/>
      </c>
      <c r="N33" s="77" t="str">
        <f>IF(Main[[#This Row],[Tech Start Date]]&lt;1/1/1990,"",IF(Main[[#This Row],[Class]]="C",WORKDAY(Main[[#This Row],[Tech Start Date]],19),IF(Main[[#This Row],[Class]]="B", WORKDAY(Main[[#This Row],[Tech Start Date]],12),IF(Main[[#This Row],[Class]]="A",WORKDAY(Main[[#This Row],[Tech Start Date]],4),""))))</f>
        <v/>
      </c>
      <c r="O33" s="77" t="str">
        <f>IF(Main[[#This Row],[Tech Start Date]]&lt;1/1/1990,"",IF(Main[[#This Row],[Class]]="C",WORKDAY(Main[[#This Row],[Tech Start Date]],23),IF(Main[[#This Row],[Class]]="B", WORKDAY(Main[[#This Row],[Tech Start Date]],15),IF(Main[[#This Row],[Class]]="A",WORKDAY(Main[[#This Row],[Tech Start Date]],5),""))))</f>
        <v/>
      </c>
      <c r="P33" s="77" t="str">
        <f>IF(Main[[#This Row],[Tech Start Date]]&lt;1/1/1990,"",IF(Main[[#This Row],[Class]]="C",WORKDAY(Main[[#This Row],[Tech Start Date]],28),IF(Main[[#This Row],[Class]]="B", WORKDAY(Main[[#This Row],[Tech Start Date]],19),IF(Main[[#This Row],[Class]]="A",WORKDAY(Main[[#This Row],[Tech Start Date]],9),""))))</f>
        <v/>
      </c>
      <c r="Q33" s="74">
        <v>40976</v>
      </c>
      <c r="R33" s="74">
        <v>40967</v>
      </c>
      <c r="S33" s="72" t="s">
        <v>11</v>
      </c>
      <c r="T33" s="80" t="s">
        <v>3793</v>
      </c>
      <c r="U33" s="72" t="s">
        <v>29</v>
      </c>
      <c r="V33" s="72" t="s">
        <v>1917</v>
      </c>
      <c r="W33" s="72" t="s">
        <v>1919</v>
      </c>
      <c r="X33" s="72" t="s">
        <v>2858</v>
      </c>
      <c r="Y33" s="72" t="s">
        <v>2996</v>
      </c>
      <c r="Z33" s="72" t="s">
        <v>129</v>
      </c>
      <c r="AA33" s="146" t="s">
        <v>2858</v>
      </c>
    </row>
    <row r="34" spans="1:32" ht="18.600000000000001" customHeight="1">
      <c r="A34" s="139">
        <f>IF(priority(Main[[#This Row],[Comments]])&lt;&gt;0, priority(Main[[#This Row],[Comments]]),"")</f>
        <v>9</v>
      </c>
      <c r="B34" s="89" t="s">
        <v>3714</v>
      </c>
      <c r="C34" s="72" t="s">
        <v>3658</v>
      </c>
      <c r="D34" s="73" t="s">
        <v>3715</v>
      </c>
      <c r="E34" s="74">
        <v>40960.490312499998</v>
      </c>
      <c r="F34" s="74">
        <v>40963</v>
      </c>
      <c r="G34" s="75" t="str">
        <f>IF(stdProdLT(Main[[#This Row],[Comments]])=0.1,"N/A",IF(stdProdLT(Main[[#This Row],[Comments]])=0,"",stdProdLT(Main[[#This Row],[Comments]])))</f>
        <v>N/A</v>
      </c>
      <c r="H34" s="76">
        <f>IF(AND(Main[[#This Row],[In Stock Date]]&lt;&gt;"",Main[[#This Row],[Revised Due Date]]&lt;&gt;""),Main[[#This Row],[In Stock Date]]-Main[[#This Row],[Revised Due Date]],"")</f>
        <v>0</v>
      </c>
      <c r="I34" s="72" t="s">
        <v>972</v>
      </c>
      <c r="J34" s="72" t="s">
        <v>51</v>
      </c>
      <c r="K34" s="72" t="s">
        <v>1926</v>
      </c>
      <c r="L34" s="74"/>
      <c r="M34" s="77" t="str">
        <f>IF(Main[[#This Row],[Tech Start Date]]&lt;1/1/1990,"",IF(Main[[#This Row],[Class]]="C",WORKDAY(Main[[#This Row],[Tech Start Date]],9),IF(Main[[#This Row],[Class]]="B", WORKDAY(Main[[#This Row],[Tech Start Date]],6),IF(Main[[#This Row],[Class]]="A",WORKDAY(Main[[#This Row],[Tech Start Date]],2),""))))</f>
        <v/>
      </c>
      <c r="N34" s="77" t="str">
        <f>IF(Main[[#This Row],[Tech Start Date]]&lt;1/1/1990,"",IF(Main[[#This Row],[Class]]="C",WORKDAY(Main[[#This Row],[Tech Start Date]],19),IF(Main[[#This Row],[Class]]="B", WORKDAY(Main[[#This Row],[Tech Start Date]],12),IF(Main[[#This Row],[Class]]="A",WORKDAY(Main[[#This Row],[Tech Start Date]],4),""))))</f>
        <v/>
      </c>
      <c r="O34" s="77" t="str">
        <f>IF(Main[[#This Row],[Tech Start Date]]&lt;1/1/1990,"",IF(Main[[#This Row],[Class]]="C",WORKDAY(Main[[#This Row],[Tech Start Date]],23),IF(Main[[#This Row],[Class]]="B", WORKDAY(Main[[#This Row],[Tech Start Date]],15),IF(Main[[#This Row],[Class]]="A",WORKDAY(Main[[#This Row],[Tech Start Date]],5),""))))</f>
        <v/>
      </c>
      <c r="P34" s="77" t="str">
        <f>IF(Main[[#This Row],[Tech Start Date]]&lt;1/1/1990,"",IF(Main[[#This Row],[Class]]="C",WORKDAY(Main[[#This Row],[Tech Start Date]],28),IF(Main[[#This Row],[Class]]="B", WORKDAY(Main[[#This Row],[Tech Start Date]],19),IF(Main[[#This Row],[Class]]="A",WORKDAY(Main[[#This Row],[Tech Start Date]],9),""))))</f>
        <v/>
      </c>
      <c r="Q34" s="74">
        <v>40963</v>
      </c>
      <c r="R34" s="74">
        <v>40963</v>
      </c>
      <c r="S34" s="72" t="s">
        <v>11</v>
      </c>
      <c r="T34" s="80" t="s">
        <v>3716</v>
      </c>
      <c r="U34" s="72" t="s">
        <v>29</v>
      </c>
      <c r="V34" s="72" t="s">
        <v>1927</v>
      </c>
      <c r="W34" s="72" t="s">
        <v>1923</v>
      </c>
      <c r="X34" s="72" t="s">
        <v>399</v>
      </c>
      <c r="Y34" s="72" t="s">
        <v>3661</v>
      </c>
      <c r="Z34" s="72" t="s">
        <v>306</v>
      </c>
      <c r="AA34" s="146" t="s">
        <v>3660</v>
      </c>
      <c r="AF34" s="59"/>
    </row>
    <row r="35" spans="1:32" ht="18.600000000000001" customHeight="1">
      <c r="A35" s="139">
        <f>IF(priority(Main[[#This Row],[Comments]])&lt;&gt;0, priority(Main[[#This Row],[Comments]]),"")</f>
        <v>9</v>
      </c>
      <c r="B35" s="89" t="s">
        <v>3772</v>
      </c>
      <c r="C35" s="72" t="s">
        <v>3773</v>
      </c>
      <c r="D35" s="73" t="s">
        <v>3774</v>
      </c>
      <c r="E35" s="74">
        <v>40959.458298611113</v>
      </c>
      <c r="F35" s="74"/>
      <c r="G35" s="75" t="str">
        <f>IF(stdProdLT(Main[[#This Row],[Comments]])=0.1,"N/A",IF(stdProdLT(Main[[#This Row],[Comments]])=0,"",stdProdLT(Main[[#This Row],[Comments]])))</f>
        <v>N/A</v>
      </c>
      <c r="H35" s="76" t="str">
        <f>IF(AND(Main[[#This Row],[In Stock Date]]&lt;&gt;"",Main[[#This Row],[Revised Due Date]]&lt;&gt;""),Main[[#This Row],[In Stock Date]]-Main[[#This Row],[Revised Due Date]],"")</f>
        <v/>
      </c>
      <c r="I35" s="72" t="s">
        <v>2211</v>
      </c>
      <c r="J35" s="72" t="s">
        <v>75</v>
      </c>
      <c r="K35" s="72" t="s">
        <v>1924</v>
      </c>
      <c r="L35" s="74"/>
      <c r="M35" s="77" t="str">
        <f>IF(Main[[#This Row],[Tech Start Date]]&lt;1/1/1990,"",IF(Main[[#This Row],[Class]]="C",WORKDAY(Main[[#This Row],[Tech Start Date]],9),IF(Main[[#This Row],[Class]]="B", WORKDAY(Main[[#This Row],[Tech Start Date]],6),IF(Main[[#This Row],[Class]]="A",WORKDAY(Main[[#This Row],[Tech Start Date]],2),""))))</f>
        <v/>
      </c>
      <c r="N35" s="77" t="str">
        <f>IF(Main[[#This Row],[Tech Start Date]]&lt;1/1/1990,"",IF(Main[[#This Row],[Class]]="C",WORKDAY(Main[[#This Row],[Tech Start Date]],19),IF(Main[[#This Row],[Class]]="B", WORKDAY(Main[[#This Row],[Tech Start Date]],12),IF(Main[[#This Row],[Class]]="A",WORKDAY(Main[[#This Row],[Tech Start Date]],4),""))))</f>
        <v/>
      </c>
      <c r="O35" s="77" t="str">
        <f>IF(Main[[#This Row],[Tech Start Date]]&lt;1/1/1990,"",IF(Main[[#This Row],[Class]]="C",WORKDAY(Main[[#This Row],[Tech Start Date]],23),IF(Main[[#This Row],[Class]]="B", WORKDAY(Main[[#This Row],[Tech Start Date]],15),IF(Main[[#This Row],[Class]]="A",WORKDAY(Main[[#This Row],[Tech Start Date]],5),""))))</f>
        <v/>
      </c>
      <c r="P35" s="77" t="str">
        <f>IF(Main[[#This Row],[Tech Start Date]]&lt;1/1/1990,"",IF(Main[[#This Row],[Class]]="C",WORKDAY(Main[[#This Row],[Tech Start Date]],28),IF(Main[[#This Row],[Class]]="B", WORKDAY(Main[[#This Row],[Tech Start Date]],19),IF(Main[[#This Row],[Class]]="A",WORKDAY(Main[[#This Row],[Tech Start Date]],9),""))))</f>
        <v/>
      </c>
      <c r="Q35" s="74">
        <v>40966</v>
      </c>
      <c r="R35" s="74">
        <v>40968</v>
      </c>
      <c r="S35" s="72" t="s">
        <v>11</v>
      </c>
      <c r="T35" s="80" t="s">
        <v>3716</v>
      </c>
      <c r="U35" s="72" t="s">
        <v>29</v>
      </c>
      <c r="V35" s="72" t="s">
        <v>1918</v>
      </c>
      <c r="W35" s="72" t="s">
        <v>1919</v>
      </c>
      <c r="X35" s="72" t="s">
        <v>2822</v>
      </c>
      <c r="Y35" s="72" t="s">
        <v>4</v>
      </c>
      <c r="Z35" s="72" t="s">
        <v>2056</v>
      </c>
      <c r="AA35" s="146" t="s">
        <v>2822</v>
      </c>
    </row>
    <row r="36" spans="1:32" ht="18.600000000000001" customHeight="1">
      <c r="A36" s="139">
        <f>IF(priority(Main[[#This Row],[Comments]])&lt;&gt;0, priority(Main[[#This Row],[Comments]]),"")</f>
        <v>9.1</v>
      </c>
      <c r="B36" s="89" t="s">
        <v>1990</v>
      </c>
      <c r="C36" s="72" t="s">
        <v>1991</v>
      </c>
      <c r="D36" s="73" t="s">
        <v>1992</v>
      </c>
      <c r="E36" s="74"/>
      <c r="F36" s="74"/>
      <c r="G36" s="75" t="str">
        <f>IF(stdProdLT(Main[[#This Row],[Comments]])=0.1,"N/A",IF(stdProdLT(Main[[#This Row],[Comments]])=0,"",stdProdLT(Main[[#This Row],[Comments]])))</f>
        <v/>
      </c>
      <c r="H36" s="76" t="str">
        <f>IF(AND(Main[[#This Row],[In Stock Date]]&lt;&gt;"",Main[[#This Row],[Revised Due Date]]&lt;&gt;""),Main[[#This Row],[In Stock Date]]-Main[[#This Row],[Revised Due Date]],"")</f>
        <v/>
      </c>
      <c r="I36" s="72" t="s">
        <v>943</v>
      </c>
      <c r="J36" s="72" t="s">
        <v>28</v>
      </c>
      <c r="K36" s="81" t="s">
        <v>4</v>
      </c>
      <c r="L36" s="74">
        <v>40745</v>
      </c>
      <c r="M36" s="77" t="str">
        <f>IF(Main[[#This Row],[Tech Start Date]]&lt;1/1/1990,"",IF(Main[[#This Row],[Class]]="C",WORKDAY(Main[[#This Row],[Tech Start Date]],9),IF(Main[[#This Row],[Class]]="B", WORKDAY(Main[[#This Row],[Tech Start Date]],6),IF(Main[[#This Row],[Class]]="A",WORKDAY(Main[[#This Row],[Tech Start Date]],2),""))))</f>
        <v/>
      </c>
      <c r="N36" s="77" t="str">
        <f>IF(Main[[#This Row],[Tech Start Date]]&lt;1/1/1990,"",IF(Main[[#This Row],[Class]]="C",WORKDAY(Main[[#This Row],[Tech Start Date]],19),IF(Main[[#This Row],[Class]]="B", WORKDAY(Main[[#This Row],[Tech Start Date]],12),IF(Main[[#This Row],[Class]]="A",WORKDAY(Main[[#This Row],[Tech Start Date]],4),""))))</f>
        <v/>
      </c>
      <c r="O36" s="77" t="str">
        <f>IF(Main[[#This Row],[Tech Start Date]]&lt;1/1/1990,"",IF(Main[[#This Row],[Class]]="C",WORKDAY(Main[[#This Row],[Tech Start Date]],23),IF(Main[[#This Row],[Class]]="B", WORKDAY(Main[[#This Row],[Tech Start Date]],15),IF(Main[[#This Row],[Class]]="A",WORKDAY(Main[[#This Row],[Tech Start Date]],5),""))))</f>
        <v/>
      </c>
      <c r="P36" s="77" t="str">
        <f>IF(Main[[#This Row],[Tech Start Date]]&lt;1/1/1990,"",IF(Main[[#This Row],[Class]]="C",WORKDAY(Main[[#This Row],[Tech Start Date]],28),IF(Main[[#This Row],[Class]]="B", WORKDAY(Main[[#This Row],[Tech Start Date]],19),IF(Main[[#This Row],[Class]]="A",WORKDAY(Main[[#This Row],[Tech Start Date]],9),""))))</f>
        <v/>
      </c>
      <c r="Q36" s="74"/>
      <c r="R36" s="74"/>
      <c r="S36" s="72" t="s">
        <v>11</v>
      </c>
      <c r="T36" s="80" t="s">
        <v>1993</v>
      </c>
      <c r="U36" s="72" t="s">
        <v>14</v>
      </c>
      <c r="V36" s="72" t="s">
        <v>1918</v>
      </c>
      <c r="W36" s="72" t="s">
        <v>1919</v>
      </c>
      <c r="X36" s="72" t="s">
        <v>2822</v>
      </c>
      <c r="Y36" s="72" t="s">
        <v>2999</v>
      </c>
      <c r="Z36" s="72" t="s">
        <v>3165</v>
      </c>
      <c r="AA36" s="146" t="s">
        <v>3485</v>
      </c>
    </row>
    <row r="37" spans="1:32" ht="18.600000000000001" customHeight="1">
      <c r="A37" s="139">
        <f>IF(priority(Main[[#This Row],[Comments]])&lt;&gt;0, priority(Main[[#This Row],[Comments]]),"")</f>
        <v>10</v>
      </c>
      <c r="B37" s="89" t="s">
        <v>3657</v>
      </c>
      <c r="C37" s="72" t="s">
        <v>3658</v>
      </c>
      <c r="D37" s="73" t="s">
        <v>3659</v>
      </c>
      <c r="E37" s="74">
        <v>40960.4925</v>
      </c>
      <c r="F37" s="74">
        <v>40963</v>
      </c>
      <c r="G37" s="75" t="str">
        <f>IF(stdProdLT(Main[[#This Row],[Comments]])=0.1,"N/A",IF(stdProdLT(Main[[#This Row],[Comments]])=0,"",stdProdLT(Main[[#This Row],[Comments]])))</f>
        <v>N/A</v>
      </c>
      <c r="H37" s="76">
        <f>IF(AND(Main[[#This Row],[In Stock Date]]&lt;&gt;"",Main[[#This Row],[Revised Due Date]]&lt;&gt;""),Main[[#This Row],[In Stock Date]]-Main[[#This Row],[Revised Due Date]],"")</f>
        <v>0</v>
      </c>
      <c r="I37" s="72" t="s">
        <v>399</v>
      </c>
      <c r="J37" s="72" t="s">
        <v>75</v>
      </c>
      <c r="K37" s="72" t="s">
        <v>1926</v>
      </c>
      <c r="L37" s="74"/>
      <c r="M37" s="77" t="str">
        <f>IF(Main[[#This Row],[Tech Start Date]]&lt;1/1/1990,"",IF(Main[[#This Row],[Class]]="C",WORKDAY(Main[[#This Row],[Tech Start Date]],9),IF(Main[[#This Row],[Class]]="B", WORKDAY(Main[[#This Row],[Tech Start Date]],6),IF(Main[[#This Row],[Class]]="A",WORKDAY(Main[[#This Row],[Tech Start Date]],2),""))))</f>
        <v/>
      </c>
      <c r="N37" s="77" t="str">
        <f>IF(Main[[#This Row],[Tech Start Date]]&lt;1/1/1990,"",IF(Main[[#This Row],[Class]]="C",WORKDAY(Main[[#This Row],[Tech Start Date]],19),IF(Main[[#This Row],[Class]]="B", WORKDAY(Main[[#This Row],[Tech Start Date]],12),IF(Main[[#This Row],[Class]]="A",WORKDAY(Main[[#This Row],[Tech Start Date]],4),""))))</f>
        <v/>
      </c>
      <c r="O37" s="77" t="str">
        <f>IF(Main[[#This Row],[Tech Start Date]]&lt;1/1/1990,"",IF(Main[[#This Row],[Class]]="C",WORKDAY(Main[[#This Row],[Tech Start Date]],23),IF(Main[[#This Row],[Class]]="B", WORKDAY(Main[[#This Row],[Tech Start Date]],15),IF(Main[[#This Row],[Class]]="A",WORKDAY(Main[[#This Row],[Tech Start Date]],5),""))))</f>
        <v/>
      </c>
      <c r="P37" s="77" t="str">
        <f>IF(Main[[#This Row],[Tech Start Date]]&lt;1/1/1990,"",IF(Main[[#This Row],[Class]]="C",WORKDAY(Main[[#This Row],[Tech Start Date]],28),IF(Main[[#This Row],[Class]]="B", WORKDAY(Main[[#This Row],[Tech Start Date]],19),IF(Main[[#This Row],[Class]]="A",WORKDAY(Main[[#This Row],[Tech Start Date]],9),""))))</f>
        <v/>
      </c>
      <c r="Q37" s="74">
        <v>40963</v>
      </c>
      <c r="R37" s="74">
        <v>40963</v>
      </c>
      <c r="S37" s="72" t="s">
        <v>11</v>
      </c>
      <c r="T37" s="80" t="s">
        <v>3619</v>
      </c>
      <c r="U37" s="72" t="s">
        <v>29</v>
      </c>
      <c r="V37" s="72" t="s">
        <v>1927</v>
      </c>
      <c r="W37" s="72" t="s">
        <v>1923</v>
      </c>
      <c r="X37" s="72" t="s">
        <v>399</v>
      </c>
      <c r="Y37" s="72" t="s">
        <v>3661</v>
      </c>
      <c r="Z37" s="72" t="s">
        <v>306</v>
      </c>
      <c r="AA37" s="146" t="s">
        <v>3660</v>
      </c>
    </row>
    <row r="38" spans="1:32" ht="18.600000000000001" customHeight="1">
      <c r="A38" s="139">
        <f>IF(priority(Main[[#This Row],[Comments]])&lt;&gt;0, priority(Main[[#This Row],[Comments]]),"")</f>
        <v>10</v>
      </c>
      <c r="B38" s="89" t="s">
        <v>3617</v>
      </c>
      <c r="C38" s="72" t="s">
        <v>95</v>
      </c>
      <c r="D38" s="73" t="s">
        <v>3618</v>
      </c>
      <c r="E38" s="74">
        <v>40959.548576388886</v>
      </c>
      <c r="F38" s="74">
        <v>40967</v>
      </c>
      <c r="G38" s="75" t="str">
        <f>IF(stdProdLT(Main[[#This Row],[Comments]])=0.1,"N/A",IF(stdProdLT(Main[[#This Row],[Comments]])=0,"",stdProdLT(Main[[#This Row],[Comments]])))</f>
        <v>N/A</v>
      </c>
      <c r="H38" s="76">
        <f>IF(AND(Main[[#This Row],[In Stock Date]]&lt;&gt;"",Main[[#This Row],[Revised Due Date]]&lt;&gt;""),Main[[#This Row],[In Stock Date]]-Main[[#This Row],[Revised Due Date]],"")</f>
        <v>0</v>
      </c>
      <c r="I38" s="72" t="s">
        <v>939</v>
      </c>
      <c r="J38" s="72" t="s">
        <v>28</v>
      </c>
      <c r="K38" s="81" t="s">
        <v>1926</v>
      </c>
      <c r="L38" s="74"/>
      <c r="M38" s="77" t="str">
        <f>IF(Main[[#This Row],[Tech Start Date]]&lt;1/1/1990,"",IF(Main[[#This Row],[Class]]="C",WORKDAY(Main[[#This Row],[Tech Start Date]],9),IF(Main[[#This Row],[Class]]="B", WORKDAY(Main[[#This Row],[Tech Start Date]],6),IF(Main[[#This Row],[Class]]="A",WORKDAY(Main[[#This Row],[Tech Start Date]],2),""))))</f>
        <v/>
      </c>
      <c r="N38" s="77" t="str">
        <f>IF(Main[[#This Row],[Tech Start Date]]&lt;1/1/1990,"",IF(Main[[#This Row],[Class]]="C",WORKDAY(Main[[#This Row],[Tech Start Date]],19),IF(Main[[#This Row],[Class]]="B", WORKDAY(Main[[#This Row],[Tech Start Date]],12),IF(Main[[#This Row],[Class]]="A",WORKDAY(Main[[#This Row],[Tech Start Date]],4),""))))</f>
        <v/>
      </c>
      <c r="O38" s="77" t="str">
        <f>IF(Main[[#This Row],[Tech Start Date]]&lt;1/1/1990,"",IF(Main[[#This Row],[Class]]="C",WORKDAY(Main[[#This Row],[Tech Start Date]],23),IF(Main[[#This Row],[Class]]="B", WORKDAY(Main[[#This Row],[Tech Start Date]],15),IF(Main[[#This Row],[Class]]="A",WORKDAY(Main[[#This Row],[Tech Start Date]],5),""))))</f>
        <v/>
      </c>
      <c r="P38" s="77" t="str">
        <f>IF(Main[[#This Row],[Tech Start Date]]&lt;1/1/1990,"",IF(Main[[#This Row],[Class]]="C",WORKDAY(Main[[#This Row],[Tech Start Date]],28),IF(Main[[#This Row],[Class]]="B", WORKDAY(Main[[#This Row],[Tech Start Date]],19),IF(Main[[#This Row],[Class]]="A",WORKDAY(Main[[#This Row],[Tech Start Date]],9),""))))</f>
        <v/>
      </c>
      <c r="Q38" s="74">
        <v>40976</v>
      </c>
      <c r="R38" s="74">
        <v>40967</v>
      </c>
      <c r="S38" s="72" t="s">
        <v>11</v>
      </c>
      <c r="T38" s="80" t="s">
        <v>3619</v>
      </c>
      <c r="U38" s="72" t="s">
        <v>29</v>
      </c>
      <c r="V38" s="72" t="s">
        <v>1917</v>
      </c>
      <c r="W38" s="72" t="s">
        <v>1919</v>
      </c>
      <c r="X38" s="72" t="s">
        <v>2858</v>
      </c>
      <c r="Y38" s="72" t="s">
        <v>2996</v>
      </c>
      <c r="Z38" s="72" t="s">
        <v>129</v>
      </c>
      <c r="AA38" s="146" t="s">
        <v>2858</v>
      </c>
    </row>
    <row r="39" spans="1:32" ht="18.600000000000001" customHeight="1">
      <c r="A39" s="139">
        <f>IF(priority(Main[[#This Row],[Comments]])&lt;&gt;0, priority(Main[[#This Row],[Comments]]),"")</f>
        <v>10</v>
      </c>
      <c r="B39" s="89" t="s">
        <v>3560</v>
      </c>
      <c r="C39" s="72" t="s">
        <v>347</v>
      </c>
      <c r="D39" s="73" t="s">
        <v>3698</v>
      </c>
      <c r="E39" s="74">
        <v>40961.409259259257</v>
      </c>
      <c r="F39" s="74">
        <v>41030</v>
      </c>
      <c r="G39" s="75">
        <f>IF(stdProdLT(Main[[#This Row],[Comments]])=0.1,"N/A",IF(stdProdLT(Main[[#This Row],[Comments]])=0,"",stdProdLT(Main[[#This Row],[Comments]])))</f>
        <v>126</v>
      </c>
      <c r="H39" s="76">
        <f>IF(AND(Main[[#This Row],[In Stock Date]]&lt;&gt;"",Main[[#This Row],[Revised Due Date]]&lt;&gt;""),Main[[#This Row],[In Stock Date]]-Main[[#This Row],[Revised Due Date]],"")</f>
        <v>49</v>
      </c>
      <c r="I39" s="72" t="s">
        <v>914</v>
      </c>
      <c r="J39" s="72" t="s">
        <v>52</v>
      </c>
      <c r="K39" s="72" t="s">
        <v>1924</v>
      </c>
      <c r="L39" s="74"/>
      <c r="M39" s="77" t="str">
        <f>IF(Main[[#This Row],[Tech Start Date]]&lt;1/1/1990,"",IF(Main[[#This Row],[Class]]="C",WORKDAY(Main[[#This Row],[Tech Start Date]],9),IF(Main[[#This Row],[Class]]="B", WORKDAY(Main[[#This Row],[Tech Start Date]],6),IF(Main[[#This Row],[Class]]="A",WORKDAY(Main[[#This Row],[Tech Start Date]],2),""))))</f>
        <v/>
      </c>
      <c r="N39" s="77" t="str">
        <f>IF(Main[[#This Row],[Tech Start Date]]&lt;1/1/1990,"",IF(Main[[#This Row],[Class]]="C",WORKDAY(Main[[#This Row],[Tech Start Date]],19),IF(Main[[#This Row],[Class]]="B", WORKDAY(Main[[#This Row],[Tech Start Date]],12),IF(Main[[#This Row],[Class]]="A",WORKDAY(Main[[#This Row],[Tech Start Date]],4),""))))</f>
        <v/>
      </c>
      <c r="O39" s="77" t="str">
        <f>IF(Main[[#This Row],[Tech Start Date]]&lt;1/1/1990,"",IF(Main[[#This Row],[Class]]="C",WORKDAY(Main[[#This Row],[Tech Start Date]],23),IF(Main[[#This Row],[Class]]="B", WORKDAY(Main[[#This Row],[Tech Start Date]],15),IF(Main[[#This Row],[Class]]="A",WORKDAY(Main[[#This Row],[Tech Start Date]],5),""))))</f>
        <v/>
      </c>
      <c r="P39" s="77" t="str">
        <f>IF(Main[[#This Row],[Tech Start Date]]&lt;1/1/1990,"",IF(Main[[#This Row],[Class]]="C",WORKDAY(Main[[#This Row],[Tech Start Date]],28),IF(Main[[#This Row],[Class]]="B", WORKDAY(Main[[#This Row],[Tech Start Date]],19),IF(Main[[#This Row],[Class]]="A",WORKDAY(Main[[#This Row],[Tech Start Date]],9),""))))</f>
        <v/>
      </c>
      <c r="Q39" s="74">
        <v>40990</v>
      </c>
      <c r="R39" s="74">
        <v>40981</v>
      </c>
      <c r="S39" s="72" t="s">
        <v>11</v>
      </c>
      <c r="T39" s="80" t="s">
        <v>3699</v>
      </c>
      <c r="U39" s="72" t="s">
        <v>29</v>
      </c>
      <c r="V39" s="72" t="s">
        <v>1917</v>
      </c>
      <c r="W39" s="72" t="s">
        <v>1925</v>
      </c>
      <c r="X39" s="72" t="s">
        <v>2917</v>
      </c>
      <c r="Y39" s="72" t="s">
        <v>4</v>
      </c>
      <c r="Z39" s="72" t="s">
        <v>129</v>
      </c>
      <c r="AA39" s="146" t="s">
        <v>3418</v>
      </c>
    </row>
    <row r="40" spans="1:32" ht="18.600000000000001" customHeight="1">
      <c r="A40" s="155">
        <f>IF(priority(Main[[#This Row],[Comments]])&lt;&gt;0, priority(Main[[#This Row],[Comments]]),"")</f>
        <v>10</v>
      </c>
      <c r="B40" s="156" t="s">
        <v>3930</v>
      </c>
      <c r="C40" s="157" t="s">
        <v>2359</v>
      </c>
      <c r="D40" s="158" t="s">
        <v>3931</v>
      </c>
      <c r="E40" s="160">
        <v>40953.07539351852</v>
      </c>
      <c r="F40" s="160">
        <v>41105</v>
      </c>
      <c r="G40" s="162">
        <f>IF(stdProdLT(Main[[#This Row],[Comments]])=0.1,"N/A",IF(stdProdLT(Main[[#This Row],[Comments]])=0,"",stdProdLT(Main[[#This Row],[Comments]])))</f>
        <v>126</v>
      </c>
      <c r="H40" s="164">
        <f>IF(AND(Main[[#This Row],[In Stock Date]]&lt;&gt;"",Main[[#This Row],[Revised Due Date]]&lt;&gt;""),Main[[#This Row],[In Stock Date]]-Main[[#This Row],[Revised Due Date]],"")</f>
        <v>104</v>
      </c>
      <c r="I40" s="157" t="s">
        <v>2630</v>
      </c>
      <c r="J40" s="157" t="s">
        <v>28</v>
      </c>
      <c r="K40" s="157" t="s">
        <v>1930</v>
      </c>
      <c r="L40" s="160">
        <v>40959</v>
      </c>
      <c r="M40" s="167">
        <f>IF(Main[[#This Row],[Tech Start Date]]&lt;1/1/1990,"",IF(Main[[#This Row],[Class]]="C",WORKDAY(Main[[#This Row],[Tech Start Date]],9),IF(Main[[#This Row],[Class]]="B", WORKDAY(Main[[#This Row],[Tech Start Date]],6),IF(Main[[#This Row],[Class]]="A",WORKDAY(Main[[#This Row],[Tech Start Date]],2),""))))</f>
        <v>40970</v>
      </c>
      <c r="N40" s="167">
        <f>IF(Main[[#This Row],[Tech Start Date]]&lt;1/1/1990,"",IF(Main[[#This Row],[Class]]="C",WORKDAY(Main[[#This Row],[Tech Start Date]],19),IF(Main[[#This Row],[Class]]="B", WORKDAY(Main[[#This Row],[Tech Start Date]],12),IF(Main[[#This Row],[Class]]="A",WORKDAY(Main[[#This Row],[Tech Start Date]],4),""))))</f>
        <v>40984</v>
      </c>
      <c r="O40" s="167">
        <f>IF(Main[[#This Row],[Tech Start Date]]&lt;1/1/1990,"",IF(Main[[#This Row],[Class]]="C",WORKDAY(Main[[#This Row],[Tech Start Date]],23),IF(Main[[#This Row],[Class]]="B", WORKDAY(Main[[#This Row],[Tech Start Date]],15),IF(Main[[#This Row],[Class]]="A",WORKDAY(Main[[#This Row],[Tech Start Date]],5),""))))</f>
        <v>40990</v>
      </c>
      <c r="P40" s="167">
        <f>IF(Main[[#This Row],[Tech Start Date]]&lt;1/1/1990,"",IF(Main[[#This Row],[Class]]="C",WORKDAY(Main[[#This Row],[Tech Start Date]],28),IF(Main[[#This Row],[Class]]="B", WORKDAY(Main[[#This Row],[Tech Start Date]],19),IF(Main[[#This Row],[Class]]="A",WORKDAY(Main[[#This Row],[Tech Start Date]],9),""))))</f>
        <v>40997</v>
      </c>
      <c r="Q40" s="160">
        <v>40965</v>
      </c>
      <c r="R40" s="160">
        <v>41001</v>
      </c>
      <c r="S40" s="157" t="s">
        <v>11</v>
      </c>
      <c r="T40" s="171" t="s">
        <v>3932</v>
      </c>
      <c r="U40" s="157" t="s">
        <v>7</v>
      </c>
      <c r="V40" s="157" t="s">
        <v>1918</v>
      </c>
      <c r="W40" s="157" t="s">
        <v>1925</v>
      </c>
      <c r="X40" s="157" t="s">
        <v>2849</v>
      </c>
      <c r="Y40" s="157" t="s">
        <v>4</v>
      </c>
      <c r="Z40" s="157" t="s">
        <v>2056</v>
      </c>
      <c r="AA40" s="153" t="s">
        <v>2849</v>
      </c>
    </row>
    <row r="41" spans="1:32" ht="18.600000000000001" customHeight="1">
      <c r="A41" s="139">
        <f>IF(priority(Main[[#This Row],[Comments]])&lt;&gt;0, priority(Main[[#This Row],[Comments]]),"")</f>
        <v>11</v>
      </c>
      <c r="B41" s="89" t="s">
        <v>3711</v>
      </c>
      <c r="C41" s="72" t="s">
        <v>3658</v>
      </c>
      <c r="D41" s="73" t="s">
        <v>3712</v>
      </c>
      <c r="E41" s="74">
        <v>40960.488854166666</v>
      </c>
      <c r="F41" s="74">
        <v>40963</v>
      </c>
      <c r="G41" s="75" t="str">
        <f>IF(stdProdLT(Main[[#This Row],[Comments]])=0.1,"N/A",IF(stdProdLT(Main[[#This Row],[Comments]])=0,"",stdProdLT(Main[[#This Row],[Comments]])))</f>
        <v>N/A</v>
      </c>
      <c r="H41" s="76">
        <f>IF(AND(Main[[#This Row],[In Stock Date]]&lt;&gt;"",Main[[#This Row],[Revised Due Date]]&lt;&gt;""),Main[[#This Row],[In Stock Date]]-Main[[#This Row],[Revised Due Date]],"")</f>
        <v>0</v>
      </c>
      <c r="I41" s="72" t="s">
        <v>972</v>
      </c>
      <c r="J41" s="72" t="s">
        <v>51</v>
      </c>
      <c r="K41" s="81" t="s">
        <v>1926</v>
      </c>
      <c r="L41" s="74"/>
      <c r="M41" s="77" t="str">
        <f>IF(Main[[#This Row],[Tech Start Date]]&lt;1/1/1990,"",IF(Main[[#This Row],[Class]]="C",WORKDAY(Main[[#This Row],[Tech Start Date]],9),IF(Main[[#This Row],[Class]]="B", WORKDAY(Main[[#This Row],[Tech Start Date]],6),IF(Main[[#This Row],[Class]]="A",WORKDAY(Main[[#This Row],[Tech Start Date]],2),""))))</f>
        <v/>
      </c>
      <c r="N41" s="77" t="str">
        <f>IF(Main[[#This Row],[Tech Start Date]]&lt;1/1/1990,"",IF(Main[[#This Row],[Class]]="C",WORKDAY(Main[[#This Row],[Tech Start Date]],19),IF(Main[[#This Row],[Class]]="B", WORKDAY(Main[[#This Row],[Tech Start Date]],12),IF(Main[[#This Row],[Class]]="A",WORKDAY(Main[[#This Row],[Tech Start Date]],4),""))))</f>
        <v/>
      </c>
      <c r="O41" s="77" t="str">
        <f>IF(Main[[#This Row],[Tech Start Date]]&lt;1/1/1990,"",IF(Main[[#This Row],[Class]]="C",WORKDAY(Main[[#This Row],[Tech Start Date]],23),IF(Main[[#This Row],[Class]]="B", WORKDAY(Main[[#This Row],[Tech Start Date]],15),IF(Main[[#This Row],[Class]]="A",WORKDAY(Main[[#This Row],[Tech Start Date]],5),""))))</f>
        <v/>
      </c>
      <c r="P41" s="77" t="str">
        <f>IF(Main[[#This Row],[Tech Start Date]]&lt;1/1/1990,"",IF(Main[[#This Row],[Class]]="C",WORKDAY(Main[[#This Row],[Tech Start Date]],28),IF(Main[[#This Row],[Class]]="B", WORKDAY(Main[[#This Row],[Tech Start Date]],19),IF(Main[[#This Row],[Class]]="A",WORKDAY(Main[[#This Row],[Tech Start Date]],9),""))))</f>
        <v/>
      </c>
      <c r="Q41" s="74">
        <v>40963</v>
      </c>
      <c r="R41" s="74">
        <v>40963</v>
      </c>
      <c r="S41" s="72" t="s">
        <v>11</v>
      </c>
      <c r="T41" s="80" t="s">
        <v>3713</v>
      </c>
      <c r="U41" s="72" t="s">
        <v>29</v>
      </c>
      <c r="V41" s="72" t="s">
        <v>1927</v>
      </c>
      <c r="W41" s="72" t="s">
        <v>1923</v>
      </c>
      <c r="X41" s="72" t="s">
        <v>399</v>
      </c>
      <c r="Y41" s="72" t="s">
        <v>3661</v>
      </c>
      <c r="Z41" s="72" t="s">
        <v>306</v>
      </c>
      <c r="AA41" s="146" t="s">
        <v>3660</v>
      </c>
    </row>
    <row r="42" spans="1:32" ht="18.600000000000001" customHeight="1">
      <c r="A42" s="155">
        <f>IF(priority(Main[[#This Row],[Comments]])&lt;&gt;0, priority(Main[[#This Row],[Comments]]),"")</f>
        <v>11</v>
      </c>
      <c r="B42" s="156" t="s">
        <v>3276</v>
      </c>
      <c r="C42" s="157" t="s">
        <v>3277</v>
      </c>
      <c r="D42" s="158" t="s">
        <v>3573</v>
      </c>
      <c r="E42" s="160">
        <v>40934.412314814814</v>
      </c>
      <c r="F42" s="160">
        <v>41091</v>
      </c>
      <c r="G42" s="162">
        <f>IF(stdProdLT(Main[[#This Row],[Comments]])=0.1,"N/A",IF(stdProdLT(Main[[#This Row],[Comments]])=0,"",stdProdLT(Main[[#This Row],[Comments]])))</f>
        <v>126</v>
      </c>
      <c r="H42" s="164">
        <f>IF(AND(Main[[#This Row],[In Stock Date]]&lt;&gt;"",Main[[#This Row],[Revised Due Date]]&lt;&gt;""),Main[[#This Row],[In Stock Date]]-Main[[#This Row],[Revised Due Date]],"")</f>
        <v>116</v>
      </c>
      <c r="I42" s="157" t="s">
        <v>914</v>
      </c>
      <c r="J42" s="157" t="s">
        <v>52</v>
      </c>
      <c r="K42" s="157" t="s">
        <v>1924</v>
      </c>
      <c r="L42" s="160">
        <v>40934</v>
      </c>
      <c r="M42" s="167">
        <f>IF(Main[[#This Row],[Tech Start Date]]&lt;1/1/1990,"",IF(Main[[#This Row],[Class]]="C",WORKDAY(Main[[#This Row],[Tech Start Date]],9),IF(Main[[#This Row],[Class]]="B", WORKDAY(Main[[#This Row],[Tech Start Date]],6),IF(Main[[#This Row],[Class]]="A",WORKDAY(Main[[#This Row],[Tech Start Date]],2),""))))</f>
        <v>40942</v>
      </c>
      <c r="N42" s="167">
        <f>IF(Main[[#This Row],[Tech Start Date]]&lt;1/1/1990,"",IF(Main[[#This Row],[Class]]="C",WORKDAY(Main[[#This Row],[Tech Start Date]],19),IF(Main[[#This Row],[Class]]="B", WORKDAY(Main[[#This Row],[Tech Start Date]],12),IF(Main[[#This Row],[Class]]="A",WORKDAY(Main[[#This Row],[Tech Start Date]],4),""))))</f>
        <v>40952</v>
      </c>
      <c r="O42" s="167">
        <f>IF(Main[[#This Row],[Tech Start Date]]&lt;1/1/1990,"",IF(Main[[#This Row],[Class]]="C",WORKDAY(Main[[#This Row],[Tech Start Date]],23),IF(Main[[#This Row],[Class]]="B", WORKDAY(Main[[#This Row],[Tech Start Date]],15),IF(Main[[#This Row],[Class]]="A",WORKDAY(Main[[#This Row],[Tech Start Date]],5),""))))</f>
        <v>40955</v>
      </c>
      <c r="P42" s="167">
        <f>IF(Main[[#This Row],[Tech Start Date]]&lt;1/1/1990,"",IF(Main[[#This Row],[Class]]="C",WORKDAY(Main[[#This Row],[Tech Start Date]],28),IF(Main[[#This Row],[Class]]="B", WORKDAY(Main[[#This Row],[Tech Start Date]],19),IF(Main[[#This Row],[Class]]="A",WORKDAY(Main[[#This Row],[Tech Start Date]],9),""))))</f>
        <v>40961</v>
      </c>
      <c r="Q42" s="160"/>
      <c r="R42" s="160">
        <v>40975</v>
      </c>
      <c r="S42" s="157" t="s">
        <v>11</v>
      </c>
      <c r="T42" s="171" t="s">
        <v>3884</v>
      </c>
      <c r="U42" s="157" t="s">
        <v>29</v>
      </c>
      <c r="V42" s="157" t="s">
        <v>1917</v>
      </c>
      <c r="W42" s="157" t="s">
        <v>1925</v>
      </c>
      <c r="X42" s="157" t="s">
        <v>50</v>
      </c>
      <c r="Y42" s="157" t="s">
        <v>3164</v>
      </c>
      <c r="Z42" s="157" t="s">
        <v>129</v>
      </c>
      <c r="AA42" s="153" t="s">
        <v>3475</v>
      </c>
    </row>
    <row r="43" spans="1:32" ht="18.600000000000001" customHeight="1">
      <c r="A43" s="139">
        <f>IF(priority(Main[[#This Row],[Comments]])&lt;&gt;0, priority(Main[[#This Row],[Comments]]),"")</f>
        <v>11</v>
      </c>
      <c r="B43" s="89" t="s">
        <v>2645</v>
      </c>
      <c r="C43" s="72" t="s">
        <v>72</v>
      </c>
      <c r="D43" s="73" t="s">
        <v>3850</v>
      </c>
      <c r="E43" s="74">
        <v>40843.078125</v>
      </c>
      <c r="F43" s="74">
        <v>41122</v>
      </c>
      <c r="G43" s="75">
        <f>IF(stdProdLT(Main[[#This Row],[Comments]])=0.1,"N/A",IF(stdProdLT(Main[[#This Row],[Comments]])=0,"",stdProdLT(Main[[#This Row],[Comments]])))</f>
        <v>196</v>
      </c>
      <c r="H43" s="76">
        <f>IF(AND(Main[[#This Row],[In Stock Date]]&lt;&gt;"",Main[[#This Row],[Revised Due Date]]&lt;&gt;""),Main[[#This Row],[In Stock Date]]-Main[[#This Row],[Revised Due Date]],"")</f>
        <v>138</v>
      </c>
      <c r="I43" s="72" t="s">
        <v>2630</v>
      </c>
      <c r="J43" s="72" t="s">
        <v>28</v>
      </c>
      <c r="K43" s="72" t="s">
        <v>1930</v>
      </c>
      <c r="L43" s="74">
        <v>40849</v>
      </c>
      <c r="M43" s="77">
        <f>IF(Main[[#This Row],[Tech Start Date]]&lt;1/1/1990,"",IF(Main[[#This Row],[Class]]="C",WORKDAY(Main[[#This Row],[Tech Start Date]],9),IF(Main[[#This Row],[Class]]="B", WORKDAY(Main[[#This Row],[Tech Start Date]],6),IF(Main[[#This Row],[Class]]="A",WORKDAY(Main[[#This Row],[Tech Start Date]],2),""))))</f>
        <v>40862</v>
      </c>
      <c r="N43" s="77">
        <f>IF(Main[[#This Row],[Tech Start Date]]&lt;1/1/1990,"",IF(Main[[#This Row],[Class]]="C",WORKDAY(Main[[#This Row],[Tech Start Date]],19),IF(Main[[#This Row],[Class]]="B", WORKDAY(Main[[#This Row],[Tech Start Date]],12),IF(Main[[#This Row],[Class]]="A",WORKDAY(Main[[#This Row],[Tech Start Date]],4),""))))</f>
        <v>40876</v>
      </c>
      <c r="O43" s="77">
        <f>IF(Main[[#This Row],[Tech Start Date]]&lt;1/1/1990,"",IF(Main[[#This Row],[Class]]="C",WORKDAY(Main[[#This Row],[Tech Start Date]],23),IF(Main[[#This Row],[Class]]="B", WORKDAY(Main[[#This Row],[Tech Start Date]],15),IF(Main[[#This Row],[Class]]="A",WORKDAY(Main[[#This Row],[Tech Start Date]],5),""))))</f>
        <v>40882</v>
      </c>
      <c r="P43" s="77">
        <f>IF(Main[[#This Row],[Tech Start Date]]&lt;1/1/1990,"",IF(Main[[#This Row],[Class]]="C",WORKDAY(Main[[#This Row],[Tech Start Date]],28),IF(Main[[#This Row],[Class]]="B", WORKDAY(Main[[#This Row],[Tech Start Date]],19),IF(Main[[#This Row],[Class]]="A",WORKDAY(Main[[#This Row],[Tech Start Date]],9),""))))</f>
        <v>40889</v>
      </c>
      <c r="Q43" s="74">
        <v>41122</v>
      </c>
      <c r="R43" s="74">
        <v>40984</v>
      </c>
      <c r="S43" s="72" t="s">
        <v>11</v>
      </c>
      <c r="T43" s="80" t="s">
        <v>3851</v>
      </c>
      <c r="U43" s="72" t="s">
        <v>29</v>
      </c>
      <c r="V43" s="72" t="s">
        <v>1918</v>
      </c>
      <c r="W43" s="72" t="s">
        <v>1925</v>
      </c>
      <c r="X43" s="72" t="s">
        <v>2853</v>
      </c>
      <c r="Y43" s="72" t="s">
        <v>2984</v>
      </c>
      <c r="Z43" s="72" t="s">
        <v>2056</v>
      </c>
      <c r="AA43" s="146" t="s">
        <v>2853</v>
      </c>
    </row>
    <row r="44" spans="1:32" ht="18.600000000000001" customHeight="1">
      <c r="A44" s="155">
        <f>IF(priority(Main[[#This Row],[Comments]])&lt;&gt;0, priority(Main[[#This Row],[Comments]]),"")</f>
        <v>11</v>
      </c>
      <c r="B44" s="156" t="s">
        <v>3576</v>
      </c>
      <c r="C44" s="157" t="s">
        <v>2213</v>
      </c>
      <c r="D44" s="158" t="s">
        <v>3895</v>
      </c>
      <c r="E44" s="160">
        <v>40946.395277777781</v>
      </c>
      <c r="F44" s="160">
        <v>40984</v>
      </c>
      <c r="G44" s="162" t="str">
        <f>IF(stdProdLT(Main[[#This Row],[Comments]])=0.1,"N/A",IF(stdProdLT(Main[[#This Row],[Comments]])=0,"",stdProdLT(Main[[#This Row],[Comments]])))</f>
        <v/>
      </c>
      <c r="H44" s="164">
        <f>IF(AND(Main[[#This Row],[In Stock Date]]&lt;&gt;"",Main[[#This Row],[Revised Due Date]]&lt;&gt;""),Main[[#This Row],[In Stock Date]]-Main[[#This Row],[Revised Due Date]],"")</f>
        <v>11</v>
      </c>
      <c r="I44" s="157" t="s">
        <v>2254</v>
      </c>
      <c r="J44" s="157" t="s">
        <v>28</v>
      </c>
      <c r="K44" s="157" t="s">
        <v>1926</v>
      </c>
      <c r="L44" s="160">
        <v>40946</v>
      </c>
      <c r="M44" s="167">
        <f>IF(Main[[#This Row],[Tech Start Date]]&lt;1/1/1990,"",IF(Main[[#This Row],[Class]]="C",WORKDAY(Main[[#This Row],[Tech Start Date]],9),IF(Main[[#This Row],[Class]]="B", WORKDAY(Main[[#This Row],[Tech Start Date]],6),IF(Main[[#This Row],[Class]]="A",WORKDAY(Main[[#This Row],[Tech Start Date]],2),""))))</f>
        <v>40948</v>
      </c>
      <c r="N44" s="167">
        <f>IF(Main[[#This Row],[Tech Start Date]]&lt;1/1/1990,"",IF(Main[[#This Row],[Class]]="C",WORKDAY(Main[[#This Row],[Tech Start Date]],19),IF(Main[[#This Row],[Class]]="B", WORKDAY(Main[[#This Row],[Tech Start Date]],12),IF(Main[[#This Row],[Class]]="A",WORKDAY(Main[[#This Row],[Tech Start Date]],4),""))))</f>
        <v>40952</v>
      </c>
      <c r="O44" s="167">
        <f>IF(Main[[#This Row],[Tech Start Date]]&lt;1/1/1990,"",IF(Main[[#This Row],[Class]]="C",WORKDAY(Main[[#This Row],[Tech Start Date]],23),IF(Main[[#This Row],[Class]]="B", WORKDAY(Main[[#This Row],[Tech Start Date]],15),IF(Main[[#This Row],[Class]]="A",WORKDAY(Main[[#This Row],[Tech Start Date]],5),""))))</f>
        <v>40953</v>
      </c>
      <c r="P44" s="167">
        <f>IF(Main[[#This Row],[Tech Start Date]]&lt;1/1/1990,"",IF(Main[[#This Row],[Class]]="C",WORKDAY(Main[[#This Row],[Tech Start Date]],28),IF(Main[[#This Row],[Class]]="B", WORKDAY(Main[[#This Row],[Tech Start Date]],19),IF(Main[[#This Row],[Class]]="A",WORKDAY(Main[[#This Row],[Tech Start Date]],9),""))))</f>
        <v>40959</v>
      </c>
      <c r="Q44" s="160">
        <v>40984</v>
      </c>
      <c r="R44" s="160">
        <v>40973</v>
      </c>
      <c r="S44" s="157" t="s">
        <v>11</v>
      </c>
      <c r="T44" s="171" t="s">
        <v>3896</v>
      </c>
      <c r="U44" s="157" t="s">
        <v>29</v>
      </c>
      <c r="V44" s="157" t="s">
        <v>1918</v>
      </c>
      <c r="W44" s="157" t="s">
        <v>1922</v>
      </c>
      <c r="X44" s="157" t="s">
        <v>2822</v>
      </c>
      <c r="Y44" s="157" t="s">
        <v>4</v>
      </c>
      <c r="Z44" s="157" t="s">
        <v>2056</v>
      </c>
      <c r="AA44" s="153" t="s">
        <v>2822</v>
      </c>
    </row>
    <row r="45" spans="1:32" ht="18.600000000000001" customHeight="1">
      <c r="A45" s="139">
        <f>IF(priority(Main[[#This Row],[Comments]])&lt;&gt;0, priority(Main[[#This Row],[Comments]]),"")</f>
        <v>12</v>
      </c>
      <c r="B45" s="89" t="s">
        <v>2781</v>
      </c>
      <c r="C45" s="72" t="s">
        <v>2782</v>
      </c>
      <c r="D45" s="73" t="s">
        <v>3299</v>
      </c>
      <c r="E45" s="74"/>
      <c r="F45" s="74"/>
      <c r="G45" s="75" t="str">
        <f>IF(stdProdLT(Main[[#This Row],[Comments]])=0.1,"N/A",IF(stdProdLT(Main[[#This Row],[Comments]])=0,"",stdProdLT(Main[[#This Row],[Comments]])))</f>
        <v>N/A</v>
      </c>
      <c r="H45" s="76" t="str">
        <f>IF(AND(Main[[#This Row],[In Stock Date]]&lt;&gt;"",Main[[#This Row],[Revised Due Date]]&lt;&gt;""),Main[[#This Row],[In Stock Date]]-Main[[#This Row],[Revised Due Date]],"")</f>
        <v/>
      </c>
      <c r="I45" s="72" t="s">
        <v>4</v>
      </c>
      <c r="J45" s="72" t="s">
        <v>4</v>
      </c>
      <c r="K45" s="72" t="s">
        <v>4</v>
      </c>
      <c r="L45" s="74"/>
      <c r="M45" s="77" t="str">
        <f>IF(Main[[#This Row],[Tech Start Date]]&lt;1/1/1990,"",IF(Main[[#This Row],[Class]]="C",WORKDAY(Main[[#This Row],[Tech Start Date]],9),IF(Main[[#This Row],[Class]]="B", WORKDAY(Main[[#This Row],[Tech Start Date]],6),IF(Main[[#This Row],[Class]]="A",WORKDAY(Main[[#This Row],[Tech Start Date]],2),""))))</f>
        <v/>
      </c>
      <c r="N45" s="77" t="str">
        <f>IF(Main[[#This Row],[Tech Start Date]]&lt;1/1/1990,"",IF(Main[[#This Row],[Class]]="C",WORKDAY(Main[[#This Row],[Tech Start Date]],19),IF(Main[[#This Row],[Class]]="B", WORKDAY(Main[[#This Row],[Tech Start Date]],12),IF(Main[[#This Row],[Class]]="A",WORKDAY(Main[[#This Row],[Tech Start Date]],4),""))))</f>
        <v/>
      </c>
      <c r="O45" s="77" t="str">
        <f>IF(Main[[#This Row],[Tech Start Date]]&lt;1/1/1990,"",IF(Main[[#This Row],[Class]]="C",WORKDAY(Main[[#This Row],[Tech Start Date]],23),IF(Main[[#This Row],[Class]]="B", WORKDAY(Main[[#This Row],[Tech Start Date]],15),IF(Main[[#This Row],[Class]]="A",WORKDAY(Main[[#This Row],[Tech Start Date]],5),""))))</f>
        <v/>
      </c>
      <c r="P45" s="77" t="str">
        <f>IF(Main[[#This Row],[Tech Start Date]]&lt;1/1/1990,"",IF(Main[[#This Row],[Class]]="C",WORKDAY(Main[[#This Row],[Tech Start Date]],28),IF(Main[[#This Row],[Class]]="B", WORKDAY(Main[[#This Row],[Tech Start Date]],19),IF(Main[[#This Row],[Class]]="A",WORKDAY(Main[[#This Row],[Tech Start Date]],9),""))))</f>
        <v/>
      </c>
      <c r="Q45" s="74">
        <v>40903</v>
      </c>
      <c r="R45" s="74"/>
      <c r="S45" s="72" t="s">
        <v>11</v>
      </c>
      <c r="T45" s="80" t="s">
        <v>3300</v>
      </c>
      <c r="U45" s="72" t="s">
        <v>14</v>
      </c>
      <c r="V45" s="72" t="s">
        <v>1918</v>
      </c>
      <c r="W45" s="72" t="s">
        <v>1919</v>
      </c>
      <c r="X45" s="72" t="s">
        <v>2822</v>
      </c>
      <c r="Y45" s="72" t="s">
        <v>4</v>
      </c>
      <c r="Z45" s="72" t="s">
        <v>4</v>
      </c>
      <c r="AA45" s="146" t="s">
        <v>2822</v>
      </c>
    </row>
    <row r="46" spans="1:32" ht="18.600000000000001" customHeight="1">
      <c r="A46" s="155">
        <f>IF(priority(Main[[#This Row],[Comments]])&lt;&gt;0, priority(Main[[#This Row],[Comments]]),"")</f>
        <v>12</v>
      </c>
      <c r="B46" s="156" t="s">
        <v>3203</v>
      </c>
      <c r="C46" s="157" t="s">
        <v>3204</v>
      </c>
      <c r="D46" s="158" t="s">
        <v>3381</v>
      </c>
      <c r="E46" s="160">
        <v>40920.45616898148</v>
      </c>
      <c r="F46" s="160">
        <v>41105</v>
      </c>
      <c r="G46" s="162">
        <f>IF(stdProdLT(Main[[#This Row],[Comments]])=0.1,"N/A",IF(stdProdLT(Main[[#This Row],[Comments]])=0,"",stdProdLT(Main[[#This Row],[Comments]])))</f>
        <v>126</v>
      </c>
      <c r="H46" s="164">
        <f>IF(AND(Main[[#This Row],[In Stock Date]]&lt;&gt;"",Main[[#This Row],[Revised Due Date]]&lt;&gt;""),Main[[#This Row],[In Stock Date]]-Main[[#This Row],[Revised Due Date]],"")</f>
        <v>130</v>
      </c>
      <c r="I46" s="157" t="s">
        <v>914</v>
      </c>
      <c r="J46" s="157" t="s">
        <v>52</v>
      </c>
      <c r="K46" s="157" t="s">
        <v>1924</v>
      </c>
      <c r="L46" s="160">
        <v>40924</v>
      </c>
      <c r="M46" s="167">
        <f>IF(Main[[#This Row],[Tech Start Date]]&lt;1/1/1990,"",IF(Main[[#This Row],[Class]]="C",WORKDAY(Main[[#This Row],[Tech Start Date]],9),IF(Main[[#This Row],[Class]]="B", WORKDAY(Main[[#This Row],[Tech Start Date]],6),IF(Main[[#This Row],[Class]]="A",WORKDAY(Main[[#This Row],[Tech Start Date]],2),""))))</f>
        <v>40932</v>
      </c>
      <c r="N46" s="167">
        <f>IF(Main[[#This Row],[Tech Start Date]]&lt;1/1/1990,"",IF(Main[[#This Row],[Class]]="C",WORKDAY(Main[[#This Row],[Tech Start Date]],19),IF(Main[[#This Row],[Class]]="B", WORKDAY(Main[[#This Row],[Tech Start Date]],12),IF(Main[[#This Row],[Class]]="A",WORKDAY(Main[[#This Row],[Tech Start Date]],4),""))))</f>
        <v>40940</v>
      </c>
      <c r="O46" s="167">
        <f>IF(Main[[#This Row],[Tech Start Date]]&lt;1/1/1990,"",IF(Main[[#This Row],[Class]]="C",WORKDAY(Main[[#This Row],[Tech Start Date]],23),IF(Main[[#This Row],[Class]]="B", WORKDAY(Main[[#This Row],[Tech Start Date]],15),IF(Main[[#This Row],[Class]]="A",WORKDAY(Main[[#This Row],[Tech Start Date]],5),""))))</f>
        <v>40945</v>
      </c>
      <c r="P46" s="167">
        <f>IF(Main[[#This Row],[Tech Start Date]]&lt;1/1/1990,"",IF(Main[[#This Row],[Class]]="C",WORKDAY(Main[[#This Row],[Tech Start Date]],28),IF(Main[[#This Row],[Class]]="B", WORKDAY(Main[[#This Row],[Tech Start Date]],19),IF(Main[[#This Row],[Class]]="A",WORKDAY(Main[[#This Row],[Tech Start Date]],9),""))))</f>
        <v>40949</v>
      </c>
      <c r="Q46" s="160">
        <v>41105</v>
      </c>
      <c r="R46" s="160">
        <v>40975</v>
      </c>
      <c r="S46" s="157" t="s">
        <v>11</v>
      </c>
      <c r="T46" s="171" t="s">
        <v>3870</v>
      </c>
      <c r="U46" s="157" t="s">
        <v>29</v>
      </c>
      <c r="V46" s="157" t="s">
        <v>1917</v>
      </c>
      <c r="W46" s="157" t="s">
        <v>1923</v>
      </c>
      <c r="X46" s="157" t="s">
        <v>2858</v>
      </c>
      <c r="Y46" s="157" t="s">
        <v>2996</v>
      </c>
      <c r="Z46" s="157" t="s">
        <v>129</v>
      </c>
      <c r="AA46" s="153" t="s">
        <v>2858</v>
      </c>
    </row>
    <row r="47" spans="1:32" ht="18.600000000000001" customHeight="1">
      <c r="A47" s="139">
        <f>IF(priority(Main[[#This Row],[Comments]])&lt;&gt;0, priority(Main[[#This Row],[Comments]]),"")</f>
        <v>12</v>
      </c>
      <c r="B47" s="89" t="s">
        <v>3213</v>
      </c>
      <c r="C47" s="72" t="s">
        <v>3221</v>
      </c>
      <c r="D47" s="73" t="s">
        <v>3868</v>
      </c>
      <c r="E47" s="74">
        <v>40921.041666666664</v>
      </c>
      <c r="F47" s="74">
        <v>41122</v>
      </c>
      <c r="G47" s="75">
        <f>IF(stdProdLT(Main[[#This Row],[Comments]])=0.1,"N/A",IF(stdProdLT(Main[[#This Row],[Comments]])=0,"",stdProdLT(Main[[#This Row],[Comments]])))</f>
        <v>168</v>
      </c>
      <c r="H47" s="76">
        <f>IF(AND(Main[[#This Row],[In Stock Date]]&lt;&gt;"",Main[[#This Row],[Revised Due Date]]&lt;&gt;""),Main[[#This Row],[In Stock Date]]-Main[[#This Row],[Revised Due Date]],"")</f>
        <v>159</v>
      </c>
      <c r="I47" s="72" t="s">
        <v>102</v>
      </c>
      <c r="J47" s="72" t="s">
        <v>51</v>
      </c>
      <c r="K47" s="81" t="s">
        <v>1930</v>
      </c>
      <c r="L47" s="74">
        <v>40924</v>
      </c>
      <c r="M47" s="77">
        <f>IF(Main[[#This Row],[Tech Start Date]]&lt;1/1/1990,"",IF(Main[[#This Row],[Class]]="C",WORKDAY(Main[[#This Row],[Tech Start Date]],9),IF(Main[[#This Row],[Class]]="B", WORKDAY(Main[[#This Row],[Tech Start Date]],6),IF(Main[[#This Row],[Class]]="A",WORKDAY(Main[[#This Row],[Tech Start Date]],2),""))))</f>
        <v>40935</v>
      </c>
      <c r="N47" s="77">
        <f>IF(Main[[#This Row],[Tech Start Date]]&lt;1/1/1990,"",IF(Main[[#This Row],[Class]]="C",WORKDAY(Main[[#This Row],[Tech Start Date]],19),IF(Main[[#This Row],[Class]]="B", WORKDAY(Main[[#This Row],[Tech Start Date]],12),IF(Main[[#This Row],[Class]]="A",WORKDAY(Main[[#This Row],[Tech Start Date]],4),""))))</f>
        <v>40949</v>
      </c>
      <c r="O47" s="77">
        <f>IF(Main[[#This Row],[Tech Start Date]]&lt;1/1/1990,"",IF(Main[[#This Row],[Class]]="C",WORKDAY(Main[[#This Row],[Tech Start Date]],23),IF(Main[[#This Row],[Class]]="B", WORKDAY(Main[[#This Row],[Tech Start Date]],15),IF(Main[[#This Row],[Class]]="A",WORKDAY(Main[[#This Row],[Tech Start Date]],5),""))))</f>
        <v>40955</v>
      </c>
      <c r="P47" s="77">
        <f>IF(Main[[#This Row],[Tech Start Date]]&lt;1/1/1990,"",IF(Main[[#This Row],[Class]]="C",WORKDAY(Main[[#This Row],[Tech Start Date]],28),IF(Main[[#This Row],[Class]]="B", WORKDAY(Main[[#This Row],[Tech Start Date]],19),IF(Main[[#This Row],[Class]]="A",WORKDAY(Main[[#This Row],[Tech Start Date]],9),""))))</f>
        <v>40962</v>
      </c>
      <c r="Q47" s="74">
        <v>40953</v>
      </c>
      <c r="R47" s="74">
        <v>40963</v>
      </c>
      <c r="S47" s="72" t="s">
        <v>11</v>
      </c>
      <c r="T47" s="80" t="s">
        <v>3869</v>
      </c>
      <c r="U47" s="72" t="s">
        <v>29</v>
      </c>
      <c r="V47" s="72" t="s">
        <v>1920</v>
      </c>
      <c r="W47" s="72" t="s">
        <v>1923</v>
      </c>
      <c r="X47" s="72" t="s">
        <v>2854</v>
      </c>
      <c r="Y47" s="72" t="s">
        <v>2985</v>
      </c>
      <c r="Z47" s="72" t="s">
        <v>306</v>
      </c>
      <c r="AA47" s="146" t="s">
        <v>2854</v>
      </c>
    </row>
    <row r="48" spans="1:32" ht="18.600000000000001" customHeight="1">
      <c r="A48" s="155">
        <f>IF(priority(Main[[#This Row],[Comments]])&lt;&gt;0, priority(Main[[#This Row],[Comments]]),"")</f>
        <v>12</v>
      </c>
      <c r="B48" s="156" t="s">
        <v>3371</v>
      </c>
      <c r="C48" s="157" t="s">
        <v>53</v>
      </c>
      <c r="D48" s="158" t="s">
        <v>3887</v>
      </c>
      <c r="E48" s="160">
        <v>40939.469178240739</v>
      </c>
      <c r="F48" s="160">
        <v>40963</v>
      </c>
      <c r="G48" s="162" t="str">
        <f>IF(stdProdLT(Main[[#This Row],[Comments]])=0.1,"N/A",IF(stdProdLT(Main[[#This Row],[Comments]])=0,"",stdProdLT(Main[[#This Row],[Comments]])))</f>
        <v>N/A</v>
      </c>
      <c r="H48" s="164">
        <f>IF(AND(Main[[#This Row],[In Stock Date]]&lt;&gt;"",Main[[#This Row],[Revised Due Date]]&lt;&gt;""),Main[[#This Row],[In Stock Date]]-Main[[#This Row],[Revised Due Date]],"")</f>
        <v>-5</v>
      </c>
      <c r="I48" s="157" t="s">
        <v>2211</v>
      </c>
      <c r="J48" s="157" t="s">
        <v>75</v>
      </c>
      <c r="K48" s="157" t="s">
        <v>1930</v>
      </c>
      <c r="L48" s="160">
        <v>40942</v>
      </c>
      <c r="M48" s="167">
        <f>IF(Main[[#This Row],[Tech Start Date]]&lt;1/1/1990,"",IF(Main[[#This Row],[Class]]="C",WORKDAY(Main[[#This Row],[Tech Start Date]],9),IF(Main[[#This Row],[Class]]="B", WORKDAY(Main[[#This Row],[Tech Start Date]],6),IF(Main[[#This Row],[Class]]="A",WORKDAY(Main[[#This Row],[Tech Start Date]],2),""))))</f>
        <v>40955</v>
      </c>
      <c r="N48" s="167">
        <f>IF(Main[[#This Row],[Tech Start Date]]&lt;1/1/1990,"",IF(Main[[#This Row],[Class]]="C",WORKDAY(Main[[#This Row],[Tech Start Date]],19),IF(Main[[#This Row],[Class]]="B", WORKDAY(Main[[#This Row],[Tech Start Date]],12),IF(Main[[#This Row],[Class]]="A",WORKDAY(Main[[#This Row],[Tech Start Date]],4),""))))</f>
        <v>40969</v>
      </c>
      <c r="O48" s="167">
        <f>IF(Main[[#This Row],[Tech Start Date]]&lt;1/1/1990,"",IF(Main[[#This Row],[Class]]="C",WORKDAY(Main[[#This Row],[Tech Start Date]],23),IF(Main[[#This Row],[Class]]="B", WORKDAY(Main[[#This Row],[Tech Start Date]],15),IF(Main[[#This Row],[Class]]="A",WORKDAY(Main[[#This Row],[Tech Start Date]],5),""))))</f>
        <v>40975</v>
      </c>
      <c r="P48" s="167">
        <f>IF(Main[[#This Row],[Tech Start Date]]&lt;1/1/1990,"",IF(Main[[#This Row],[Class]]="C",WORKDAY(Main[[#This Row],[Tech Start Date]],28),IF(Main[[#This Row],[Class]]="B", WORKDAY(Main[[#This Row],[Tech Start Date]],19),IF(Main[[#This Row],[Class]]="A",WORKDAY(Main[[#This Row],[Tech Start Date]],9),""))))</f>
        <v>40982</v>
      </c>
      <c r="Q48" s="160"/>
      <c r="R48" s="160">
        <v>40968</v>
      </c>
      <c r="S48" s="157" t="s">
        <v>11</v>
      </c>
      <c r="T48" s="171" t="s">
        <v>3888</v>
      </c>
      <c r="U48" s="157" t="s">
        <v>29</v>
      </c>
      <c r="V48" s="157" t="s">
        <v>1918</v>
      </c>
      <c r="W48" s="157" t="s">
        <v>1919</v>
      </c>
      <c r="X48" s="157" t="s">
        <v>2822</v>
      </c>
      <c r="Y48" s="157" t="s">
        <v>4</v>
      </c>
      <c r="Z48" s="157" t="s">
        <v>2056</v>
      </c>
      <c r="AA48" s="153" t="s">
        <v>2822</v>
      </c>
    </row>
    <row r="49" spans="1:27" ht="18.600000000000001" customHeight="1">
      <c r="A49" s="139">
        <f>IF(priority(Main[[#This Row],[Comments]])&lt;&gt;0, priority(Main[[#This Row],[Comments]]),"")</f>
        <v>12.1</v>
      </c>
      <c r="B49" s="89" t="s">
        <v>3301</v>
      </c>
      <c r="C49" s="72" t="s">
        <v>3271</v>
      </c>
      <c r="D49" s="73" t="s">
        <v>3302</v>
      </c>
      <c r="E49" s="74"/>
      <c r="F49" s="74">
        <v>41091</v>
      </c>
      <c r="G49" s="75" t="str">
        <f>IF(stdProdLT(Main[[#This Row],[Comments]])=0.1,"N/A",IF(stdProdLT(Main[[#This Row],[Comments]])=0,"",stdProdLT(Main[[#This Row],[Comments]])))</f>
        <v>N/A</v>
      </c>
      <c r="H49" s="76" t="str">
        <f>IF(AND(Main[[#This Row],[In Stock Date]]&lt;&gt;"",Main[[#This Row],[Revised Due Date]]&lt;&gt;""),Main[[#This Row],[In Stock Date]]-Main[[#This Row],[Revised Due Date]],"")</f>
        <v/>
      </c>
      <c r="I49" s="72" t="s">
        <v>4</v>
      </c>
      <c r="J49" s="72" t="s">
        <v>4</v>
      </c>
      <c r="K49" s="72" t="s">
        <v>4</v>
      </c>
      <c r="L49" s="74"/>
      <c r="M49" s="77" t="str">
        <f>IF(Main[[#This Row],[Tech Start Date]]&lt;1/1/1990,"",IF(Main[[#This Row],[Class]]="C",WORKDAY(Main[[#This Row],[Tech Start Date]],9),IF(Main[[#This Row],[Class]]="B", WORKDAY(Main[[#This Row],[Tech Start Date]],6),IF(Main[[#This Row],[Class]]="A",WORKDAY(Main[[#This Row],[Tech Start Date]],2),""))))</f>
        <v/>
      </c>
      <c r="N49" s="77" t="str">
        <f>IF(Main[[#This Row],[Tech Start Date]]&lt;1/1/1990,"",IF(Main[[#This Row],[Class]]="C",WORKDAY(Main[[#This Row],[Tech Start Date]],19),IF(Main[[#This Row],[Class]]="B", WORKDAY(Main[[#This Row],[Tech Start Date]],12),IF(Main[[#This Row],[Class]]="A",WORKDAY(Main[[#This Row],[Tech Start Date]],4),""))))</f>
        <v/>
      </c>
      <c r="O49" s="77" t="str">
        <f>IF(Main[[#This Row],[Tech Start Date]]&lt;1/1/1990,"",IF(Main[[#This Row],[Class]]="C",WORKDAY(Main[[#This Row],[Tech Start Date]],23),IF(Main[[#This Row],[Class]]="B", WORKDAY(Main[[#This Row],[Tech Start Date]],15),IF(Main[[#This Row],[Class]]="A",WORKDAY(Main[[#This Row],[Tech Start Date]],5),""))))</f>
        <v/>
      </c>
      <c r="P49" s="77" t="str">
        <f>IF(Main[[#This Row],[Tech Start Date]]&lt;1/1/1990,"",IF(Main[[#This Row],[Class]]="C",WORKDAY(Main[[#This Row],[Tech Start Date]],28),IF(Main[[#This Row],[Class]]="B", WORKDAY(Main[[#This Row],[Tech Start Date]],19),IF(Main[[#This Row],[Class]]="A",WORKDAY(Main[[#This Row],[Tech Start Date]],9),""))))</f>
        <v/>
      </c>
      <c r="Q49" s="74">
        <v>40945</v>
      </c>
      <c r="R49" s="74"/>
      <c r="S49" s="72" t="s">
        <v>11</v>
      </c>
      <c r="T49" s="80" t="s">
        <v>3303</v>
      </c>
      <c r="U49" s="72" t="s">
        <v>14</v>
      </c>
      <c r="V49" s="72" t="s">
        <v>1927</v>
      </c>
      <c r="W49" s="72" t="s">
        <v>1925</v>
      </c>
      <c r="X49" s="72" t="s">
        <v>2835</v>
      </c>
      <c r="Y49" s="72" t="s">
        <v>2957</v>
      </c>
      <c r="Z49" s="72" t="s">
        <v>4</v>
      </c>
      <c r="AA49" s="146" t="s">
        <v>2835</v>
      </c>
    </row>
    <row r="50" spans="1:27" ht="18.600000000000001" customHeight="1">
      <c r="A50" s="139">
        <f>IF(priority(Main[[#This Row],[Comments]])&lt;&gt;0, priority(Main[[#This Row],[Comments]]),"")</f>
        <v>13</v>
      </c>
      <c r="B50" s="89" t="s">
        <v>3600</v>
      </c>
      <c r="C50" s="72" t="s">
        <v>31</v>
      </c>
      <c r="D50" s="73" t="s">
        <v>3601</v>
      </c>
      <c r="E50" s="74">
        <v>40953.049583333333</v>
      </c>
      <c r="F50" s="74">
        <v>40968</v>
      </c>
      <c r="G50" s="75" t="str">
        <f>IF(stdProdLT(Main[[#This Row],[Comments]])=0.1,"N/A",IF(stdProdLT(Main[[#This Row],[Comments]])=0,"",stdProdLT(Main[[#This Row],[Comments]])))</f>
        <v>N/A</v>
      </c>
      <c r="H50" s="76" t="str">
        <f>IF(AND(Main[[#This Row],[In Stock Date]]&lt;&gt;"",Main[[#This Row],[Revised Due Date]]&lt;&gt;""),Main[[#This Row],[In Stock Date]]-Main[[#This Row],[Revised Due Date]],"")</f>
        <v/>
      </c>
      <c r="I50" s="72" t="s">
        <v>948</v>
      </c>
      <c r="J50" s="72" t="s">
        <v>28</v>
      </c>
      <c r="K50" s="72" t="s">
        <v>1924</v>
      </c>
      <c r="L50" s="74"/>
      <c r="M50" s="77" t="str">
        <f>IF(Main[[#This Row],[Tech Start Date]]&lt;1/1/1990,"",IF(Main[[#This Row],[Class]]="C",WORKDAY(Main[[#This Row],[Tech Start Date]],9),IF(Main[[#This Row],[Class]]="B", WORKDAY(Main[[#This Row],[Tech Start Date]],6),IF(Main[[#This Row],[Class]]="A",WORKDAY(Main[[#This Row],[Tech Start Date]],2),""))))</f>
        <v/>
      </c>
      <c r="N50" s="77" t="str">
        <f>IF(Main[[#This Row],[Tech Start Date]]&lt;1/1/1990,"",IF(Main[[#This Row],[Class]]="C",WORKDAY(Main[[#This Row],[Tech Start Date]],19),IF(Main[[#This Row],[Class]]="B", WORKDAY(Main[[#This Row],[Tech Start Date]],12),IF(Main[[#This Row],[Class]]="A",WORKDAY(Main[[#This Row],[Tech Start Date]],4),""))))</f>
        <v/>
      </c>
      <c r="O50" s="77" t="str">
        <f>IF(Main[[#This Row],[Tech Start Date]]&lt;1/1/1990,"",IF(Main[[#This Row],[Class]]="C",WORKDAY(Main[[#This Row],[Tech Start Date]],23),IF(Main[[#This Row],[Class]]="B", WORKDAY(Main[[#This Row],[Tech Start Date]],15),IF(Main[[#This Row],[Class]]="A",WORKDAY(Main[[#This Row],[Tech Start Date]],5),""))))</f>
        <v/>
      </c>
      <c r="P50" s="77" t="str">
        <f>IF(Main[[#This Row],[Tech Start Date]]&lt;1/1/1990,"",IF(Main[[#This Row],[Class]]="C",WORKDAY(Main[[#This Row],[Tech Start Date]],28),IF(Main[[#This Row],[Class]]="B", WORKDAY(Main[[#This Row],[Tech Start Date]],19),IF(Main[[#This Row],[Class]]="A",WORKDAY(Main[[#This Row],[Tech Start Date]],9),""))))</f>
        <v/>
      </c>
      <c r="Q50" s="74">
        <v>40967</v>
      </c>
      <c r="R50" s="74"/>
      <c r="S50" s="72" t="s">
        <v>11</v>
      </c>
      <c r="T50" s="80" t="s">
        <v>3602</v>
      </c>
      <c r="U50" s="72" t="s">
        <v>7</v>
      </c>
      <c r="V50" s="72" t="s">
        <v>1918</v>
      </c>
      <c r="W50" s="72" t="s">
        <v>1922</v>
      </c>
      <c r="X50" s="72" t="s">
        <v>2841</v>
      </c>
      <c r="Y50" s="72" t="s">
        <v>4</v>
      </c>
      <c r="Z50" s="72" t="s">
        <v>2056</v>
      </c>
      <c r="AA50" s="146" t="s">
        <v>2841</v>
      </c>
    </row>
    <row r="51" spans="1:27" ht="18.600000000000001" customHeight="1">
      <c r="A51" s="139">
        <f>IF(priority(Main[[#This Row],[Comments]])&lt;&gt;0, priority(Main[[#This Row],[Comments]]),"")</f>
        <v>13</v>
      </c>
      <c r="B51" s="89" t="s">
        <v>2748</v>
      </c>
      <c r="C51" s="72" t="s">
        <v>2749</v>
      </c>
      <c r="D51" s="73" t="s">
        <v>2750</v>
      </c>
      <c r="E51" s="74"/>
      <c r="F51" s="74">
        <v>41000</v>
      </c>
      <c r="G51" s="75">
        <f>IF(stdProdLT(Main[[#This Row],[Comments]])=0.1,"N/A",IF(stdProdLT(Main[[#This Row],[Comments]])=0,"",stdProdLT(Main[[#This Row],[Comments]])))</f>
        <v>140</v>
      </c>
      <c r="H51" s="76" t="str">
        <f>IF(AND(Main[[#This Row],[In Stock Date]]&lt;&gt;"",Main[[#This Row],[Revised Due Date]]&lt;&gt;""),Main[[#This Row],[In Stock Date]]-Main[[#This Row],[Revised Due Date]],"")</f>
        <v/>
      </c>
      <c r="I51" s="72" t="s">
        <v>562</v>
      </c>
      <c r="J51" s="72" t="s">
        <v>21</v>
      </c>
      <c r="K51" s="72" t="s">
        <v>4</v>
      </c>
      <c r="L51" s="74"/>
      <c r="M51" s="77" t="str">
        <f>IF(Main[[#This Row],[Tech Start Date]]&lt;1/1/1990,"",IF(Main[[#This Row],[Class]]="C",WORKDAY(Main[[#This Row],[Tech Start Date]],9),IF(Main[[#This Row],[Class]]="B", WORKDAY(Main[[#This Row],[Tech Start Date]],6),IF(Main[[#This Row],[Class]]="A",WORKDAY(Main[[#This Row],[Tech Start Date]],2),""))))</f>
        <v/>
      </c>
      <c r="N51" s="77" t="str">
        <f>IF(Main[[#This Row],[Tech Start Date]]&lt;1/1/1990,"",IF(Main[[#This Row],[Class]]="C",WORKDAY(Main[[#This Row],[Tech Start Date]],19),IF(Main[[#This Row],[Class]]="B", WORKDAY(Main[[#This Row],[Tech Start Date]],12),IF(Main[[#This Row],[Class]]="A",WORKDAY(Main[[#This Row],[Tech Start Date]],4),""))))</f>
        <v/>
      </c>
      <c r="O51" s="77" t="str">
        <f>IF(Main[[#This Row],[Tech Start Date]]&lt;1/1/1990,"",IF(Main[[#This Row],[Class]]="C",WORKDAY(Main[[#This Row],[Tech Start Date]],23),IF(Main[[#This Row],[Class]]="B", WORKDAY(Main[[#This Row],[Tech Start Date]],15),IF(Main[[#This Row],[Class]]="A",WORKDAY(Main[[#This Row],[Tech Start Date]],5),""))))</f>
        <v/>
      </c>
      <c r="P51" s="77" t="str">
        <f>IF(Main[[#This Row],[Tech Start Date]]&lt;1/1/1990,"",IF(Main[[#This Row],[Class]]="C",WORKDAY(Main[[#This Row],[Tech Start Date]],28),IF(Main[[#This Row],[Class]]="B", WORKDAY(Main[[#This Row],[Tech Start Date]],19),IF(Main[[#This Row],[Class]]="A",WORKDAY(Main[[#This Row],[Tech Start Date]],9),""))))</f>
        <v/>
      </c>
      <c r="Q51" s="74">
        <v>40964</v>
      </c>
      <c r="R51" s="74"/>
      <c r="S51" s="72" t="s">
        <v>11</v>
      </c>
      <c r="T51" s="80" t="s">
        <v>2751</v>
      </c>
      <c r="U51" s="72" t="s">
        <v>14</v>
      </c>
      <c r="V51" s="72" t="s">
        <v>1917</v>
      </c>
      <c r="W51" s="72" t="s">
        <v>1925</v>
      </c>
      <c r="X51" s="72" t="s">
        <v>2881</v>
      </c>
      <c r="Y51" s="72" t="s">
        <v>3027</v>
      </c>
      <c r="Z51" s="72" t="s">
        <v>4</v>
      </c>
      <c r="AA51" s="146" t="s">
        <v>2881</v>
      </c>
    </row>
    <row r="52" spans="1:27" ht="18.600000000000001" customHeight="1">
      <c r="A52" s="155">
        <f>IF(priority(Main[[#This Row],[Comments]])&lt;&gt;0, priority(Main[[#This Row],[Comments]]),"")</f>
        <v>13</v>
      </c>
      <c r="B52" s="156" t="s">
        <v>3912</v>
      </c>
      <c r="C52" s="157" t="s">
        <v>506</v>
      </c>
      <c r="D52" s="158" t="s">
        <v>3913</v>
      </c>
      <c r="E52" s="160">
        <v>40952.439212962963</v>
      </c>
      <c r="F52" s="160">
        <v>40968</v>
      </c>
      <c r="G52" s="162" t="str">
        <f>IF(stdProdLT(Main[[#This Row],[Comments]])=0.1,"N/A",IF(stdProdLT(Main[[#This Row],[Comments]])=0,"",stdProdLT(Main[[#This Row],[Comments]])))</f>
        <v>N/A</v>
      </c>
      <c r="H52" s="164">
        <f>IF(AND(Main[[#This Row],[In Stock Date]]&lt;&gt;"",Main[[#This Row],[Revised Due Date]]&lt;&gt;""),Main[[#This Row],[In Stock Date]]-Main[[#This Row],[Revised Due Date]],"")</f>
        <v>-7</v>
      </c>
      <c r="I52" s="157" t="s">
        <v>939</v>
      </c>
      <c r="J52" s="157" t="s">
        <v>21</v>
      </c>
      <c r="K52" s="157" t="s">
        <v>1924</v>
      </c>
      <c r="L52" s="160">
        <v>40954</v>
      </c>
      <c r="M52" s="167">
        <f>IF(Main[[#This Row],[Tech Start Date]]&lt;1/1/1990,"",IF(Main[[#This Row],[Class]]="C",WORKDAY(Main[[#This Row],[Tech Start Date]],9),IF(Main[[#This Row],[Class]]="B", WORKDAY(Main[[#This Row],[Tech Start Date]],6),IF(Main[[#This Row],[Class]]="A",WORKDAY(Main[[#This Row],[Tech Start Date]],2),""))))</f>
        <v>40962</v>
      </c>
      <c r="N52" s="167">
        <f>IF(Main[[#This Row],[Tech Start Date]]&lt;1/1/1990,"",IF(Main[[#This Row],[Class]]="C",WORKDAY(Main[[#This Row],[Tech Start Date]],19),IF(Main[[#This Row],[Class]]="B", WORKDAY(Main[[#This Row],[Tech Start Date]],12),IF(Main[[#This Row],[Class]]="A",WORKDAY(Main[[#This Row],[Tech Start Date]],4),""))))</f>
        <v>40970</v>
      </c>
      <c r="O52" s="167">
        <f>IF(Main[[#This Row],[Tech Start Date]]&lt;1/1/1990,"",IF(Main[[#This Row],[Class]]="C",WORKDAY(Main[[#This Row],[Tech Start Date]],23),IF(Main[[#This Row],[Class]]="B", WORKDAY(Main[[#This Row],[Tech Start Date]],15),IF(Main[[#This Row],[Class]]="A",WORKDAY(Main[[#This Row],[Tech Start Date]],5),""))))</f>
        <v>40975</v>
      </c>
      <c r="P52" s="167">
        <f>IF(Main[[#This Row],[Tech Start Date]]&lt;1/1/1990,"",IF(Main[[#This Row],[Class]]="C",WORKDAY(Main[[#This Row],[Tech Start Date]],28),IF(Main[[#This Row],[Class]]="B", WORKDAY(Main[[#This Row],[Tech Start Date]],19),IF(Main[[#This Row],[Class]]="A",WORKDAY(Main[[#This Row],[Tech Start Date]],9),""))))</f>
        <v>40981</v>
      </c>
      <c r="Q52" s="160">
        <v>40956</v>
      </c>
      <c r="R52" s="160">
        <v>40975</v>
      </c>
      <c r="S52" s="157" t="s">
        <v>11</v>
      </c>
      <c r="T52" s="171" t="s">
        <v>3914</v>
      </c>
      <c r="U52" s="157" t="s">
        <v>29</v>
      </c>
      <c r="V52" s="157" t="s">
        <v>1917</v>
      </c>
      <c r="W52" s="157" t="s">
        <v>1925</v>
      </c>
      <c r="X52" s="157" t="s">
        <v>2827</v>
      </c>
      <c r="Y52" s="157" t="s">
        <v>3915</v>
      </c>
      <c r="Z52" s="157" t="s">
        <v>129</v>
      </c>
      <c r="AA52" s="153" t="s">
        <v>3425</v>
      </c>
    </row>
    <row r="53" spans="1:27" ht="18.600000000000001" customHeight="1">
      <c r="A53" s="139">
        <f>IF(priority(Main[[#This Row],[Comments]])&lt;&gt;0, priority(Main[[#This Row],[Comments]]),"")</f>
        <v>13</v>
      </c>
      <c r="B53" s="89" t="s">
        <v>1898</v>
      </c>
      <c r="C53" s="72" t="s">
        <v>817</v>
      </c>
      <c r="D53" s="73" t="s">
        <v>1966</v>
      </c>
      <c r="E53" s="74"/>
      <c r="F53" s="74">
        <v>40767</v>
      </c>
      <c r="G53" s="75" t="str">
        <f>IF(stdProdLT(Main[[#This Row],[Comments]])=0.1,"N/A",IF(stdProdLT(Main[[#This Row],[Comments]])=0,"",stdProdLT(Main[[#This Row],[Comments]])))</f>
        <v/>
      </c>
      <c r="H53" s="76">
        <f>IF(AND(Main[[#This Row],[In Stock Date]]&lt;&gt;"",Main[[#This Row],[Revised Due Date]]&lt;&gt;""),Main[[#This Row],[In Stock Date]]-Main[[#This Row],[Revised Due Date]],"")</f>
        <v>21</v>
      </c>
      <c r="I53" s="72" t="s">
        <v>943</v>
      </c>
      <c r="J53" s="72" t="s">
        <v>28</v>
      </c>
      <c r="K53" s="72" t="s">
        <v>1926</v>
      </c>
      <c r="L53" s="74">
        <v>40704</v>
      </c>
      <c r="M53" s="77">
        <f>IF(Main[[#This Row],[Tech Start Date]]&lt;1/1/1990,"",IF(Main[[#This Row],[Class]]="C",WORKDAY(Main[[#This Row],[Tech Start Date]],9),IF(Main[[#This Row],[Class]]="B", WORKDAY(Main[[#This Row],[Tech Start Date]],6),IF(Main[[#This Row],[Class]]="A",WORKDAY(Main[[#This Row],[Tech Start Date]],2),""))))</f>
        <v>40708</v>
      </c>
      <c r="N53" s="77">
        <f>IF(Main[[#This Row],[Tech Start Date]]&lt;1/1/1990,"",IF(Main[[#This Row],[Class]]="C",WORKDAY(Main[[#This Row],[Tech Start Date]],19),IF(Main[[#This Row],[Class]]="B", WORKDAY(Main[[#This Row],[Tech Start Date]],12),IF(Main[[#This Row],[Class]]="A",WORKDAY(Main[[#This Row],[Tech Start Date]],4),""))))</f>
        <v>40710</v>
      </c>
      <c r="O53" s="77">
        <f>IF(Main[[#This Row],[Tech Start Date]]&lt;1/1/1990,"",IF(Main[[#This Row],[Class]]="C",WORKDAY(Main[[#This Row],[Tech Start Date]],23),IF(Main[[#This Row],[Class]]="B", WORKDAY(Main[[#This Row],[Tech Start Date]],15),IF(Main[[#This Row],[Class]]="A",WORKDAY(Main[[#This Row],[Tech Start Date]],5),""))))</f>
        <v>40711</v>
      </c>
      <c r="P53" s="77">
        <f>IF(Main[[#This Row],[Tech Start Date]]&lt;1/1/1990,"",IF(Main[[#This Row],[Class]]="C",WORKDAY(Main[[#This Row],[Tech Start Date]],28),IF(Main[[#This Row],[Class]]="B", WORKDAY(Main[[#This Row],[Tech Start Date]],19),IF(Main[[#This Row],[Class]]="A",WORKDAY(Main[[#This Row],[Tech Start Date]],9),""))))</f>
        <v>40717</v>
      </c>
      <c r="Q53" s="74"/>
      <c r="R53" s="154">
        <v>40746</v>
      </c>
      <c r="S53" s="72" t="s">
        <v>11</v>
      </c>
      <c r="T53" s="80" t="s">
        <v>2007</v>
      </c>
      <c r="U53" s="72" t="s">
        <v>14</v>
      </c>
      <c r="V53" s="72" t="s">
        <v>1918</v>
      </c>
      <c r="W53" s="72" t="s">
        <v>1925</v>
      </c>
      <c r="X53" s="72" t="s">
        <v>2056</v>
      </c>
      <c r="Y53" s="72" t="s">
        <v>3159</v>
      </c>
      <c r="Z53" s="72" t="s">
        <v>3165</v>
      </c>
      <c r="AA53" s="146" t="s">
        <v>2056</v>
      </c>
    </row>
    <row r="54" spans="1:27" ht="18.600000000000001" customHeight="1">
      <c r="A54" s="155">
        <f>IF(priority(Main[[#This Row],[Comments]])&lt;&gt;0, priority(Main[[#This Row],[Comments]]),"")</f>
        <v>13</v>
      </c>
      <c r="B54" s="156" t="s">
        <v>3211</v>
      </c>
      <c r="C54" s="157" t="s">
        <v>3221</v>
      </c>
      <c r="D54" s="158" t="s">
        <v>3212</v>
      </c>
      <c r="E54" s="160">
        <v>40921.060983796298</v>
      </c>
      <c r="F54" s="160">
        <v>41122</v>
      </c>
      <c r="G54" s="162">
        <f>IF(stdProdLT(Main[[#This Row],[Comments]])=0.1,"N/A",IF(stdProdLT(Main[[#This Row],[Comments]])=0,"",stdProdLT(Main[[#This Row],[Comments]])))</f>
        <v>168</v>
      </c>
      <c r="H54" s="164">
        <f>IF(AND(Main[[#This Row],[In Stock Date]]&lt;&gt;"",Main[[#This Row],[Revised Due Date]]&lt;&gt;""),Main[[#This Row],[In Stock Date]]-Main[[#This Row],[Revised Due Date]],"")</f>
        <v>147</v>
      </c>
      <c r="I54" s="157" t="s">
        <v>489</v>
      </c>
      <c r="J54" s="157" t="s">
        <v>70</v>
      </c>
      <c r="K54" s="157" t="s">
        <v>1930</v>
      </c>
      <c r="L54" s="160">
        <v>40925</v>
      </c>
      <c r="M54" s="167">
        <f>IF(Main[[#This Row],[Tech Start Date]]&lt;1/1/1990,"",IF(Main[[#This Row],[Class]]="C",WORKDAY(Main[[#This Row],[Tech Start Date]],9),IF(Main[[#This Row],[Class]]="B", WORKDAY(Main[[#This Row],[Tech Start Date]],6),IF(Main[[#This Row],[Class]]="A",WORKDAY(Main[[#This Row],[Tech Start Date]],2),""))))</f>
        <v>40938</v>
      </c>
      <c r="N54" s="167">
        <f>IF(Main[[#This Row],[Tech Start Date]]&lt;1/1/1990,"",IF(Main[[#This Row],[Class]]="C",WORKDAY(Main[[#This Row],[Tech Start Date]],19),IF(Main[[#This Row],[Class]]="B", WORKDAY(Main[[#This Row],[Tech Start Date]],12),IF(Main[[#This Row],[Class]]="A",WORKDAY(Main[[#This Row],[Tech Start Date]],4),""))))</f>
        <v>40952</v>
      </c>
      <c r="O54" s="167">
        <f>IF(Main[[#This Row],[Tech Start Date]]&lt;1/1/1990,"",IF(Main[[#This Row],[Class]]="C",WORKDAY(Main[[#This Row],[Tech Start Date]],23),IF(Main[[#This Row],[Class]]="B", WORKDAY(Main[[#This Row],[Tech Start Date]],15),IF(Main[[#This Row],[Class]]="A",WORKDAY(Main[[#This Row],[Tech Start Date]],5),""))))</f>
        <v>40956</v>
      </c>
      <c r="P54" s="167">
        <f>IF(Main[[#This Row],[Tech Start Date]]&lt;1/1/1990,"",IF(Main[[#This Row],[Class]]="C",WORKDAY(Main[[#This Row],[Tech Start Date]],28),IF(Main[[#This Row],[Class]]="B", WORKDAY(Main[[#This Row],[Tech Start Date]],19),IF(Main[[#This Row],[Class]]="A",WORKDAY(Main[[#This Row],[Tech Start Date]],9),""))))</f>
        <v>40963</v>
      </c>
      <c r="Q54" s="160">
        <v>40953</v>
      </c>
      <c r="R54" s="160">
        <v>40975</v>
      </c>
      <c r="S54" s="157" t="s">
        <v>11</v>
      </c>
      <c r="T54" s="171" t="s">
        <v>3871</v>
      </c>
      <c r="U54" s="157" t="s">
        <v>29</v>
      </c>
      <c r="V54" s="157" t="s">
        <v>1920</v>
      </c>
      <c r="W54" s="157" t="s">
        <v>1923</v>
      </c>
      <c r="X54" s="157" t="s">
        <v>2854</v>
      </c>
      <c r="Y54" s="157" t="s">
        <v>2985</v>
      </c>
      <c r="Z54" s="157" t="s">
        <v>530</v>
      </c>
      <c r="AA54" s="153" t="s">
        <v>2854</v>
      </c>
    </row>
    <row r="55" spans="1:27" ht="18.600000000000001" customHeight="1">
      <c r="A55" s="139">
        <f>IF(priority(Main[[#This Row],[Comments]])&lt;&gt;0, priority(Main[[#This Row],[Comments]]),"")</f>
        <v>14</v>
      </c>
      <c r="B55" s="89" t="s">
        <v>2758</v>
      </c>
      <c r="C55" s="72" t="s">
        <v>2759</v>
      </c>
      <c r="D55" s="73" t="s">
        <v>2760</v>
      </c>
      <c r="E55" s="74"/>
      <c r="F55" s="74">
        <v>41005</v>
      </c>
      <c r="G55" s="75">
        <f>IF(stdProdLT(Main[[#This Row],[Comments]])=0.1,"N/A",IF(stdProdLT(Main[[#This Row],[Comments]])=0,"",stdProdLT(Main[[#This Row],[Comments]])))</f>
        <v>112</v>
      </c>
      <c r="H55" s="76" t="str">
        <f>IF(AND(Main[[#This Row],[In Stock Date]]&lt;&gt;"",Main[[#This Row],[Revised Due Date]]&lt;&gt;""),Main[[#This Row],[In Stock Date]]-Main[[#This Row],[Revised Due Date]],"")</f>
        <v/>
      </c>
      <c r="I55" s="72" t="s">
        <v>126</v>
      </c>
      <c r="J55" s="72" t="s">
        <v>28</v>
      </c>
      <c r="K55" s="81" t="s">
        <v>1924</v>
      </c>
      <c r="L55" s="74"/>
      <c r="M55" s="77" t="str">
        <f>IF(Main[[#This Row],[Tech Start Date]]&lt;1/1/1990,"",IF(Main[[#This Row],[Class]]="C",WORKDAY(Main[[#This Row],[Tech Start Date]],9),IF(Main[[#This Row],[Class]]="B", WORKDAY(Main[[#This Row],[Tech Start Date]],6),IF(Main[[#This Row],[Class]]="A",WORKDAY(Main[[#This Row],[Tech Start Date]],2),""))))</f>
        <v/>
      </c>
      <c r="N55" s="77" t="str">
        <f>IF(Main[[#This Row],[Tech Start Date]]&lt;1/1/1990,"",IF(Main[[#This Row],[Class]]="C",WORKDAY(Main[[#This Row],[Tech Start Date]],19),IF(Main[[#This Row],[Class]]="B", WORKDAY(Main[[#This Row],[Tech Start Date]],12),IF(Main[[#This Row],[Class]]="A",WORKDAY(Main[[#This Row],[Tech Start Date]],4),""))))</f>
        <v/>
      </c>
      <c r="O55" s="77" t="str">
        <f>IF(Main[[#This Row],[Tech Start Date]]&lt;1/1/1990,"",IF(Main[[#This Row],[Class]]="C",WORKDAY(Main[[#This Row],[Tech Start Date]],23),IF(Main[[#This Row],[Class]]="B", WORKDAY(Main[[#This Row],[Tech Start Date]],15),IF(Main[[#This Row],[Class]]="A",WORKDAY(Main[[#This Row],[Tech Start Date]],5),""))))</f>
        <v/>
      </c>
      <c r="P55" s="77" t="str">
        <f>IF(Main[[#This Row],[Tech Start Date]]&lt;1/1/1990,"",IF(Main[[#This Row],[Class]]="C",WORKDAY(Main[[#This Row],[Tech Start Date]],28),IF(Main[[#This Row],[Class]]="B", WORKDAY(Main[[#This Row],[Tech Start Date]],19),IF(Main[[#This Row],[Class]]="A",WORKDAY(Main[[#This Row],[Tech Start Date]],9),""))))</f>
        <v/>
      </c>
      <c r="Q55" s="74">
        <v>40946</v>
      </c>
      <c r="R55" s="74"/>
      <c r="S55" s="72" t="s">
        <v>11</v>
      </c>
      <c r="T55" s="80" t="s">
        <v>2761</v>
      </c>
      <c r="U55" s="72" t="s">
        <v>14</v>
      </c>
      <c r="V55" s="72" t="s">
        <v>1917</v>
      </c>
      <c r="W55" s="72" t="s">
        <v>1925</v>
      </c>
      <c r="X55" s="72" t="s">
        <v>2863</v>
      </c>
      <c r="Y55" s="72" t="s">
        <v>3004</v>
      </c>
      <c r="Z55" s="72" t="s">
        <v>914</v>
      </c>
      <c r="AA55" s="146" t="s">
        <v>2863</v>
      </c>
    </row>
    <row r="56" spans="1:27" ht="18.600000000000001" customHeight="1">
      <c r="A56" s="155">
        <f>IF(priority(Main[[#This Row],[Comments]])&lt;&gt;0, priority(Main[[#This Row],[Comments]]),"")</f>
        <v>14</v>
      </c>
      <c r="B56" s="156" t="s">
        <v>3936</v>
      </c>
      <c r="C56" s="157" t="s">
        <v>506</v>
      </c>
      <c r="D56" s="158" t="s">
        <v>3937</v>
      </c>
      <c r="E56" s="160">
        <v>40959.590081018519</v>
      </c>
      <c r="F56" s="160">
        <v>40968</v>
      </c>
      <c r="G56" s="162" t="str">
        <f>IF(stdProdLT(Main[[#This Row],[Comments]])=0.1,"N/A",IF(stdProdLT(Main[[#This Row],[Comments]])=0,"",stdProdLT(Main[[#This Row],[Comments]])))</f>
        <v>N/A</v>
      </c>
      <c r="H56" s="164">
        <f>IF(AND(Main[[#This Row],[In Stock Date]]&lt;&gt;"",Main[[#This Row],[Revised Due Date]]&lt;&gt;""),Main[[#This Row],[In Stock Date]]-Main[[#This Row],[Revised Due Date]],"")</f>
        <v>-7</v>
      </c>
      <c r="I56" s="157" t="s">
        <v>939</v>
      </c>
      <c r="J56" s="157" t="s">
        <v>28</v>
      </c>
      <c r="K56" s="157" t="s">
        <v>1924</v>
      </c>
      <c r="L56" s="160">
        <v>40959</v>
      </c>
      <c r="M56" s="167">
        <f>IF(Main[[#This Row],[Tech Start Date]]&lt;1/1/1990,"",IF(Main[[#This Row],[Class]]="C",WORKDAY(Main[[#This Row],[Tech Start Date]],9),IF(Main[[#This Row],[Class]]="B", WORKDAY(Main[[#This Row],[Tech Start Date]],6),IF(Main[[#This Row],[Class]]="A",WORKDAY(Main[[#This Row],[Tech Start Date]],2),""))))</f>
        <v>40967</v>
      </c>
      <c r="N56" s="167">
        <f>IF(Main[[#This Row],[Tech Start Date]]&lt;1/1/1990,"",IF(Main[[#This Row],[Class]]="C",WORKDAY(Main[[#This Row],[Tech Start Date]],19),IF(Main[[#This Row],[Class]]="B", WORKDAY(Main[[#This Row],[Tech Start Date]],12),IF(Main[[#This Row],[Class]]="A",WORKDAY(Main[[#This Row],[Tech Start Date]],4),""))))</f>
        <v>40975</v>
      </c>
      <c r="O56" s="167">
        <f>IF(Main[[#This Row],[Tech Start Date]]&lt;1/1/1990,"",IF(Main[[#This Row],[Class]]="C",WORKDAY(Main[[#This Row],[Tech Start Date]],23),IF(Main[[#This Row],[Class]]="B", WORKDAY(Main[[#This Row],[Tech Start Date]],15),IF(Main[[#This Row],[Class]]="A",WORKDAY(Main[[#This Row],[Tech Start Date]],5),""))))</f>
        <v>40980</v>
      </c>
      <c r="P56" s="167">
        <f>IF(Main[[#This Row],[Tech Start Date]]&lt;1/1/1990,"",IF(Main[[#This Row],[Class]]="C",WORKDAY(Main[[#This Row],[Tech Start Date]],28),IF(Main[[#This Row],[Class]]="B", WORKDAY(Main[[#This Row],[Tech Start Date]],19),IF(Main[[#This Row],[Class]]="A",WORKDAY(Main[[#This Row],[Tech Start Date]],9),""))))</f>
        <v>40984</v>
      </c>
      <c r="Q56" s="160"/>
      <c r="R56" s="160">
        <v>40975</v>
      </c>
      <c r="S56" s="157" t="s">
        <v>11</v>
      </c>
      <c r="T56" s="171" t="s">
        <v>3938</v>
      </c>
      <c r="U56" s="157" t="s">
        <v>29</v>
      </c>
      <c r="V56" s="157" t="s">
        <v>1917</v>
      </c>
      <c r="W56" s="157" t="s">
        <v>1925</v>
      </c>
      <c r="X56" s="157" t="s">
        <v>50</v>
      </c>
      <c r="Y56" s="157" t="s">
        <v>3048</v>
      </c>
      <c r="Z56" s="157" t="s">
        <v>129</v>
      </c>
      <c r="AA56" s="153" t="s">
        <v>3425</v>
      </c>
    </row>
    <row r="57" spans="1:27" ht="18.600000000000001" customHeight="1">
      <c r="A57" s="155">
        <f>IF(priority(Main[[#This Row],[Comments]])&lt;&gt;0, priority(Main[[#This Row],[Comments]]),"")</f>
        <v>14</v>
      </c>
      <c r="B57" s="156" t="s">
        <v>3207</v>
      </c>
      <c r="C57" s="157" t="s">
        <v>3221</v>
      </c>
      <c r="D57" s="158" t="s">
        <v>3208</v>
      </c>
      <c r="E57" s="160">
        <v>40921.094768518517</v>
      </c>
      <c r="F57" s="160">
        <v>41122</v>
      </c>
      <c r="G57" s="162">
        <f>IF(stdProdLT(Main[[#This Row],[Comments]])=0.1,"N/A",IF(stdProdLT(Main[[#This Row],[Comments]])=0,"",stdProdLT(Main[[#This Row],[Comments]])))</f>
        <v>168</v>
      </c>
      <c r="H57" s="164">
        <f>IF(AND(Main[[#This Row],[In Stock Date]]&lt;&gt;"",Main[[#This Row],[Revised Due Date]]&lt;&gt;""),Main[[#This Row],[In Stock Date]]-Main[[#This Row],[Revised Due Date]],"")</f>
        <v>152</v>
      </c>
      <c r="I57" s="157" t="s">
        <v>44</v>
      </c>
      <c r="J57" s="157" t="s">
        <v>70</v>
      </c>
      <c r="K57" s="157" t="s">
        <v>1930</v>
      </c>
      <c r="L57" s="160">
        <v>40925</v>
      </c>
      <c r="M57" s="167">
        <f>IF(Main[[#This Row],[Tech Start Date]]&lt;1/1/1990,"",IF(Main[[#This Row],[Class]]="C",WORKDAY(Main[[#This Row],[Tech Start Date]],9),IF(Main[[#This Row],[Class]]="B", WORKDAY(Main[[#This Row],[Tech Start Date]],6),IF(Main[[#This Row],[Class]]="A",WORKDAY(Main[[#This Row],[Tech Start Date]],2),""))))</f>
        <v>40938</v>
      </c>
      <c r="N57" s="167">
        <f>IF(Main[[#This Row],[Tech Start Date]]&lt;1/1/1990,"",IF(Main[[#This Row],[Class]]="C",WORKDAY(Main[[#This Row],[Tech Start Date]],19),IF(Main[[#This Row],[Class]]="B", WORKDAY(Main[[#This Row],[Tech Start Date]],12),IF(Main[[#This Row],[Class]]="A",WORKDAY(Main[[#This Row],[Tech Start Date]],4),""))))</f>
        <v>40952</v>
      </c>
      <c r="O57" s="167">
        <f>IF(Main[[#This Row],[Tech Start Date]]&lt;1/1/1990,"",IF(Main[[#This Row],[Class]]="C",WORKDAY(Main[[#This Row],[Tech Start Date]],23),IF(Main[[#This Row],[Class]]="B", WORKDAY(Main[[#This Row],[Tech Start Date]],15),IF(Main[[#This Row],[Class]]="A",WORKDAY(Main[[#This Row],[Tech Start Date]],5),""))))</f>
        <v>40956</v>
      </c>
      <c r="P57" s="167">
        <f>IF(Main[[#This Row],[Tech Start Date]]&lt;1/1/1990,"",IF(Main[[#This Row],[Class]]="C",WORKDAY(Main[[#This Row],[Tech Start Date]],28),IF(Main[[#This Row],[Class]]="B", WORKDAY(Main[[#This Row],[Tech Start Date]],19),IF(Main[[#This Row],[Class]]="A",WORKDAY(Main[[#This Row],[Tech Start Date]],9),""))))</f>
        <v>40963</v>
      </c>
      <c r="Q57" s="160">
        <v>40953</v>
      </c>
      <c r="R57" s="160">
        <v>40970</v>
      </c>
      <c r="S57" s="157" t="s">
        <v>11</v>
      </c>
      <c r="T57" s="171" t="s">
        <v>3877</v>
      </c>
      <c r="U57" s="157" t="s">
        <v>29</v>
      </c>
      <c r="V57" s="157" t="s">
        <v>1920</v>
      </c>
      <c r="W57" s="157" t="s">
        <v>1923</v>
      </c>
      <c r="X57" s="157" t="s">
        <v>2854</v>
      </c>
      <c r="Y57" s="157" t="s">
        <v>2985</v>
      </c>
      <c r="Z57" s="157" t="s">
        <v>530</v>
      </c>
      <c r="AA57" s="153" t="s">
        <v>2854</v>
      </c>
    </row>
    <row r="58" spans="1:27" ht="18.600000000000001" customHeight="1">
      <c r="A58" s="155">
        <f>IF(priority(Main[[#This Row],[Comments]])&lt;&gt;0, priority(Main[[#This Row],[Comments]]),"")</f>
        <v>14</v>
      </c>
      <c r="B58" s="156" t="s">
        <v>3577</v>
      </c>
      <c r="C58" s="157" t="s">
        <v>3578</v>
      </c>
      <c r="D58" s="158" t="s">
        <v>3891</v>
      </c>
      <c r="E58" s="160">
        <v>40945.715231481481</v>
      </c>
      <c r="F58" s="160"/>
      <c r="G58" s="162" t="str">
        <f>IF(stdProdLT(Main[[#This Row],[Comments]])=0.1,"N/A",IF(stdProdLT(Main[[#This Row],[Comments]])=0,"",stdProdLT(Main[[#This Row],[Comments]])))</f>
        <v>N/A</v>
      </c>
      <c r="H58" s="164" t="str">
        <f>IF(AND(Main[[#This Row],[In Stock Date]]&lt;&gt;"",Main[[#This Row],[Revised Due Date]]&lt;&gt;""),Main[[#This Row],[In Stock Date]]-Main[[#This Row],[Revised Due Date]],"")</f>
        <v/>
      </c>
      <c r="I58" s="157" t="s">
        <v>942</v>
      </c>
      <c r="J58" s="157" t="s">
        <v>28</v>
      </c>
      <c r="K58" s="157" t="s">
        <v>1924</v>
      </c>
      <c r="L58" s="160">
        <v>40946</v>
      </c>
      <c r="M58" s="167">
        <f>IF(Main[[#This Row],[Tech Start Date]]&lt;1/1/1990,"",IF(Main[[#This Row],[Class]]="C",WORKDAY(Main[[#This Row],[Tech Start Date]],9),IF(Main[[#This Row],[Class]]="B", WORKDAY(Main[[#This Row],[Tech Start Date]],6),IF(Main[[#This Row],[Class]]="A",WORKDAY(Main[[#This Row],[Tech Start Date]],2),""))))</f>
        <v>40954</v>
      </c>
      <c r="N58" s="167">
        <f>IF(Main[[#This Row],[Tech Start Date]]&lt;1/1/1990,"",IF(Main[[#This Row],[Class]]="C",WORKDAY(Main[[#This Row],[Tech Start Date]],19),IF(Main[[#This Row],[Class]]="B", WORKDAY(Main[[#This Row],[Tech Start Date]],12),IF(Main[[#This Row],[Class]]="A",WORKDAY(Main[[#This Row],[Tech Start Date]],4),""))))</f>
        <v>40962</v>
      </c>
      <c r="O58" s="167">
        <f>IF(Main[[#This Row],[Tech Start Date]]&lt;1/1/1990,"",IF(Main[[#This Row],[Class]]="C",WORKDAY(Main[[#This Row],[Tech Start Date]],23),IF(Main[[#This Row],[Class]]="B", WORKDAY(Main[[#This Row],[Tech Start Date]],15),IF(Main[[#This Row],[Class]]="A",WORKDAY(Main[[#This Row],[Tech Start Date]],5),""))))</f>
        <v>40967</v>
      </c>
      <c r="P58" s="167">
        <f>IF(Main[[#This Row],[Tech Start Date]]&lt;1/1/1990,"",IF(Main[[#This Row],[Class]]="C",WORKDAY(Main[[#This Row],[Tech Start Date]],28),IF(Main[[#This Row],[Class]]="B", WORKDAY(Main[[#This Row],[Tech Start Date]],19),IF(Main[[#This Row],[Class]]="A",WORKDAY(Main[[#This Row],[Tech Start Date]],9),""))))</f>
        <v>40973</v>
      </c>
      <c r="Q58" s="160">
        <v>40952</v>
      </c>
      <c r="R58" s="160">
        <v>40973</v>
      </c>
      <c r="S58" s="157" t="s">
        <v>11</v>
      </c>
      <c r="T58" s="171" t="s">
        <v>3892</v>
      </c>
      <c r="U58" s="157" t="s">
        <v>29</v>
      </c>
      <c r="V58" s="157" t="s">
        <v>1918</v>
      </c>
      <c r="W58" s="157" t="s">
        <v>1919</v>
      </c>
      <c r="X58" s="157" t="s">
        <v>2822</v>
      </c>
      <c r="Y58" s="157" t="s">
        <v>4</v>
      </c>
      <c r="Z58" s="157" t="s">
        <v>2056</v>
      </c>
      <c r="AA58" s="153" t="s">
        <v>2822</v>
      </c>
    </row>
    <row r="59" spans="1:27" ht="18.600000000000001" customHeight="1">
      <c r="A59" s="155">
        <f>IF(priority(Main[[#This Row],[Comments]])&lt;&gt;0, priority(Main[[#This Row],[Comments]]),"")</f>
        <v>14.1</v>
      </c>
      <c r="B59" s="156" t="s">
        <v>3973</v>
      </c>
      <c r="C59" s="157" t="s">
        <v>3967</v>
      </c>
      <c r="D59" s="158" t="s">
        <v>3974</v>
      </c>
      <c r="E59" s="160">
        <v>40967.313819444447</v>
      </c>
      <c r="F59" s="160"/>
      <c r="G59" s="162">
        <f>IF(stdProdLT(Main[[#This Row],[Comments]])=0.1,"N/A",IF(stdProdLT(Main[[#This Row],[Comments]])=0,"",stdProdLT(Main[[#This Row],[Comments]])))</f>
        <v>112</v>
      </c>
      <c r="H59" s="164" t="str">
        <f>IF(AND(Main[[#This Row],[In Stock Date]]&lt;&gt;"",Main[[#This Row],[Revised Due Date]]&lt;&gt;""),Main[[#This Row],[In Stock Date]]-Main[[#This Row],[Revised Due Date]],"")</f>
        <v/>
      </c>
      <c r="I59" s="157" t="s">
        <v>939</v>
      </c>
      <c r="J59" s="157" t="s">
        <v>28</v>
      </c>
      <c r="K59" s="157" t="s">
        <v>1926</v>
      </c>
      <c r="L59" s="160">
        <v>40967</v>
      </c>
      <c r="M59" s="167">
        <f>IF(Main[[#This Row],[Tech Start Date]]&lt;1/1/1990,"",IF(Main[[#This Row],[Class]]="C",WORKDAY(Main[[#This Row],[Tech Start Date]],9),IF(Main[[#This Row],[Class]]="B", WORKDAY(Main[[#This Row],[Tech Start Date]],6),IF(Main[[#This Row],[Class]]="A",WORKDAY(Main[[#This Row],[Tech Start Date]],2),""))))</f>
        <v>40969</v>
      </c>
      <c r="N59" s="167">
        <f>IF(Main[[#This Row],[Tech Start Date]]&lt;1/1/1990,"",IF(Main[[#This Row],[Class]]="C",WORKDAY(Main[[#This Row],[Tech Start Date]],19),IF(Main[[#This Row],[Class]]="B", WORKDAY(Main[[#This Row],[Tech Start Date]],12),IF(Main[[#This Row],[Class]]="A",WORKDAY(Main[[#This Row],[Tech Start Date]],4),""))))</f>
        <v>40973</v>
      </c>
      <c r="O59" s="167">
        <f>IF(Main[[#This Row],[Tech Start Date]]&lt;1/1/1990,"",IF(Main[[#This Row],[Class]]="C",WORKDAY(Main[[#This Row],[Tech Start Date]],23),IF(Main[[#This Row],[Class]]="B", WORKDAY(Main[[#This Row],[Tech Start Date]],15),IF(Main[[#This Row],[Class]]="A",WORKDAY(Main[[#This Row],[Tech Start Date]],5),""))))</f>
        <v>40974</v>
      </c>
      <c r="P59" s="167">
        <f>IF(Main[[#This Row],[Tech Start Date]]&lt;1/1/1990,"",IF(Main[[#This Row],[Class]]="C",WORKDAY(Main[[#This Row],[Tech Start Date]],28),IF(Main[[#This Row],[Class]]="B", WORKDAY(Main[[#This Row],[Tech Start Date]],19),IF(Main[[#This Row],[Class]]="A",WORKDAY(Main[[#This Row],[Tech Start Date]],9),""))))</f>
        <v>40980</v>
      </c>
      <c r="Q59" s="160">
        <v>40973</v>
      </c>
      <c r="R59" s="160">
        <v>40977</v>
      </c>
      <c r="S59" s="157" t="s">
        <v>11</v>
      </c>
      <c r="T59" s="171" t="s">
        <v>3975</v>
      </c>
      <c r="U59" s="157" t="s">
        <v>29</v>
      </c>
      <c r="V59" s="157" t="s">
        <v>1917</v>
      </c>
      <c r="W59" s="157" t="s">
        <v>1925</v>
      </c>
      <c r="X59" s="157" t="s">
        <v>2917</v>
      </c>
      <c r="Y59" s="157" t="s">
        <v>4</v>
      </c>
      <c r="Z59" s="157" t="s">
        <v>129</v>
      </c>
      <c r="AA59" s="153" t="s">
        <v>3970</v>
      </c>
    </row>
    <row r="60" spans="1:27" ht="18.600000000000001" customHeight="1">
      <c r="A60" s="155">
        <f>IF(priority(Main[[#This Row],[Comments]])&lt;&gt;0, priority(Main[[#This Row],[Comments]]),"")</f>
        <v>14.2</v>
      </c>
      <c r="B60" s="156" t="s">
        <v>3966</v>
      </c>
      <c r="C60" s="157" t="s">
        <v>3967</v>
      </c>
      <c r="D60" s="158" t="s">
        <v>3968</v>
      </c>
      <c r="E60" s="160">
        <v>40967.308171296296</v>
      </c>
      <c r="F60" s="160">
        <v>41050</v>
      </c>
      <c r="G60" s="162">
        <f>IF(stdProdLT(Main[[#This Row],[Comments]])=0.1,"N/A",IF(stdProdLT(Main[[#This Row],[Comments]])=0,"",stdProdLT(Main[[#This Row],[Comments]])))</f>
        <v>112</v>
      </c>
      <c r="H60" s="164">
        <f>IF(AND(Main[[#This Row],[In Stock Date]]&lt;&gt;"",Main[[#This Row],[Revised Due Date]]&lt;&gt;""),Main[[#This Row],[In Stock Date]]-Main[[#This Row],[Revised Due Date]],"")</f>
        <v>73</v>
      </c>
      <c r="I60" s="157" t="s">
        <v>562</v>
      </c>
      <c r="J60" s="157" t="s">
        <v>28</v>
      </c>
      <c r="K60" s="157" t="s">
        <v>1924</v>
      </c>
      <c r="L60" s="160">
        <v>40967</v>
      </c>
      <c r="M60" s="167">
        <f>IF(Main[[#This Row],[Tech Start Date]]&lt;1/1/1990,"",IF(Main[[#This Row],[Class]]="C",WORKDAY(Main[[#This Row],[Tech Start Date]],9),IF(Main[[#This Row],[Class]]="B", WORKDAY(Main[[#This Row],[Tech Start Date]],6),IF(Main[[#This Row],[Class]]="A",WORKDAY(Main[[#This Row],[Tech Start Date]],2),""))))</f>
        <v>40975</v>
      </c>
      <c r="N60" s="167">
        <f>IF(Main[[#This Row],[Tech Start Date]]&lt;1/1/1990,"",IF(Main[[#This Row],[Class]]="C",WORKDAY(Main[[#This Row],[Tech Start Date]],19),IF(Main[[#This Row],[Class]]="B", WORKDAY(Main[[#This Row],[Tech Start Date]],12),IF(Main[[#This Row],[Class]]="A",WORKDAY(Main[[#This Row],[Tech Start Date]],4),""))))</f>
        <v>40983</v>
      </c>
      <c r="O60" s="167">
        <f>IF(Main[[#This Row],[Tech Start Date]]&lt;1/1/1990,"",IF(Main[[#This Row],[Class]]="C",WORKDAY(Main[[#This Row],[Tech Start Date]],23),IF(Main[[#This Row],[Class]]="B", WORKDAY(Main[[#This Row],[Tech Start Date]],15),IF(Main[[#This Row],[Class]]="A",WORKDAY(Main[[#This Row],[Tech Start Date]],5),""))))</f>
        <v>40988</v>
      </c>
      <c r="P60" s="167">
        <f>IF(Main[[#This Row],[Tech Start Date]]&lt;1/1/1990,"",IF(Main[[#This Row],[Class]]="C",WORKDAY(Main[[#This Row],[Tech Start Date]],28),IF(Main[[#This Row],[Class]]="B", WORKDAY(Main[[#This Row],[Tech Start Date]],19),IF(Main[[#This Row],[Class]]="A",WORKDAY(Main[[#This Row],[Tech Start Date]],9),""))))</f>
        <v>40994</v>
      </c>
      <c r="Q60" s="160">
        <v>40973</v>
      </c>
      <c r="R60" s="160">
        <v>40977</v>
      </c>
      <c r="S60" s="157" t="s">
        <v>11</v>
      </c>
      <c r="T60" s="171" t="s">
        <v>3969</v>
      </c>
      <c r="U60" s="157" t="s">
        <v>29</v>
      </c>
      <c r="V60" s="157" t="s">
        <v>1917</v>
      </c>
      <c r="W60" s="157" t="s">
        <v>1925</v>
      </c>
      <c r="X60" s="157" t="s">
        <v>2917</v>
      </c>
      <c r="Y60" s="157" t="s">
        <v>4</v>
      </c>
      <c r="Z60" s="157" t="s">
        <v>914</v>
      </c>
      <c r="AA60" s="153" t="s">
        <v>3970</v>
      </c>
    </row>
    <row r="61" spans="1:27" ht="18.600000000000001" customHeight="1">
      <c r="A61" s="139">
        <f>IF(priority(Main[[#This Row],[Comments]])&lt;&gt;0, priority(Main[[#This Row],[Comments]]),"")</f>
        <v>14.3</v>
      </c>
      <c r="B61" s="89" t="s">
        <v>3686</v>
      </c>
      <c r="C61" s="72" t="s">
        <v>4</v>
      </c>
      <c r="D61" s="73" t="s">
        <v>3687</v>
      </c>
      <c r="E61" s="74">
        <v>40961.53570601852</v>
      </c>
      <c r="F61" s="74"/>
      <c r="G61" s="75" t="str">
        <f>IF(stdProdLT(Main[[#This Row],[Comments]])=0.1,"N/A",IF(stdProdLT(Main[[#This Row],[Comments]])=0,"",stdProdLT(Main[[#This Row],[Comments]])))</f>
        <v>N/A</v>
      </c>
      <c r="H61" s="76" t="str">
        <f>IF(AND(Main[[#This Row],[In Stock Date]]&lt;&gt;"",Main[[#This Row],[Revised Due Date]]&lt;&gt;""),Main[[#This Row],[In Stock Date]]-Main[[#This Row],[Revised Due Date]],"")</f>
        <v/>
      </c>
      <c r="I61" s="72" t="s">
        <v>4</v>
      </c>
      <c r="J61" s="72" t="s">
        <v>4</v>
      </c>
      <c r="K61" s="81" t="s">
        <v>4</v>
      </c>
      <c r="L61" s="74"/>
      <c r="M61" s="77" t="str">
        <f>IF(Main[[#This Row],[Tech Start Date]]&lt;1/1/1990,"",IF(Main[[#This Row],[Class]]="C",WORKDAY(Main[[#This Row],[Tech Start Date]],9),IF(Main[[#This Row],[Class]]="B", WORKDAY(Main[[#This Row],[Tech Start Date]],6),IF(Main[[#This Row],[Class]]="A",WORKDAY(Main[[#This Row],[Tech Start Date]],2),""))))</f>
        <v/>
      </c>
      <c r="N61" s="77" t="str">
        <f>IF(Main[[#This Row],[Tech Start Date]]&lt;1/1/1990,"",IF(Main[[#This Row],[Class]]="C",WORKDAY(Main[[#This Row],[Tech Start Date]],19),IF(Main[[#This Row],[Class]]="B", WORKDAY(Main[[#This Row],[Tech Start Date]],12),IF(Main[[#This Row],[Class]]="A",WORKDAY(Main[[#This Row],[Tech Start Date]],4),""))))</f>
        <v/>
      </c>
      <c r="O61" s="77" t="str">
        <f>IF(Main[[#This Row],[Tech Start Date]]&lt;1/1/1990,"",IF(Main[[#This Row],[Class]]="C",WORKDAY(Main[[#This Row],[Tech Start Date]],23),IF(Main[[#This Row],[Class]]="B", WORKDAY(Main[[#This Row],[Tech Start Date]],15),IF(Main[[#This Row],[Class]]="A",WORKDAY(Main[[#This Row],[Tech Start Date]],5),""))))</f>
        <v/>
      </c>
      <c r="P61" s="77" t="str">
        <f>IF(Main[[#This Row],[Tech Start Date]]&lt;1/1/1990,"",IF(Main[[#This Row],[Class]]="C",WORKDAY(Main[[#This Row],[Tech Start Date]],28),IF(Main[[#This Row],[Class]]="B", WORKDAY(Main[[#This Row],[Tech Start Date]],19),IF(Main[[#This Row],[Class]]="A",WORKDAY(Main[[#This Row],[Tech Start Date]],9),""))))</f>
        <v/>
      </c>
      <c r="Q61" s="74">
        <v>40984</v>
      </c>
      <c r="R61" s="74"/>
      <c r="S61" s="72" t="s">
        <v>11</v>
      </c>
      <c r="T61" s="80" t="s">
        <v>3688</v>
      </c>
      <c r="U61" s="72" t="s">
        <v>7</v>
      </c>
      <c r="V61" s="72" t="s">
        <v>1917</v>
      </c>
      <c r="W61" s="72" t="s">
        <v>1931</v>
      </c>
      <c r="X61" s="72" t="s">
        <v>2827</v>
      </c>
      <c r="Y61" s="72" t="s">
        <v>2942</v>
      </c>
      <c r="Z61" s="72" t="s">
        <v>4</v>
      </c>
      <c r="AA61" s="146" t="s">
        <v>2827</v>
      </c>
    </row>
    <row r="62" spans="1:27" ht="18.600000000000001" customHeight="1">
      <c r="A62" s="139">
        <f>IF(priority(Main[[#This Row],[Comments]])&lt;&gt;0, priority(Main[[#This Row],[Comments]]),"")</f>
        <v>15</v>
      </c>
      <c r="B62" s="89" t="s">
        <v>3807</v>
      </c>
      <c r="C62" s="72" t="s">
        <v>3808</v>
      </c>
      <c r="D62" s="73" t="s">
        <v>3809</v>
      </c>
      <c r="E62" s="74">
        <v>40959.336805555555</v>
      </c>
      <c r="F62" s="74">
        <v>41091</v>
      </c>
      <c r="G62" s="75">
        <f>IF(stdProdLT(Main[[#This Row],[Comments]])=0.1,"N/A",IF(stdProdLT(Main[[#This Row],[Comments]])=0,"",stdProdLT(Main[[#This Row],[Comments]])))</f>
        <v>112</v>
      </c>
      <c r="H62" s="76" t="str">
        <f>IF(AND(Main[[#This Row],[In Stock Date]]&lt;&gt;"",Main[[#This Row],[Revised Due Date]]&lt;&gt;""),Main[[#This Row],[In Stock Date]]-Main[[#This Row],[Revised Due Date]],"")</f>
        <v/>
      </c>
      <c r="I62" s="72" t="s">
        <v>4</v>
      </c>
      <c r="J62" s="72" t="s">
        <v>4</v>
      </c>
      <c r="K62" s="72" t="s">
        <v>4</v>
      </c>
      <c r="L62" s="74"/>
      <c r="M62" s="77" t="str">
        <f>IF(Main[[#This Row],[Tech Start Date]]&lt;1/1/1990,"",IF(Main[[#This Row],[Class]]="C",WORKDAY(Main[[#This Row],[Tech Start Date]],9),IF(Main[[#This Row],[Class]]="B", WORKDAY(Main[[#This Row],[Tech Start Date]],6),IF(Main[[#This Row],[Class]]="A",WORKDAY(Main[[#This Row],[Tech Start Date]],2),""))))</f>
        <v/>
      </c>
      <c r="N62" s="77" t="str">
        <f>IF(Main[[#This Row],[Tech Start Date]]&lt;1/1/1990,"",IF(Main[[#This Row],[Class]]="C",WORKDAY(Main[[#This Row],[Tech Start Date]],19),IF(Main[[#This Row],[Class]]="B", WORKDAY(Main[[#This Row],[Tech Start Date]],12),IF(Main[[#This Row],[Class]]="A",WORKDAY(Main[[#This Row],[Tech Start Date]],4),""))))</f>
        <v/>
      </c>
      <c r="O62" s="77" t="str">
        <f>IF(Main[[#This Row],[Tech Start Date]]&lt;1/1/1990,"",IF(Main[[#This Row],[Class]]="C",WORKDAY(Main[[#This Row],[Tech Start Date]],23),IF(Main[[#This Row],[Class]]="B", WORKDAY(Main[[#This Row],[Tech Start Date]],15),IF(Main[[#This Row],[Class]]="A",WORKDAY(Main[[#This Row],[Tech Start Date]],5),""))))</f>
        <v/>
      </c>
      <c r="P62" s="77" t="str">
        <f>IF(Main[[#This Row],[Tech Start Date]]&lt;1/1/1990,"",IF(Main[[#This Row],[Class]]="C",WORKDAY(Main[[#This Row],[Tech Start Date]],28),IF(Main[[#This Row],[Class]]="B", WORKDAY(Main[[#This Row],[Tech Start Date]],19),IF(Main[[#This Row],[Class]]="A",WORKDAY(Main[[#This Row],[Tech Start Date]],9),""))))</f>
        <v/>
      </c>
      <c r="Q62" s="74">
        <v>40860</v>
      </c>
      <c r="R62" s="74"/>
      <c r="S62" s="72" t="s">
        <v>11</v>
      </c>
      <c r="T62" s="80" t="s">
        <v>3810</v>
      </c>
      <c r="U62" s="72" t="s">
        <v>7</v>
      </c>
      <c r="V62" s="72" t="s">
        <v>1917</v>
      </c>
      <c r="W62" s="72" t="s">
        <v>1922</v>
      </c>
      <c r="X62" s="72" t="s">
        <v>2866</v>
      </c>
      <c r="Y62" s="72" t="s">
        <v>4</v>
      </c>
      <c r="Z62" s="72" t="s">
        <v>4</v>
      </c>
      <c r="AA62" s="146" t="s">
        <v>2866</v>
      </c>
    </row>
    <row r="63" spans="1:27" ht="18.600000000000001" customHeight="1">
      <c r="A63" s="139">
        <f>IF(priority(Main[[#This Row],[Comments]])&lt;&gt;0, priority(Main[[#This Row],[Comments]]),"")</f>
        <v>15</v>
      </c>
      <c r="B63" s="89" t="s">
        <v>1997</v>
      </c>
      <c r="C63" s="72" t="s">
        <v>53</v>
      </c>
      <c r="D63" s="73" t="s">
        <v>3830</v>
      </c>
      <c r="E63" s="74">
        <v>40735.69803240741</v>
      </c>
      <c r="F63" s="74">
        <v>40836</v>
      </c>
      <c r="G63" s="75" t="str">
        <f>IF(stdProdLT(Main[[#This Row],[Comments]])=0.1,"N/A",IF(stdProdLT(Main[[#This Row],[Comments]])=0,"",stdProdLT(Main[[#This Row],[Comments]])))</f>
        <v>N/A</v>
      </c>
      <c r="H63" s="76">
        <f>IF(AND(Main[[#This Row],[In Stock Date]]&lt;&gt;"",Main[[#This Row],[Revised Due Date]]&lt;&gt;""),Main[[#This Row],[In Stock Date]]-Main[[#This Row],[Revised Due Date]],"")</f>
        <v>-141</v>
      </c>
      <c r="I63" s="72" t="s">
        <v>943</v>
      </c>
      <c r="J63" s="72" t="s">
        <v>28</v>
      </c>
      <c r="K63" s="72" t="s">
        <v>1924</v>
      </c>
      <c r="L63" s="74">
        <v>40756</v>
      </c>
      <c r="M63" s="77">
        <f>IF(Main[[#This Row],[Tech Start Date]]&lt;1/1/1990,"",IF(Main[[#This Row],[Class]]="C",WORKDAY(Main[[#This Row],[Tech Start Date]],9),IF(Main[[#This Row],[Class]]="B", WORKDAY(Main[[#This Row],[Tech Start Date]],6),IF(Main[[#This Row],[Class]]="A",WORKDAY(Main[[#This Row],[Tech Start Date]],2),""))))</f>
        <v>40764</v>
      </c>
      <c r="N63" s="77">
        <f>IF(Main[[#This Row],[Tech Start Date]]&lt;1/1/1990,"",IF(Main[[#This Row],[Class]]="C",WORKDAY(Main[[#This Row],[Tech Start Date]],19),IF(Main[[#This Row],[Class]]="B", WORKDAY(Main[[#This Row],[Tech Start Date]],12),IF(Main[[#This Row],[Class]]="A",WORKDAY(Main[[#This Row],[Tech Start Date]],4),""))))</f>
        <v>40772</v>
      </c>
      <c r="O63" s="77">
        <f>IF(Main[[#This Row],[Tech Start Date]]&lt;1/1/1990,"",IF(Main[[#This Row],[Class]]="C",WORKDAY(Main[[#This Row],[Tech Start Date]],23),IF(Main[[#This Row],[Class]]="B", WORKDAY(Main[[#This Row],[Tech Start Date]],15),IF(Main[[#This Row],[Class]]="A",WORKDAY(Main[[#This Row],[Tech Start Date]],5),""))))</f>
        <v>40777</v>
      </c>
      <c r="P63" s="77">
        <f>IF(Main[[#This Row],[Tech Start Date]]&lt;1/1/1990,"",IF(Main[[#This Row],[Class]]="C",WORKDAY(Main[[#This Row],[Tech Start Date]],28),IF(Main[[#This Row],[Class]]="B", WORKDAY(Main[[#This Row],[Tech Start Date]],19),IF(Main[[#This Row],[Class]]="A",WORKDAY(Main[[#This Row],[Tech Start Date]],9),""))))</f>
        <v>40781</v>
      </c>
      <c r="Q63" s="74"/>
      <c r="R63" s="74">
        <v>40977</v>
      </c>
      <c r="S63" s="72" t="s">
        <v>11</v>
      </c>
      <c r="T63" s="80" t="s">
        <v>3831</v>
      </c>
      <c r="U63" s="72" t="s">
        <v>29</v>
      </c>
      <c r="V63" s="72" t="s">
        <v>1918</v>
      </c>
      <c r="W63" s="72" t="s">
        <v>1919</v>
      </c>
      <c r="X63" s="72" t="s">
        <v>2822</v>
      </c>
      <c r="Y63" s="72" t="s">
        <v>2999</v>
      </c>
      <c r="Z63" s="72" t="s">
        <v>2056</v>
      </c>
      <c r="AA63" s="146" t="s">
        <v>3486</v>
      </c>
    </row>
    <row r="64" spans="1:27" ht="18.600000000000001" customHeight="1">
      <c r="A64" s="139">
        <f>IF(priority(Main[[#This Row],[Comments]])&lt;&gt;0, priority(Main[[#This Row],[Comments]]),"")</f>
        <v>16</v>
      </c>
      <c r="B64" s="89" t="s">
        <v>2590</v>
      </c>
      <c r="C64" s="72" t="s">
        <v>3251</v>
      </c>
      <c r="D64" s="73" t="s">
        <v>3863</v>
      </c>
      <c r="E64" s="74">
        <v>40848.443101851852</v>
      </c>
      <c r="F64" s="74">
        <v>41153</v>
      </c>
      <c r="G64" s="75">
        <f>IF(stdProdLT(Main[[#This Row],[Comments]])=0.1,"N/A",IF(stdProdLT(Main[[#This Row],[Comments]])=0,"",stdProdLT(Main[[#This Row],[Comments]])))</f>
        <v>126</v>
      </c>
      <c r="H64" s="76">
        <f>IF(AND(Main[[#This Row],[In Stock Date]]&lt;&gt;"",Main[[#This Row],[Revised Due Date]]&lt;&gt;""),Main[[#This Row],[In Stock Date]]-Main[[#This Row],[Revised Due Date]],"")</f>
        <v>183</v>
      </c>
      <c r="I64" s="72" t="s">
        <v>399</v>
      </c>
      <c r="J64" s="72" t="s">
        <v>51</v>
      </c>
      <c r="K64" s="81" t="s">
        <v>1924</v>
      </c>
      <c r="L64" s="74">
        <v>40918</v>
      </c>
      <c r="M64" s="77">
        <f>IF(Main[[#This Row],[Tech Start Date]]&lt;1/1/1990,"",IF(Main[[#This Row],[Class]]="C",WORKDAY(Main[[#This Row],[Tech Start Date]],9),IF(Main[[#This Row],[Class]]="B", WORKDAY(Main[[#This Row],[Tech Start Date]],6),IF(Main[[#This Row],[Class]]="A",WORKDAY(Main[[#This Row],[Tech Start Date]],2),""))))</f>
        <v>40926</v>
      </c>
      <c r="N64" s="77">
        <f>IF(Main[[#This Row],[Tech Start Date]]&lt;1/1/1990,"",IF(Main[[#This Row],[Class]]="C",WORKDAY(Main[[#This Row],[Tech Start Date]],19),IF(Main[[#This Row],[Class]]="B", WORKDAY(Main[[#This Row],[Tech Start Date]],12),IF(Main[[#This Row],[Class]]="A",WORKDAY(Main[[#This Row],[Tech Start Date]],4),""))))</f>
        <v>40934</v>
      </c>
      <c r="O64" s="77">
        <f>IF(Main[[#This Row],[Tech Start Date]]&lt;1/1/1990,"",IF(Main[[#This Row],[Class]]="C",WORKDAY(Main[[#This Row],[Tech Start Date]],23),IF(Main[[#This Row],[Class]]="B", WORKDAY(Main[[#This Row],[Tech Start Date]],15),IF(Main[[#This Row],[Class]]="A",WORKDAY(Main[[#This Row],[Tech Start Date]],5),""))))</f>
        <v>40939</v>
      </c>
      <c r="P64" s="77">
        <f>IF(Main[[#This Row],[Tech Start Date]]&lt;1/1/1990,"",IF(Main[[#This Row],[Class]]="C",WORKDAY(Main[[#This Row],[Tech Start Date]],28),IF(Main[[#This Row],[Class]]="B", WORKDAY(Main[[#This Row],[Tech Start Date]],19),IF(Main[[#This Row],[Class]]="A",WORKDAY(Main[[#This Row],[Tech Start Date]],9),""))))</f>
        <v>40945</v>
      </c>
      <c r="Q64" s="74">
        <v>41153</v>
      </c>
      <c r="R64" s="74">
        <v>40970</v>
      </c>
      <c r="S64" s="72" t="s">
        <v>11</v>
      </c>
      <c r="T64" s="80" t="s">
        <v>3864</v>
      </c>
      <c r="U64" s="72" t="s">
        <v>29</v>
      </c>
      <c r="V64" s="72" t="s">
        <v>1917</v>
      </c>
      <c r="W64" s="72" t="s">
        <v>1923</v>
      </c>
      <c r="X64" s="72" t="s">
        <v>2915</v>
      </c>
      <c r="Y64" s="72" t="s">
        <v>2936</v>
      </c>
      <c r="Z64" s="72" t="s">
        <v>129</v>
      </c>
      <c r="AA64" s="146" t="s">
        <v>2915</v>
      </c>
    </row>
    <row r="65" spans="1:27" ht="18.600000000000001" customHeight="1">
      <c r="A65" s="155">
        <f>IF(priority(Main[[#This Row],[Comments]])&lt;&gt;0, priority(Main[[#This Row],[Comments]]),"")</f>
        <v>16</v>
      </c>
      <c r="B65" s="156" t="s">
        <v>3939</v>
      </c>
      <c r="C65" s="157" t="s">
        <v>3940</v>
      </c>
      <c r="D65" s="158" t="s">
        <v>3941</v>
      </c>
      <c r="E65" s="160">
        <v>40956.217731481483</v>
      </c>
      <c r="F65" s="160">
        <v>41105</v>
      </c>
      <c r="G65" s="162">
        <f>IF(stdProdLT(Main[[#This Row],[Comments]])=0.1,"N/A",IF(stdProdLT(Main[[#This Row],[Comments]])=0,"",stdProdLT(Main[[#This Row],[Comments]])))</f>
        <v>140</v>
      </c>
      <c r="H65" s="164">
        <f>IF(AND(Main[[#This Row],[In Stock Date]]&lt;&gt;"",Main[[#This Row],[Revised Due Date]]&lt;&gt;""),Main[[#This Row],[In Stock Date]]-Main[[#This Row],[Revised Due Date]],"")</f>
        <v>124</v>
      </c>
      <c r="I65" s="157" t="s">
        <v>130</v>
      </c>
      <c r="J65" s="157" t="s">
        <v>70</v>
      </c>
      <c r="K65" s="157" t="s">
        <v>1926</v>
      </c>
      <c r="L65" s="160">
        <v>40960</v>
      </c>
      <c r="M65" s="167">
        <f>IF(Main[[#This Row],[Tech Start Date]]&lt;1/1/1990,"",IF(Main[[#This Row],[Class]]="C",WORKDAY(Main[[#This Row],[Tech Start Date]],9),IF(Main[[#This Row],[Class]]="B", WORKDAY(Main[[#This Row],[Tech Start Date]],6),IF(Main[[#This Row],[Class]]="A",WORKDAY(Main[[#This Row],[Tech Start Date]],2),""))))</f>
        <v>40962</v>
      </c>
      <c r="N65" s="167">
        <f>IF(Main[[#This Row],[Tech Start Date]]&lt;1/1/1990,"",IF(Main[[#This Row],[Class]]="C",WORKDAY(Main[[#This Row],[Tech Start Date]],19),IF(Main[[#This Row],[Class]]="B", WORKDAY(Main[[#This Row],[Tech Start Date]],12),IF(Main[[#This Row],[Class]]="A",WORKDAY(Main[[#This Row],[Tech Start Date]],4),""))))</f>
        <v>40966</v>
      </c>
      <c r="O65" s="167">
        <f>IF(Main[[#This Row],[Tech Start Date]]&lt;1/1/1990,"",IF(Main[[#This Row],[Class]]="C",WORKDAY(Main[[#This Row],[Tech Start Date]],23),IF(Main[[#This Row],[Class]]="B", WORKDAY(Main[[#This Row],[Tech Start Date]],15),IF(Main[[#This Row],[Class]]="A",WORKDAY(Main[[#This Row],[Tech Start Date]],5),""))))</f>
        <v>40967</v>
      </c>
      <c r="P65" s="167">
        <f>IF(Main[[#This Row],[Tech Start Date]]&lt;1/1/1990,"",IF(Main[[#This Row],[Class]]="C",WORKDAY(Main[[#This Row],[Tech Start Date]],28),IF(Main[[#This Row],[Class]]="B", WORKDAY(Main[[#This Row],[Tech Start Date]],19),IF(Main[[#This Row],[Class]]="A",WORKDAY(Main[[#This Row],[Tech Start Date]],9),""))))</f>
        <v>40973</v>
      </c>
      <c r="Q65" s="160">
        <v>41000</v>
      </c>
      <c r="R65" s="160">
        <v>40981</v>
      </c>
      <c r="S65" s="157" t="s">
        <v>11</v>
      </c>
      <c r="T65" s="171" t="s">
        <v>3942</v>
      </c>
      <c r="U65" s="157" t="s">
        <v>29</v>
      </c>
      <c r="V65" s="157" t="s">
        <v>1927</v>
      </c>
      <c r="W65" s="157" t="s">
        <v>1923</v>
      </c>
      <c r="X65" s="157" t="s">
        <v>2852</v>
      </c>
      <c r="Y65" s="157" t="s">
        <v>3252</v>
      </c>
      <c r="Z65" s="157" t="s">
        <v>530</v>
      </c>
      <c r="AA65" s="153" t="s">
        <v>2852</v>
      </c>
    </row>
    <row r="66" spans="1:27" ht="18.600000000000001" customHeight="1">
      <c r="A66" s="139">
        <f>IF(priority(Main[[#This Row],[Comments]])&lt;&gt;0, priority(Main[[#This Row],[Comments]]),"")</f>
        <v>16.2</v>
      </c>
      <c r="B66" s="89" t="s">
        <v>2405</v>
      </c>
      <c r="C66" s="72" t="s">
        <v>31</v>
      </c>
      <c r="D66" s="73" t="s">
        <v>2406</v>
      </c>
      <c r="E66" s="74"/>
      <c r="F66" s="74">
        <v>41000</v>
      </c>
      <c r="G66" s="75">
        <f>IF(stdProdLT(Main[[#This Row],[Comments]])=0.1,"N/A",IF(stdProdLT(Main[[#This Row],[Comments]])=0,"",stdProdLT(Main[[#This Row],[Comments]])))</f>
        <v>140</v>
      </c>
      <c r="H66" s="76" t="str">
        <f>IF(AND(Main[[#This Row],[In Stock Date]]&lt;&gt;"",Main[[#This Row],[Revised Due Date]]&lt;&gt;""),Main[[#This Row],[In Stock Date]]-Main[[#This Row],[Revised Due Date]],"")</f>
        <v/>
      </c>
      <c r="I66" s="72" t="s">
        <v>4</v>
      </c>
      <c r="J66" s="72" t="s">
        <v>4</v>
      </c>
      <c r="K66" s="72" t="s">
        <v>4</v>
      </c>
      <c r="L66" s="74"/>
      <c r="M66" s="77" t="str">
        <f>IF(Main[[#This Row],[Tech Start Date]]&lt;1/1/1990,"",IF(Main[[#This Row],[Class]]="C",WORKDAY(Main[[#This Row],[Tech Start Date]],9),IF(Main[[#This Row],[Class]]="B", WORKDAY(Main[[#This Row],[Tech Start Date]],6),IF(Main[[#This Row],[Class]]="A",WORKDAY(Main[[#This Row],[Tech Start Date]],2),""))))</f>
        <v/>
      </c>
      <c r="N66" s="77" t="str">
        <f>IF(Main[[#This Row],[Tech Start Date]]&lt;1/1/1990,"",IF(Main[[#This Row],[Class]]="C",WORKDAY(Main[[#This Row],[Tech Start Date]],19),IF(Main[[#This Row],[Class]]="B", WORKDAY(Main[[#This Row],[Tech Start Date]],12),IF(Main[[#This Row],[Class]]="A",WORKDAY(Main[[#This Row],[Tech Start Date]],4),""))))</f>
        <v/>
      </c>
      <c r="O66" s="77" t="str">
        <f>IF(Main[[#This Row],[Tech Start Date]]&lt;1/1/1990,"",IF(Main[[#This Row],[Class]]="C",WORKDAY(Main[[#This Row],[Tech Start Date]],23),IF(Main[[#This Row],[Class]]="B", WORKDAY(Main[[#This Row],[Tech Start Date]],15),IF(Main[[#This Row],[Class]]="A",WORKDAY(Main[[#This Row],[Tech Start Date]],5),""))))</f>
        <v/>
      </c>
      <c r="P66" s="77" t="str">
        <f>IF(Main[[#This Row],[Tech Start Date]]&lt;1/1/1990,"",IF(Main[[#This Row],[Class]]="C",WORKDAY(Main[[#This Row],[Tech Start Date]],28),IF(Main[[#This Row],[Class]]="B", WORKDAY(Main[[#This Row],[Tech Start Date]],19),IF(Main[[#This Row],[Class]]="A",WORKDAY(Main[[#This Row],[Tech Start Date]],9),""))))</f>
        <v/>
      </c>
      <c r="Q66" s="74">
        <v>40916</v>
      </c>
      <c r="R66" s="74"/>
      <c r="S66" s="72" t="s">
        <v>11</v>
      </c>
      <c r="T66" s="80" t="s">
        <v>2407</v>
      </c>
      <c r="U66" s="72" t="s">
        <v>14</v>
      </c>
      <c r="V66" s="72" t="s">
        <v>1927</v>
      </c>
      <c r="W66" s="72" t="s">
        <v>1923</v>
      </c>
      <c r="X66" s="72" t="s">
        <v>2846</v>
      </c>
      <c r="Y66" s="72" t="s">
        <v>3095</v>
      </c>
      <c r="Z66" s="72" t="s">
        <v>4</v>
      </c>
      <c r="AA66" s="146" t="s">
        <v>2846</v>
      </c>
    </row>
    <row r="67" spans="1:27" ht="18.600000000000001" customHeight="1">
      <c r="A67" s="139">
        <f>IF(priority(Main[[#This Row],[Comments]])&lt;&gt;0, priority(Main[[#This Row],[Comments]]),"")</f>
        <v>17</v>
      </c>
      <c r="B67" s="89" t="s">
        <v>1224</v>
      </c>
      <c r="C67" s="72" t="s">
        <v>33</v>
      </c>
      <c r="D67" s="73" t="s">
        <v>326</v>
      </c>
      <c r="E67" s="74"/>
      <c r="F67" s="74">
        <v>40695</v>
      </c>
      <c r="G67" s="75" t="str">
        <f>IF(stdProdLT(Main[[#This Row],[Comments]])=0.1,"N/A",IF(stdProdLT(Main[[#This Row],[Comments]])=0,"",stdProdLT(Main[[#This Row],[Comments]])))</f>
        <v/>
      </c>
      <c r="H67" s="76" t="str">
        <f>IF(AND(Main[[#This Row],[In Stock Date]]&lt;&gt;"",Main[[#This Row],[Revised Due Date]]&lt;&gt;""),Main[[#This Row],[In Stock Date]]-Main[[#This Row],[Revised Due Date]],"")</f>
        <v/>
      </c>
      <c r="I67" s="72" t="s">
        <v>108</v>
      </c>
      <c r="J67" s="72" t="s">
        <v>28</v>
      </c>
      <c r="K67" s="72" t="s">
        <v>4</v>
      </c>
      <c r="L67" s="74"/>
      <c r="M67" s="77" t="str">
        <f>IF(Main[[#This Row],[Tech Start Date]]&lt;1/1/1990,"",IF(Main[[#This Row],[Class]]="C",WORKDAY(Main[[#This Row],[Tech Start Date]],9),IF(Main[[#This Row],[Class]]="B", WORKDAY(Main[[#This Row],[Tech Start Date]],6),IF(Main[[#This Row],[Class]]="A",WORKDAY(Main[[#This Row],[Tech Start Date]],2),""))))</f>
        <v/>
      </c>
      <c r="N67" s="77" t="str">
        <f>IF(Main[[#This Row],[Tech Start Date]]&lt;1/1/1990,"",IF(Main[[#This Row],[Class]]="C",WORKDAY(Main[[#This Row],[Tech Start Date]],19),IF(Main[[#This Row],[Class]]="B", WORKDAY(Main[[#This Row],[Tech Start Date]],12),IF(Main[[#This Row],[Class]]="A",WORKDAY(Main[[#This Row],[Tech Start Date]],4),""))))</f>
        <v/>
      </c>
      <c r="O67" s="77" t="str">
        <f>IF(Main[[#This Row],[Tech Start Date]]&lt;1/1/1990,"",IF(Main[[#This Row],[Class]]="C",WORKDAY(Main[[#This Row],[Tech Start Date]],23),IF(Main[[#This Row],[Class]]="B", WORKDAY(Main[[#This Row],[Tech Start Date]],15),IF(Main[[#This Row],[Class]]="A",WORKDAY(Main[[#This Row],[Tech Start Date]],5),""))))</f>
        <v/>
      </c>
      <c r="P67" s="77" t="str">
        <f>IF(Main[[#This Row],[Tech Start Date]]&lt;1/1/1990,"",IF(Main[[#This Row],[Class]]="C",WORKDAY(Main[[#This Row],[Tech Start Date]],28),IF(Main[[#This Row],[Class]]="B", WORKDAY(Main[[#This Row],[Tech Start Date]],19),IF(Main[[#This Row],[Class]]="A",WORKDAY(Main[[#This Row],[Tech Start Date]],9),""))))</f>
        <v/>
      </c>
      <c r="Q67" s="74">
        <v>40695</v>
      </c>
      <c r="R67" s="74"/>
      <c r="S67" s="72" t="s">
        <v>11</v>
      </c>
      <c r="T67" s="80" t="s">
        <v>327</v>
      </c>
      <c r="U67" s="72" t="s">
        <v>14</v>
      </c>
      <c r="V67" s="72" t="s">
        <v>1918</v>
      </c>
      <c r="W67" s="72" t="s">
        <v>1922</v>
      </c>
      <c r="X67" s="72" t="s">
        <v>2881</v>
      </c>
      <c r="Y67" s="72" t="s">
        <v>3027</v>
      </c>
      <c r="Z67" s="72" t="s">
        <v>3165</v>
      </c>
      <c r="AA67" s="146" t="s">
        <v>2881</v>
      </c>
    </row>
    <row r="68" spans="1:27" ht="18.600000000000001" customHeight="1">
      <c r="A68" s="139">
        <f>IF(priority(Main[[#This Row],[Comments]])&lt;&gt;0, priority(Main[[#This Row],[Comments]]),"")</f>
        <v>17</v>
      </c>
      <c r="B68" s="89" t="s">
        <v>2026</v>
      </c>
      <c r="C68" s="72" t="s">
        <v>2027</v>
      </c>
      <c r="D68" s="73" t="s">
        <v>2138</v>
      </c>
      <c r="E68" s="74"/>
      <c r="F68" s="74">
        <v>40752</v>
      </c>
      <c r="G68" s="75">
        <f>IF(stdProdLT(Main[[#This Row],[Comments]])=0.1,"N/A",IF(stdProdLT(Main[[#This Row],[Comments]])=0,"",stdProdLT(Main[[#This Row],[Comments]])))</f>
        <v>42</v>
      </c>
      <c r="H68" s="76">
        <f>IF(AND(Main[[#This Row],[In Stock Date]]&lt;&gt;"",Main[[#This Row],[Revised Due Date]]&lt;&gt;""),Main[[#This Row],[In Stock Date]]-Main[[#This Row],[Revised Due Date]],"")</f>
        <v>-32</v>
      </c>
      <c r="I68" s="72" t="s">
        <v>958</v>
      </c>
      <c r="J68" s="72" t="s">
        <v>28</v>
      </c>
      <c r="K68" s="72" t="s">
        <v>1924</v>
      </c>
      <c r="L68" s="74">
        <v>40745</v>
      </c>
      <c r="M68" s="77">
        <f>IF(Main[[#This Row],[Tech Start Date]]&lt;1/1/1990,"",IF(Main[[#This Row],[Class]]="C",WORKDAY(Main[[#This Row],[Tech Start Date]],9),IF(Main[[#This Row],[Class]]="B", WORKDAY(Main[[#This Row],[Tech Start Date]],6),IF(Main[[#This Row],[Class]]="A",WORKDAY(Main[[#This Row],[Tech Start Date]],2),""))))</f>
        <v>40753</v>
      </c>
      <c r="N68" s="77">
        <f>IF(Main[[#This Row],[Tech Start Date]]&lt;1/1/1990,"",IF(Main[[#This Row],[Class]]="C",WORKDAY(Main[[#This Row],[Tech Start Date]],19),IF(Main[[#This Row],[Class]]="B", WORKDAY(Main[[#This Row],[Tech Start Date]],12),IF(Main[[#This Row],[Class]]="A",WORKDAY(Main[[#This Row],[Tech Start Date]],4),""))))</f>
        <v>40763</v>
      </c>
      <c r="O68" s="77">
        <f>IF(Main[[#This Row],[Tech Start Date]]&lt;1/1/1990,"",IF(Main[[#This Row],[Class]]="C",WORKDAY(Main[[#This Row],[Tech Start Date]],23),IF(Main[[#This Row],[Class]]="B", WORKDAY(Main[[#This Row],[Tech Start Date]],15),IF(Main[[#This Row],[Class]]="A",WORKDAY(Main[[#This Row],[Tech Start Date]],5),""))))</f>
        <v>40766</v>
      </c>
      <c r="P68" s="77">
        <f>IF(Main[[#This Row],[Tech Start Date]]&lt;1/1/1990,"",IF(Main[[#This Row],[Class]]="C",WORKDAY(Main[[#This Row],[Tech Start Date]],28),IF(Main[[#This Row],[Class]]="B", WORKDAY(Main[[#This Row],[Tech Start Date]],19),IF(Main[[#This Row],[Class]]="A",WORKDAY(Main[[#This Row],[Tech Start Date]],9),""))))</f>
        <v>40772</v>
      </c>
      <c r="Q68" s="74">
        <v>40752</v>
      </c>
      <c r="R68" s="74">
        <v>40784</v>
      </c>
      <c r="S68" s="72" t="s">
        <v>11</v>
      </c>
      <c r="T68" s="80" t="s">
        <v>2139</v>
      </c>
      <c r="U68" s="72" t="s">
        <v>14</v>
      </c>
      <c r="V68" s="72" t="s">
        <v>1918</v>
      </c>
      <c r="W68" s="72" t="s">
        <v>1919</v>
      </c>
      <c r="X68" s="72" t="s">
        <v>2822</v>
      </c>
      <c r="Y68" s="72" t="s">
        <v>2934</v>
      </c>
      <c r="Z68" s="72" t="s">
        <v>2056</v>
      </c>
      <c r="AA68" s="146" t="s">
        <v>2822</v>
      </c>
    </row>
    <row r="69" spans="1:27" ht="18.600000000000001" customHeight="1">
      <c r="A69" s="155">
        <f>IF(priority(Main[[#This Row],[Comments]])&lt;&gt;0, priority(Main[[#This Row],[Comments]]),"")</f>
        <v>17</v>
      </c>
      <c r="B69" s="156" t="s">
        <v>3584</v>
      </c>
      <c r="C69" s="157" t="s">
        <v>3533</v>
      </c>
      <c r="D69" s="158" t="s">
        <v>3899</v>
      </c>
      <c r="E69" s="160">
        <v>40946.686157407406</v>
      </c>
      <c r="F69" s="160">
        <v>41122</v>
      </c>
      <c r="G69" s="162">
        <f>IF(stdProdLT(Main[[#This Row],[Comments]])=0.1,"N/A",IF(stdProdLT(Main[[#This Row],[Comments]])=0,"",stdProdLT(Main[[#This Row],[Comments]])))</f>
        <v>126</v>
      </c>
      <c r="H69" s="164">
        <f>IF(AND(Main[[#This Row],[In Stock Date]]&lt;&gt;"",Main[[#This Row],[Revised Due Date]]&lt;&gt;""),Main[[#This Row],[In Stock Date]]-Main[[#This Row],[Revised Due Date]],"")</f>
        <v>140</v>
      </c>
      <c r="I69" s="157" t="s">
        <v>914</v>
      </c>
      <c r="J69" s="157" t="s">
        <v>52</v>
      </c>
      <c r="K69" s="157" t="s">
        <v>1924</v>
      </c>
      <c r="L69" s="160">
        <v>40948</v>
      </c>
      <c r="M69" s="167">
        <f>IF(Main[[#This Row],[Tech Start Date]]&lt;1/1/1990,"",IF(Main[[#This Row],[Class]]="C",WORKDAY(Main[[#This Row],[Tech Start Date]],9),IF(Main[[#This Row],[Class]]="B", WORKDAY(Main[[#This Row],[Tech Start Date]],6),IF(Main[[#This Row],[Class]]="A",WORKDAY(Main[[#This Row],[Tech Start Date]],2),""))))</f>
        <v>40956</v>
      </c>
      <c r="N69" s="167">
        <f>IF(Main[[#This Row],[Tech Start Date]]&lt;1/1/1990,"",IF(Main[[#This Row],[Class]]="C",WORKDAY(Main[[#This Row],[Tech Start Date]],19),IF(Main[[#This Row],[Class]]="B", WORKDAY(Main[[#This Row],[Tech Start Date]],12),IF(Main[[#This Row],[Class]]="A",WORKDAY(Main[[#This Row],[Tech Start Date]],4),""))))</f>
        <v>40966</v>
      </c>
      <c r="O69" s="167">
        <f>IF(Main[[#This Row],[Tech Start Date]]&lt;1/1/1990,"",IF(Main[[#This Row],[Class]]="C",WORKDAY(Main[[#This Row],[Tech Start Date]],23),IF(Main[[#This Row],[Class]]="B", WORKDAY(Main[[#This Row],[Tech Start Date]],15),IF(Main[[#This Row],[Class]]="A",WORKDAY(Main[[#This Row],[Tech Start Date]],5),""))))</f>
        <v>40969</v>
      </c>
      <c r="P69" s="167">
        <f>IF(Main[[#This Row],[Tech Start Date]]&lt;1/1/1990,"",IF(Main[[#This Row],[Class]]="C",WORKDAY(Main[[#This Row],[Tech Start Date]],28),IF(Main[[#This Row],[Class]]="B", WORKDAY(Main[[#This Row],[Tech Start Date]],19),IF(Main[[#This Row],[Class]]="A",WORKDAY(Main[[#This Row],[Tech Start Date]],9),""))))</f>
        <v>40975</v>
      </c>
      <c r="Q69" s="160"/>
      <c r="R69" s="160">
        <v>40982</v>
      </c>
      <c r="S69" s="157" t="s">
        <v>11</v>
      </c>
      <c r="T69" s="171" t="s">
        <v>3900</v>
      </c>
      <c r="U69" s="157" t="s">
        <v>29</v>
      </c>
      <c r="V69" s="157" t="s">
        <v>1917</v>
      </c>
      <c r="W69" s="157" t="s">
        <v>1923</v>
      </c>
      <c r="X69" s="157" t="s">
        <v>2845</v>
      </c>
      <c r="Y69" s="157" t="s">
        <v>2976</v>
      </c>
      <c r="Z69" s="157" t="s">
        <v>129</v>
      </c>
      <c r="AA69" s="153" t="s">
        <v>2845</v>
      </c>
    </row>
    <row r="70" spans="1:27" ht="18.600000000000001" customHeight="1">
      <c r="A70" s="139">
        <f>IF(priority(Main[[#This Row],[Comments]])&lt;&gt;0, priority(Main[[#This Row],[Comments]]),"")</f>
        <v>17</v>
      </c>
      <c r="B70" s="89" t="s">
        <v>1164</v>
      </c>
      <c r="C70" s="72" t="s">
        <v>1969</v>
      </c>
      <c r="D70" s="73" t="s">
        <v>217</v>
      </c>
      <c r="E70" s="74"/>
      <c r="F70" s="74">
        <v>40724</v>
      </c>
      <c r="G70" s="75" t="str">
        <f>IF(stdProdLT(Main[[#This Row],[Comments]])=0.1,"N/A",IF(stdProdLT(Main[[#This Row],[Comments]])=0,"",stdProdLT(Main[[#This Row],[Comments]])))</f>
        <v/>
      </c>
      <c r="H70" s="76">
        <f>IF(AND(Main[[#This Row],[In Stock Date]]&lt;&gt;"",Main[[#This Row],[Revised Due Date]]&lt;&gt;""),Main[[#This Row],[In Stock Date]]-Main[[#This Row],[Revised Due Date]],"")</f>
        <v>-176</v>
      </c>
      <c r="I70" s="72" t="s">
        <v>944</v>
      </c>
      <c r="J70" s="72" t="s">
        <v>28</v>
      </c>
      <c r="K70" s="72" t="s">
        <v>1924</v>
      </c>
      <c r="L70" s="74">
        <v>40835</v>
      </c>
      <c r="M70" s="77">
        <f>IF(Main[[#This Row],[Tech Start Date]]&lt;1/1/1990,"",IF(Main[[#This Row],[Class]]="C",WORKDAY(Main[[#This Row],[Tech Start Date]],9),IF(Main[[#This Row],[Class]]="B", WORKDAY(Main[[#This Row],[Tech Start Date]],6),IF(Main[[#This Row],[Class]]="A",WORKDAY(Main[[#This Row],[Tech Start Date]],2),""))))</f>
        <v>40843</v>
      </c>
      <c r="N70" s="77">
        <f>IF(Main[[#This Row],[Tech Start Date]]&lt;1/1/1990,"",IF(Main[[#This Row],[Class]]="C",WORKDAY(Main[[#This Row],[Tech Start Date]],19),IF(Main[[#This Row],[Class]]="B", WORKDAY(Main[[#This Row],[Tech Start Date]],12),IF(Main[[#This Row],[Class]]="A",WORKDAY(Main[[#This Row],[Tech Start Date]],4),""))))</f>
        <v>40851</v>
      </c>
      <c r="O70" s="77">
        <f>IF(Main[[#This Row],[Tech Start Date]]&lt;1/1/1990,"",IF(Main[[#This Row],[Class]]="C",WORKDAY(Main[[#This Row],[Tech Start Date]],23),IF(Main[[#This Row],[Class]]="B", WORKDAY(Main[[#This Row],[Tech Start Date]],15),IF(Main[[#This Row],[Class]]="A",WORKDAY(Main[[#This Row],[Tech Start Date]],5),""))))</f>
        <v>40856</v>
      </c>
      <c r="P70" s="77">
        <f>IF(Main[[#This Row],[Tech Start Date]]&lt;1/1/1990,"",IF(Main[[#This Row],[Class]]="C",WORKDAY(Main[[#This Row],[Tech Start Date]],28),IF(Main[[#This Row],[Class]]="B", WORKDAY(Main[[#This Row],[Tech Start Date]],19),IF(Main[[#This Row],[Class]]="A",WORKDAY(Main[[#This Row],[Tech Start Date]],9),""))))</f>
        <v>40862</v>
      </c>
      <c r="Q70" s="74">
        <v>40724</v>
      </c>
      <c r="R70" s="74">
        <v>40900</v>
      </c>
      <c r="S70" s="72" t="s">
        <v>11</v>
      </c>
      <c r="T70" s="80" t="s">
        <v>2808</v>
      </c>
      <c r="U70" s="72" t="s">
        <v>14</v>
      </c>
      <c r="V70" s="72" t="s">
        <v>1918</v>
      </c>
      <c r="W70" s="72" t="s">
        <v>1925</v>
      </c>
      <c r="X70" s="72" t="s">
        <v>2863</v>
      </c>
      <c r="Y70" s="72" t="s">
        <v>3004</v>
      </c>
      <c r="Z70" s="72" t="s">
        <v>2056</v>
      </c>
      <c r="AA70" s="146" t="s">
        <v>2863</v>
      </c>
    </row>
    <row r="71" spans="1:27" ht="18.600000000000001" customHeight="1">
      <c r="A71" s="155">
        <f>IF(priority(Main[[#This Row],[Comments]])&lt;&gt;0, priority(Main[[#This Row],[Comments]]),"")</f>
        <v>17</v>
      </c>
      <c r="B71" s="156" t="s">
        <v>3209</v>
      </c>
      <c r="C71" s="157" t="s">
        <v>3221</v>
      </c>
      <c r="D71" s="158" t="s">
        <v>3210</v>
      </c>
      <c r="E71" s="160"/>
      <c r="F71" s="160">
        <v>41122</v>
      </c>
      <c r="G71" s="162">
        <f>IF(stdProdLT(Main[[#This Row],[Comments]])=0.1,"N/A",IF(stdProdLT(Main[[#This Row],[Comments]])=0,"",stdProdLT(Main[[#This Row],[Comments]])))</f>
        <v>168</v>
      </c>
      <c r="H71" s="164">
        <f>IF(AND(Main[[#This Row],[In Stock Date]]&lt;&gt;"",Main[[#This Row],[Revised Due Date]]&lt;&gt;""),Main[[#This Row],[In Stock Date]]-Main[[#This Row],[Revised Due Date]],"")</f>
        <v>173</v>
      </c>
      <c r="I71" s="157" t="s">
        <v>44</v>
      </c>
      <c r="J71" s="157" t="s">
        <v>28</v>
      </c>
      <c r="K71" s="157" t="s">
        <v>1930</v>
      </c>
      <c r="L71" s="160">
        <v>40925</v>
      </c>
      <c r="M71" s="167">
        <f>IF(Main[[#This Row],[Tech Start Date]]&lt;1/1/1990,"",IF(Main[[#This Row],[Class]]="C",WORKDAY(Main[[#This Row],[Tech Start Date]],9),IF(Main[[#This Row],[Class]]="B", WORKDAY(Main[[#This Row],[Tech Start Date]],6),IF(Main[[#This Row],[Class]]="A",WORKDAY(Main[[#This Row],[Tech Start Date]],2),""))))</f>
        <v>40938</v>
      </c>
      <c r="N71" s="167">
        <f>IF(Main[[#This Row],[Tech Start Date]]&lt;1/1/1990,"",IF(Main[[#This Row],[Class]]="C",WORKDAY(Main[[#This Row],[Tech Start Date]],19),IF(Main[[#This Row],[Class]]="B", WORKDAY(Main[[#This Row],[Tech Start Date]],12),IF(Main[[#This Row],[Class]]="A",WORKDAY(Main[[#This Row],[Tech Start Date]],4),""))))</f>
        <v>40952</v>
      </c>
      <c r="O71" s="167">
        <f>IF(Main[[#This Row],[Tech Start Date]]&lt;1/1/1990,"",IF(Main[[#This Row],[Class]]="C",WORKDAY(Main[[#This Row],[Tech Start Date]],23),IF(Main[[#This Row],[Class]]="B", WORKDAY(Main[[#This Row],[Tech Start Date]],15),IF(Main[[#This Row],[Class]]="A",WORKDAY(Main[[#This Row],[Tech Start Date]],5),""))))</f>
        <v>40956</v>
      </c>
      <c r="P71" s="167">
        <f>IF(Main[[#This Row],[Tech Start Date]]&lt;1/1/1990,"",IF(Main[[#This Row],[Class]]="C",WORKDAY(Main[[#This Row],[Tech Start Date]],28),IF(Main[[#This Row],[Class]]="B", WORKDAY(Main[[#This Row],[Tech Start Date]],19),IF(Main[[#This Row],[Class]]="A",WORKDAY(Main[[#This Row],[Tech Start Date]],9),""))))</f>
        <v>40963</v>
      </c>
      <c r="Q71" s="160">
        <v>40973</v>
      </c>
      <c r="R71" s="160">
        <v>40949</v>
      </c>
      <c r="S71" s="157" t="s">
        <v>11</v>
      </c>
      <c r="T71" s="171" t="s">
        <v>3876</v>
      </c>
      <c r="U71" s="157" t="s">
        <v>14</v>
      </c>
      <c r="V71" s="157" t="s">
        <v>1920</v>
      </c>
      <c r="W71" s="157" t="s">
        <v>1923</v>
      </c>
      <c r="X71" s="157" t="s">
        <v>2854</v>
      </c>
      <c r="Y71" s="157" t="s">
        <v>2985</v>
      </c>
      <c r="Z71" s="157" t="s">
        <v>530</v>
      </c>
      <c r="AA71" s="153" t="s">
        <v>2854</v>
      </c>
    </row>
    <row r="72" spans="1:27" ht="18.600000000000001" customHeight="1">
      <c r="A72" s="155">
        <f>IF(priority(Main[[#This Row],[Comments]])&lt;&gt;0, priority(Main[[#This Row],[Comments]]),"")</f>
        <v>17</v>
      </c>
      <c r="B72" s="156" t="s">
        <v>3345</v>
      </c>
      <c r="C72" s="157" t="s">
        <v>2359</v>
      </c>
      <c r="D72" s="158" t="s">
        <v>3346</v>
      </c>
      <c r="E72" s="160">
        <v>40939.118807870371</v>
      </c>
      <c r="F72" s="160">
        <v>41030</v>
      </c>
      <c r="G72" s="162">
        <f>IF(stdProdLT(Main[[#This Row],[Comments]])=0.1,"N/A",IF(stdProdLT(Main[[#This Row],[Comments]])=0,"",stdProdLT(Main[[#This Row],[Comments]])))</f>
        <v>98</v>
      </c>
      <c r="H72" s="164">
        <f>IF(AND(Main[[#This Row],[In Stock Date]]&lt;&gt;"",Main[[#This Row],[Revised Due Date]]&lt;&gt;""),Main[[#This Row],[In Stock Date]]-Main[[#This Row],[Revised Due Date]],"")</f>
        <v>47</v>
      </c>
      <c r="I72" s="157" t="s">
        <v>44</v>
      </c>
      <c r="J72" s="157" t="s">
        <v>52</v>
      </c>
      <c r="K72" s="157" t="s">
        <v>1924</v>
      </c>
      <c r="L72" s="160">
        <v>40954</v>
      </c>
      <c r="M72" s="167">
        <f>IF(Main[[#This Row],[Tech Start Date]]&lt;1/1/1990,"",IF(Main[[#This Row],[Class]]="C",WORKDAY(Main[[#This Row],[Tech Start Date]],9),IF(Main[[#This Row],[Class]]="B", WORKDAY(Main[[#This Row],[Tech Start Date]],6),IF(Main[[#This Row],[Class]]="A",WORKDAY(Main[[#This Row],[Tech Start Date]],2),""))))</f>
        <v>40962</v>
      </c>
      <c r="N72" s="167">
        <f>IF(Main[[#This Row],[Tech Start Date]]&lt;1/1/1990,"",IF(Main[[#This Row],[Class]]="C",WORKDAY(Main[[#This Row],[Tech Start Date]],19),IF(Main[[#This Row],[Class]]="B", WORKDAY(Main[[#This Row],[Tech Start Date]],12),IF(Main[[#This Row],[Class]]="A",WORKDAY(Main[[#This Row],[Tech Start Date]],4),""))))</f>
        <v>40970</v>
      </c>
      <c r="O72" s="167">
        <f>IF(Main[[#This Row],[Tech Start Date]]&lt;1/1/1990,"",IF(Main[[#This Row],[Class]]="C",WORKDAY(Main[[#This Row],[Tech Start Date]],23),IF(Main[[#This Row],[Class]]="B", WORKDAY(Main[[#This Row],[Tech Start Date]],15),IF(Main[[#This Row],[Class]]="A",WORKDAY(Main[[#This Row],[Tech Start Date]],5),""))))</f>
        <v>40975</v>
      </c>
      <c r="P72" s="167">
        <f>IF(Main[[#This Row],[Tech Start Date]]&lt;1/1/1990,"",IF(Main[[#This Row],[Class]]="C",WORKDAY(Main[[#This Row],[Tech Start Date]],28),IF(Main[[#This Row],[Class]]="B", WORKDAY(Main[[#This Row],[Tech Start Date]],19),IF(Main[[#This Row],[Class]]="A",WORKDAY(Main[[#This Row],[Tech Start Date]],9),""))))</f>
        <v>40981</v>
      </c>
      <c r="Q72" s="160">
        <v>40890</v>
      </c>
      <c r="R72" s="160">
        <v>40983</v>
      </c>
      <c r="S72" s="157" t="s">
        <v>11</v>
      </c>
      <c r="T72" s="171" t="s">
        <v>3911</v>
      </c>
      <c r="U72" s="157" t="s">
        <v>29</v>
      </c>
      <c r="V72" s="157" t="s">
        <v>1927</v>
      </c>
      <c r="W72" s="157" t="s">
        <v>1925</v>
      </c>
      <c r="X72" s="157" t="s">
        <v>2849</v>
      </c>
      <c r="Y72" s="157" t="s">
        <v>4</v>
      </c>
      <c r="Z72" s="157" t="s">
        <v>530</v>
      </c>
      <c r="AA72" s="153" t="s">
        <v>2849</v>
      </c>
    </row>
    <row r="73" spans="1:27" ht="18.600000000000001" customHeight="1">
      <c r="A73" s="139">
        <f>IF(priority(Main[[#This Row],[Comments]])&lt;&gt;0, priority(Main[[#This Row],[Comments]]),"")</f>
        <v>18</v>
      </c>
      <c r="B73" s="89" t="s">
        <v>1235</v>
      </c>
      <c r="C73" s="72" t="s">
        <v>294</v>
      </c>
      <c r="D73" s="73" t="s">
        <v>2315</v>
      </c>
      <c r="E73" s="74">
        <v>40466.671342592592</v>
      </c>
      <c r="F73" s="74"/>
      <c r="G73" s="75" t="str">
        <f>IF(stdProdLT(Main[[#This Row],[Comments]])=0.1,"N/A",IF(stdProdLT(Main[[#This Row],[Comments]])=0,"",stdProdLT(Main[[#This Row],[Comments]])))</f>
        <v/>
      </c>
      <c r="H73" s="76" t="str">
        <f>IF(AND(Main[[#This Row],[In Stock Date]]&lt;&gt;"",Main[[#This Row],[Revised Due Date]]&lt;&gt;""),Main[[#This Row],[In Stock Date]]-Main[[#This Row],[Revised Due Date]],"")</f>
        <v/>
      </c>
      <c r="I73" s="72" t="s">
        <v>4</v>
      </c>
      <c r="J73" s="72" t="s">
        <v>28</v>
      </c>
      <c r="K73" s="72" t="s">
        <v>4</v>
      </c>
      <c r="L73" s="74"/>
      <c r="M73" s="77" t="str">
        <f>IF(Main[[#This Row],[Tech Start Date]]&lt;1/1/1990,"",IF(Main[[#This Row],[Class]]="C",WORKDAY(Main[[#This Row],[Tech Start Date]],9),IF(Main[[#This Row],[Class]]="B", WORKDAY(Main[[#This Row],[Tech Start Date]],6),IF(Main[[#This Row],[Class]]="A",WORKDAY(Main[[#This Row],[Tech Start Date]],2),""))))</f>
        <v/>
      </c>
      <c r="N73" s="77" t="str">
        <f>IF(Main[[#This Row],[Tech Start Date]]&lt;1/1/1990,"",IF(Main[[#This Row],[Class]]="C",WORKDAY(Main[[#This Row],[Tech Start Date]],19),IF(Main[[#This Row],[Class]]="B", WORKDAY(Main[[#This Row],[Tech Start Date]],12),IF(Main[[#This Row],[Class]]="A",WORKDAY(Main[[#This Row],[Tech Start Date]],4),""))))</f>
        <v/>
      </c>
      <c r="O73" s="77" t="str">
        <f>IF(Main[[#This Row],[Tech Start Date]]&lt;1/1/1990,"",IF(Main[[#This Row],[Class]]="C",WORKDAY(Main[[#This Row],[Tech Start Date]],23),IF(Main[[#This Row],[Class]]="B", WORKDAY(Main[[#This Row],[Tech Start Date]],15),IF(Main[[#This Row],[Class]]="A",WORKDAY(Main[[#This Row],[Tech Start Date]],5),""))))</f>
        <v/>
      </c>
      <c r="P73" s="77" t="str">
        <f>IF(Main[[#This Row],[Tech Start Date]]&lt;1/1/1990,"",IF(Main[[#This Row],[Class]]="C",WORKDAY(Main[[#This Row],[Tech Start Date]],28),IF(Main[[#This Row],[Class]]="B", WORKDAY(Main[[#This Row],[Tech Start Date]],19),IF(Main[[#This Row],[Class]]="A",WORKDAY(Main[[#This Row],[Tech Start Date]],9),""))))</f>
        <v/>
      </c>
      <c r="Q73" s="74"/>
      <c r="R73" s="74"/>
      <c r="S73" s="72" t="s">
        <v>6</v>
      </c>
      <c r="T73" s="80" t="s">
        <v>2663</v>
      </c>
      <c r="U73" s="72" t="s">
        <v>7</v>
      </c>
      <c r="V73" s="72" t="s">
        <v>1917</v>
      </c>
      <c r="W73" s="72" t="s">
        <v>1925</v>
      </c>
      <c r="X73" s="72" t="s">
        <v>885</v>
      </c>
      <c r="Y73" s="72" t="s">
        <v>2969</v>
      </c>
      <c r="Z73" s="72" t="s">
        <v>129</v>
      </c>
      <c r="AA73" s="146" t="s">
        <v>885</v>
      </c>
    </row>
    <row r="74" spans="1:27" ht="18.600000000000001" customHeight="1">
      <c r="A74" s="139">
        <f>IF(priority(Main[[#This Row],[Comments]])&lt;&gt;0, priority(Main[[#This Row],[Comments]]),"")</f>
        <v>18</v>
      </c>
      <c r="B74" s="89" t="s">
        <v>2540</v>
      </c>
      <c r="C74" s="72" t="s">
        <v>3251</v>
      </c>
      <c r="D74" s="73" t="s">
        <v>3861</v>
      </c>
      <c r="E74" s="74">
        <v>40848.481932870367</v>
      </c>
      <c r="F74" s="74">
        <v>41153</v>
      </c>
      <c r="G74" s="75">
        <f>IF(stdProdLT(Main[[#This Row],[Comments]])=0.1,"N/A",IF(stdProdLT(Main[[#This Row],[Comments]])=0,"",stdProdLT(Main[[#This Row],[Comments]])))</f>
        <v>126</v>
      </c>
      <c r="H74" s="76">
        <f>IF(AND(Main[[#This Row],[In Stock Date]]&lt;&gt;"",Main[[#This Row],[Revised Due Date]]&lt;&gt;""),Main[[#This Row],[In Stock Date]]-Main[[#This Row],[Revised Due Date]],"")</f>
        <v>183</v>
      </c>
      <c r="I74" s="72" t="s">
        <v>399</v>
      </c>
      <c r="J74" s="72" t="s">
        <v>51</v>
      </c>
      <c r="K74" s="72" t="s">
        <v>1924</v>
      </c>
      <c r="L74" s="74">
        <v>40918</v>
      </c>
      <c r="M74" s="77">
        <f>IF(Main[[#This Row],[Tech Start Date]]&lt;1/1/1990,"",IF(Main[[#This Row],[Class]]="C",WORKDAY(Main[[#This Row],[Tech Start Date]],9),IF(Main[[#This Row],[Class]]="B", WORKDAY(Main[[#This Row],[Tech Start Date]],6),IF(Main[[#This Row],[Class]]="A",WORKDAY(Main[[#This Row],[Tech Start Date]],2),""))))</f>
        <v>40926</v>
      </c>
      <c r="N74" s="77">
        <f>IF(Main[[#This Row],[Tech Start Date]]&lt;1/1/1990,"",IF(Main[[#This Row],[Class]]="C",WORKDAY(Main[[#This Row],[Tech Start Date]],19),IF(Main[[#This Row],[Class]]="B", WORKDAY(Main[[#This Row],[Tech Start Date]],12),IF(Main[[#This Row],[Class]]="A",WORKDAY(Main[[#This Row],[Tech Start Date]],4),""))))</f>
        <v>40934</v>
      </c>
      <c r="O74" s="77">
        <f>IF(Main[[#This Row],[Tech Start Date]]&lt;1/1/1990,"",IF(Main[[#This Row],[Class]]="C",WORKDAY(Main[[#This Row],[Tech Start Date]],23),IF(Main[[#This Row],[Class]]="B", WORKDAY(Main[[#This Row],[Tech Start Date]],15),IF(Main[[#This Row],[Class]]="A",WORKDAY(Main[[#This Row],[Tech Start Date]],5),""))))</f>
        <v>40939</v>
      </c>
      <c r="P74" s="77">
        <f>IF(Main[[#This Row],[Tech Start Date]]&lt;1/1/1990,"",IF(Main[[#This Row],[Class]]="C",WORKDAY(Main[[#This Row],[Tech Start Date]],28),IF(Main[[#This Row],[Class]]="B", WORKDAY(Main[[#This Row],[Tech Start Date]],19),IF(Main[[#This Row],[Class]]="A",WORKDAY(Main[[#This Row],[Tech Start Date]],9),""))))</f>
        <v>40945</v>
      </c>
      <c r="Q74" s="74">
        <v>41153</v>
      </c>
      <c r="R74" s="74">
        <v>40970</v>
      </c>
      <c r="S74" s="72" t="s">
        <v>11</v>
      </c>
      <c r="T74" s="80" t="s">
        <v>3862</v>
      </c>
      <c r="U74" s="72" t="s">
        <v>29</v>
      </c>
      <c r="V74" s="72" t="s">
        <v>1917</v>
      </c>
      <c r="W74" s="72" t="s">
        <v>1923</v>
      </c>
      <c r="X74" s="72" t="s">
        <v>2915</v>
      </c>
      <c r="Y74" s="72" t="s">
        <v>2936</v>
      </c>
      <c r="Z74" s="72" t="s">
        <v>129</v>
      </c>
      <c r="AA74" s="146" t="s">
        <v>2915</v>
      </c>
    </row>
    <row r="75" spans="1:27" ht="18.600000000000001" customHeight="1">
      <c r="A75" s="139">
        <f>IF(priority(Main[[#This Row],[Comments]])&lt;&gt;0, priority(Main[[#This Row],[Comments]]),"")</f>
        <v>19</v>
      </c>
      <c r="B75" s="89" t="s">
        <v>1584</v>
      </c>
      <c r="C75" s="72" t="s">
        <v>122</v>
      </c>
      <c r="D75" s="73" t="s">
        <v>663</v>
      </c>
      <c r="E75" s="74"/>
      <c r="F75" s="74">
        <v>40704</v>
      </c>
      <c r="G75" s="75" t="str">
        <f>IF(stdProdLT(Main[[#This Row],[Comments]])=0.1,"N/A",IF(stdProdLT(Main[[#This Row],[Comments]])=0,"",stdProdLT(Main[[#This Row],[Comments]])))</f>
        <v/>
      </c>
      <c r="H75" s="76" t="str">
        <f>IF(AND(Main[[#This Row],[In Stock Date]]&lt;&gt;"",Main[[#This Row],[Revised Due Date]]&lt;&gt;""),Main[[#This Row],[In Stock Date]]-Main[[#This Row],[Revised Due Date]],"")</f>
        <v/>
      </c>
      <c r="I75" s="72" t="s">
        <v>4</v>
      </c>
      <c r="J75" s="72" t="s">
        <v>28</v>
      </c>
      <c r="K75" s="81" t="s">
        <v>1926</v>
      </c>
      <c r="L75" s="74"/>
      <c r="M75" s="77" t="str">
        <f>IF(Main[[#This Row],[Tech Start Date]]&lt;1/1/1990,"",IF(Main[[#This Row],[Class]]="C",WORKDAY(Main[[#This Row],[Tech Start Date]],9),IF(Main[[#This Row],[Class]]="B", WORKDAY(Main[[#This Row],[Tech Start Date]],6),IF(Main[[#This Row],[Class]]="A",WORKDAY(Main[[#This Row],[Tech Start Date]],2),""))))</f>
        <v/>
      </c>
      <c r="N75" s="77" t="str">
        <f>IF(Main[[#This Row],[Tech Start Date]]&lt;1/1/1990,"",IF(Main[[#This Row],[Class]]="C",WORKDAY(Main[[#This Row],[Tech Start Date]],19),IF(Main[[#This Row],[Class]]="B", WORKDAY(Main[[#This Row],[Tech Start Date]],12),IF(Main[[#This Row],[Class]]="A",WORKDAY(Main[[#This Row],[Tech Start Date]],4),""))))</f>
        <v/>
      </c>
      <c r="O75" s="77" t="str">
        <f>IF(Main[[#This Row],[Tech Start Date]]&lt;1/1/1990,"",IF(Main[[#This Row],[Class]]="C",WORKDAY(Main[[#This Row],[Tech Start Date]],23),IF(Main[[#This Row],[Class]]="B", WORKDAY(Main[[#This Row],[Tech Start Date]],15),IF(Main[[#This Row],[Class]]="A",WORKDAY(Main[[#This Row],[Tech Start Date]],5),""))))</f>
        <v/>
      </c>
      <c r="P75" s="77" t="str">
        <f>IF(Main[[#This Row],[Tech Start Date]]&lt;1/1/1990,"",IF(Main[[#This Row],[Class]]="C",WORKDAY(Main[[#This Row],[Tech Start Date]],28),IF(Main[[#This Row],[Class]]="B", WORKDAY(Main[[#This Row],[Tech Start Date]],19),IF(Main[[#This Row],[Class]]="A",WORKDAY(Main[[#This Row],[Tech Start Date]],9),""))))</f>
        <v/>
      </c>
      <c r="Q75" s="74">
        <v>40704</v>
      </c>
      <c r="R75" s="74"/>
      <c r="S75" s="72" t="s">
        <v>11</v>
      </c>
      <c r="T75" s="80" t="s">
        <v>1982</v>
      </c>
      <c r="U75" s="72" t="s">
        <v>14</v>
      </c>
      <c r="V75" s="72" t="s">
        <v>1917</v>
      </c>
      <c r="W75" s="72" t="s">
        <v>1919</v>
      </c>
      <c r="X75" s="72" t="s">
        <v>2858</v>
      </c>
      <c r="Y75" s="72" t="s">
        <v>2996</v>
      </c>
      <c r="Z75" s="72" t="s">
        <v>129</v>
      </c>
      <c r="AA75" s="146" t="s">
        <v>2858</v>
      </c>
    </row>
    <row r="76" spans="1:27" ht="18.600000000000001" customHeight="1">
      <c r="A76" s="155">
        <f>IF(priority(Main[[#This Row],[Comments]])&lt;&gt;0, priority(Main[[#This Row],[Comments]]),"")</f>
        <v>19</v>
      </c>
      <c r="B76" s="156" t="s">
        <v>3317</v>
      </c>
      <c r="C76" s="157" t="s">
        <v>3271</v>
      </c>
      <c r="D76" s="158" t="s">
        <v>3493</v>
      </c>
      <c r="E76" s="160">
        <v>40934.65960648148</v>
      </c>
      <c r="F76" s="160">
        <v>41065</v>
      </c>
      <c r="G76" s="162">
        <f>IF(stdProdLT(Main[[#This Row],[Comments]])=0.1,"N/A",IF(stdProdLT(Main[[#This Row],[Comments]])=0,"",stdProdLT(Main[[#This Row],[Comments]])))</f>
        <v>84</v>
      </c>
      <c r="H76" s="164">
        <f>IF(AND(Main[[#This Row],[In Stock Date]]&lt;&gt;"",Main[[#This Row],[Revised Due Date]]&lt;&gt;""),Main[[#This Row],[In Stock Date]]-Main[[#This Row],[Revised Due Date]],"")</f>
        <v>82</v>
      </c>
      <c r="I76" s="157" t="s">
        <v>896</v>
      </c>
      <c r="J76" s="157" t="s">
        <v>28</v>
      </c>
      <c r="K76" s="157" t="s">
        <v>1924</v>
      </c>
      <c r="L76" s="160">
        <v>40954</v>
      </c>
      <c r="M76" s="167">
        <f>IF(Main[[#This Row],[Tech Start Date]]&lt;1/1/1990,"",IF(Main[[#This Row],[Class]]="C",WORKDAY(Main[[#This Row],[Tech Start Date]],9),IF(Main[[#This Row],[Class]]="B", WORKDAY(Main[[#This Row],[Tech Start Date]],6),IF(Main[[#This Row],[Class]]="A",WORKDAY(Main[[#This Row],[Tech Start Date]],2),""))))</f>
        <v>40962</v>
      </c>
      <c r="N76" s="167">
        <f>IF(Main[[#This Row],[Tech Start Date]]&lt;1/1/1990,"",IF(Main[[#This Row],[Class]]="C",WORKDAY(Main[[#This Row],[Tech Start Date]],19),IF(Main[[#This Row],[Class]]="B", WORKDAY(Main[[#This Row],[Tech Start Date]],12),IF(Main[[#This Row],[Class]]="A",WORKDAY(Main[[#This Row],[Tech Start Date]],4),""))))</f>
        <v>40970</v>
      </c>
      <c r="O76" s="167">
        <f>IF(Main[[#This Row],[Tech Start Date]]&lt;1/1/1990,"",IF(Main[[#This Row],[Class]]="C",WORKDAY(Main[[#This Row],[Tech Start Date]],23),IF(Main[[#This Row],[Class]]="B", WORKDAY(Main[[#This Row],[Tech Start Date]],15),IF(Main[[#This Row],[Class]]="A",WORKDAY(Main[[#This Row],[Tech Start Date]],5),""))))</f>
        <v>40975</v>
      </c>
      <c r="P76" s="167">
        <f>IF(Main[[#This Row],[Tech Start Date]]&lt;1/1/1990,"",IF(Main[[#This Row],[Class]]="C",WORKDAY(Main[[#This Row],[Tech Start Date]],28),IF(Main[[#This Row],[Class]]="B", WORKDAY(Main[[#This Row],[Tech Start Date]],19),IF(Main[[#This Row],[Class]]="A",WORKDAY(Main[[#This Row],[Tech Start Date]],9),""))))</f>
        <v>40981</v>
      </c>
      <c r="Q76" s="160">
        <v>40983</v>
      </c>
      <c r="R76" s="160">
        <v>40983</v>
      </c>
      <c r="S76" s="157" t="s">
        <v>11</v>
      </c>
      <c r="T76" s="171" t="s">
        <v>3907</v>
      </c>
      <c r="U76" s="157" t="s">
        <v>29</v>
      </c>
      <c r="V76" s="157" t="s">
        <v>1917</v>
      </c>
      <c r="W76" s="157" t="s">
        <v>1925</v>
      </c>
      <c r="X76" s="157" t="s">
        <v>2835</v>
      </c>
      <c r="Y76" s="157" t="s">
        <v>2957</v>
      </c>
      <c r="Z76" s="157" t="s">
        <v>129</v>
      </c>
      <c r="AA76" s="153" t="s">
        <v>2835</v>
      </c>
    </row>
    <row r="77" spans="1:27" ht="18.600000000000001" customHeight="1">
      <c r="A77" s="139">
        <f>IF(priority(Main[[#This Row],[Comments]])&lt;&gt;0, priority(Main[[#This Row],[Comments]]),"")</f>
        <v>20</v>
      </c>
      <c r="B77" s="89" t="s">
        <v>1904</v>
      </c>
      <c r="C77" s="72" t="s">
        <v>954</v>
      </c>
      <c r="D77" s="73" t="s">
        <v>2040</v>
      </c>
      <c r="E77" s="74"/>
      <c r="F77" s="74"/>
      <c r="G77" s="75">
        <f>IF(stdProdLT(Main[[#This Row],[Comments]])=0.1,"N/A",IF(stdProdLT(Main[[#This Row],[Comments]])=0,"",stdProdLT(Main[[#This Row],[Comments]])))</f>
        <v>112</v>
      </c>
      <c r="H77" s="76" t="str">
        <f>IF(AND(Main[[#This Row],[In Stock Date]]&lt;&gt;"",Main[[#This Row],[Revised Due Date]]&lt;&gt;""),Main[[#This Row],[In Stock Date]]-Main[[#This Row],[Revised Due Date]],"")</f>
        <v/>
      </c>
      <c r="I77" s="72" t="s">
        <v>50</v>
      </c>
      <c r="J77" s="72" t="s">
        <v>52</v>
      </c>
      <c r="K77" s="72" t="s">
        <v>1930</v>
      </c>
      <c r="L77" s="74"/>
      <c r="M77" s="77" t="str">
        <f>IF(Main[[#This Row],[Tech Start Date]]&lt;1/1/1990,"",IF(Main[[#This Row],[Class]]="C",WORKDAY(Main[[#This Row],[Tech Start Date]],9),IF(Main[[#This Row],[Class]]="B", WORKDAY(Main[[#This Row],[Tech Start Date]],6),IF(Main[[#This Row],[Class]]="A",WORKDAY(Main[[#This Row],[Tech Start Date]],2),""))))</f>
        <v/>
      </c>
      <c r="N77" s="77" t="str">
        <f>IF(Main[[#This Row],[Tech Start Date]]&lt;1/1/1990,"",IF(Main[[#This Row],[Class]]="C",WORKDAY(Main[[#This Row],[Tech Start Date]],19),IF(Main[[#This Row],[Class]]="B", WORKDAY(Main[[#This Row],[Tech Start Date]],12),IF(Main[[#This Row],[Class]]="A",WORKDAY(Main[[#This Row],[Tech Start Date]],4),""))))</f>
        <v/>
      </c>
      <c r="O77" s="77" t="str">
        <f>IF(Main[[#This Row],[Tech Start Date]]&lt;1/1/1990,"",IF(Main[[#This Row],[Class]]="C",WORKDAY(Main[[#This Row],[Tech Start Date]],23),IF(Main[[#This Row],[Class]]="B", WORKDAY(Main[[#This Row],[Tech Start Date]],15),IF(Main[[#This Row],[Class]]="A",WORKDAY(Main[[#This Row],[Tech Start Date]],5),""))))</f>
        <v/>
      </c>
      <c r="P77" s="77" t="str">
        <f>IF(Main[[#This Row],[Tech Start Date]]&lt;1/1/1990,"",IF(Main[[#This Row],[Class]]="C",WORKDAY(Main[[#This Row],[Tech Start Date]],28),IF(Main[[#This Row],[Class]]="B", WORKDAY(Main[[#This Row],[Tech Start Date]],19),IF(Main[[#This Row],[Class]]="A",WORKDAY(Main[[#This Row],[Tech Start Date]],9),""))))</f>
        <v/>
      </c>
      <c r="Q77" s="74">
        <v>40598</v>
      </c>
      <c r="R77" s="74">
        <v>40786</v>
      </c>
      <c r="S77" s="72" t="s">
        <v>11</v>
      </c>
      <c r="T77" s="80" t="s">
        <v>2126</v>
      </c>
      <c r="U77" s="72" t="s">
        <v>14</v>
      </c>
      <c r="V77" s="72" t="s">
        <v>1918</v>
      </c>
      <c r="W77" s="72" t="s">
        <v>1919</v>
      </c>
      <c r="X77" s="72" t="s">
        <v>2822</v>
      </c>
      <c r="Y77" s="72" t="s">
        <v>2934</v>
      </c>
      <c r="Z77" s="72" t="s">
        <v>2056</v>
      </c>
      <c r="AA77" s="146" t="s">
        <v>2822</v>
      </c>
    </row>
    <row r="78" spans="1:27" ht="18.600000000000001" customHeight="1">
      <c r="A78" s="139">
        <f>IF(priority(Main[[#This Row],[Comments]])&lt;&gt;0, priority(Main[[#This Row],[Comments]]),"")</f>
        <v>20</v>
      </c>
      <c r="B78" s="89" t="s">
        <v>1956</v>
      </c>
      <c r="C78" s="72" t="s">
        <v>4</v>
      </c>
      <c r="D78" s="73" t="s">
        <v>2274</v>
      </c>
      <c r="E78" s="74">
        <v>40722.471516203703</v>
      </c>
      <c r="F78" s="74"/>
      <c r="G78" s="75" t="str">
        <f>IF(stdProdLT(Main[[#This Row],[Comments]])=0.1,"N/A",IF(stdProdLT(Main[[#This Row],[Comments]])=0,"",stdProdLT(Main[[#This Row],[Comments]])))</f>
        <v>N/A</v>
      </c>
      <c r="H78" s="76" t="str">
        <f>IF(AND(Main[[#This Row],[In Stock Date]]&lt;&gt;"",Main[[#This Row],[Revised Due Date]]&lt;&gt;""),Main[[#This Row],[In Stock Date]]-Main[[#This Row],[Revised Due Date]],"")</f>
        <v/>
      </c>
      <c r="I78" s="72" t="s">
        <v>914</v>
      </c>
      <c r="J78" s="72" t="s">
        <v>21</v>
      </c>
      <c r="K78" s="72" t="s">
        <v>1926</v>
      </c>
      <c r="L78" s="74"/>
      <c r="M78" s="77" t="str">
        <f>IF(Main[[#This Row],[Tech Start Date]]&lt;1/1/1990,"",IF(Main[[#This Row],[Class]]="C",WORKDAY(Main[[#This Row],[Tech Start Date]],9),IF(Main[[#This Row],[Class]]="B", WORKDAY(Main[[#This Row],[Tech Start Date]],6),IF(Main[[#This Row],[Class]]="A",WORKDAY(Main[[#This Row],[Tech Start Date]],2),""))))</f>
        <v/>
      </c>
      <c r="N78" s="77" t="str">
        <f>IF(Main[[#This Row],[Tech Start Date]]&lt;1/1/1990,"",IF(Main[[#This Row],[Class]]="C",WORKDAY(Main[[#This Row],[Tech Start Date]],19),IF(Main[[#This Row],[Class]]="B", WORKDAY(Main[[#This Row],[Tech Start Date]],12),IF(Main[[#This Row],[Class]]="A",WORKDAY(Main[[#This Row],[Tech Start Date]],4),""))))</f>
        <v/>
      </c>
      <c r="O78" s="77" t="str">
        <f>IF(Main[[#This Row],[Tech Start Date]]&lt;1/1/1990,"",IF(Main[[#This Row],[Class]]="C",WORKDAY(Main[[#This Row],[Tech Start Date]],23),IF(Main[[#This Row],[Class]]="B", WORKDAY(Main[[#This Row],[Tech Start Date]],15),IF(Main[[#This Row],[Class]]="A",WORKDAY(Main[[#This Row],[Tech Start Date]],5),""))))</f>
        <v/>
      </c>
      <c r="P78" s="77" t="str">
        <f>IF(Main[[#This Row],[Tech Start Date]]&lt;1/1/1990,"",IF(Main[[#This Row],[Class]]="C",WORKDAY(Main[[#This Row],[Tech Start Date]],28),IF(Main[[#This Row],[Class]]="B", WORKDAY(Main[[#This Row],[Tech Start Date]],19),IF(Main[[#This Row],[Class]]="A",WORKDAY(Main[[#This Row],[Tech Start Date]],9),""))))</f>
        <v/>
      </c>
      <c r="Q78" s="74">
        <v>40753</v>
      </c>
      <c r="R78" s="74">
        <v>40756</v>
      </c>
      <c r="S78" s="72" t="s">
        <v>6</v>
      </c>
      <c r="T78" s="80" t="s">
        <v>2662</v>
      </c>
      <c r="U78" s="72" t="s">
        <v>29</v>
      </c>
      <c r="V78" s="72" t="s">
        <v>1917</v>
      </c>
      <c r="W78" s="72" t="s">
        <v>1921</v>
      </c>
      <c r="X78" s="72" t="s">
        <v>2824</v>
      </c>
      <c r="Y78" s="72" t="s">
        <v>2935</v>
      </c>
      <c r="Z78" s="72" t="s">
        <v>129</v>
      </c>
      <c r="AA78" s="146" t="s">
        <v>2824</v>
      </c>
    </row>
    <row r="79" spans="1:27" ht="18.600000000000001" customHeight="1">
      <c r="A79" s="155">
        <f>IF(priority(Main[[#This Row],[Comments]])&lt;&gt;0, priority(Main[[#This Row],[Comments]]),"")</f>
        <v>20</v>
      </c>
      <c r="B79" s="156" t="s">
        <v>3270</v>
      </c>
      <c r="C79" s="157" t="s">
        <v>3271</v>
      </c>
      <c r="D79" s="158" t="s">
        <v>3341</v>
      </c>
      <c r="E79" s="160">
        <v>40934.707789351851</v>
      </c>
      <c r="F79" s="160">
        <v>41065</v>
      </c>
      <c r="G79" s="162">
        <f>IF(stdProdLT(Main[[#This Row],[Comments]])=0.1,"N/A",IF(stdProdLT(Main[[#This Row],[Comments]])=0,"",stdProdLT(Main[[#This Row],[Comments]])))</f>
        <v>84</v>
      </c>
      <c r="H79" s="164">
        <f>IF(AND(Main[[#This Row],[In Stock Date]]&lt;&gt;"",Main[[#This Row],[Revised Due Date]]&lt;&gt;""),Main[[#This Row],[In Stock Date]]-Main[[#This Row],[Revised Due Date]],"")</f>
        <v>82</v>
      </c>
      <c r="I79" s="157" t="s">
        <v>896</v>
      </c>
      <c r="J79" s="157" t="s">
        <v>4</v>
      </c>
      <c r="K79" s="157" t="s">
        <v>1930</v>
      </c>
      <c r="L79" s="160">
        <v>40956</v>
      </c>
      <c r="M79" s="167">
        <f>IF(Main[[#This Row],[Tech Start Date]]&lt;1/1/1990,"",IF(Main[[#This Row],[Class]]="C",WORKDAY(Main[[#This Row],[Tech Start Date]],9),IF(Main[[#This Row],[Class]]="B", WORKDAY(Main[[#This Row],[Tech Start Date]],6),IF(Main[[#This Row],[Class]]="A",WORKDAY(Main[[#This Row],[Tech Start Date]],2),""))))</f>
        <v>40969</v>
      </c>
      <c r="N79" s="167">
        <f>IF(Main[[#This Row],[Tech Start Date]]&lt;1/1/1990,"",IF(Main[[#This Row],[Class]]="C",WORKDAY(Main[[#This Row],[Tech Start Date]],19),IF(Main[[#This Row],[Class]]="B", WORKDAY(Main[[#This Row],[Tech Start Date]],12),IF(Main[[#This Row],[Class]]="A",WORKDAY(Main[[#This Row],[Tech Start Date]],4),""))))</f>
        <v>40983</v>
      </c>
      <c r="O79" s="167">
        <f>IF(Main[[#This Row],[Tech Start Date]]&lt;1/1/1990,"",IF(Main[[#This Row],[Class]]="C",WORKDAY(Main[[#This Row],[Tech Start Date]],23),IF(Main[[#This Row],[Class]]="B", WORKDAY(Main[[#This Row],[Tech Start Date]],15),IF(Main[[#This Row],[Class]]="A",WORKDAY(Main[[#This Row],[Tech Start Date]],5),""))))</f>
        <v>40989</v>
      </c>
      <c r="P79" s="167">
        <f>IF(Main[[#This Row],[Tech Start Date]]&lt;1/1/1990,"",IF(Main[[#This Row],[Class]]="C",WORKDAY(Main[[#This Row],[Tech Start Date]],28),IF(Main[[#This Row],[Class]]="B", WORKDAY(Main[[#This Row],[Tech Start Date]],19),IF(Main[[#This Row],[Class]]="A",WORKDAY(Main[[#This Row],[Tech Start Date]],9),""))))</f>
        <v>40996</v>
      </c>
      <c r="Q79" s="160">
        <v>40945</v>
      </c>
      <c r="R79" s="160">
        <v>40983</v>
      </c>
      <c r="S79" s="157" t="s">
        <v>11</v>
      </c>
      <c r="T79" s="171" t="s">
        <v>3921</v>
      </c>
      <c r="U79" s="157" t="s">
        <v>29</v>
      </c>
      <c r="V79" s="157" t="s">
        <v>1917</v>
      </c>
      <c r="W79" s="157" t="s">
        <v>1925</v>
      </c>
      <c r="X79" s="157" t="s">
        <v>2835</v>
      </c>
      <c r="Y79" s="157" t="s">
        <v>2957</v>
      </c>
      <c r="Z79" s="157" t="s">
        <v>129</v>
      </c>
      <c r="AA79" s="153" t="s">
        <v>2835</v>
      </c>
    </row>
    <row r="80" spans="1:27" ht="18.600000000000001" customHeight="1">
      <c r="A80" s="139">
        <f>IF(priority(Main[[#This Row],[Comments]])&lt;&gt;0, priority(Main[[#This Row],[Comments]]),"")</f>
        <v>20</v>
      </c>
      <c r="B80" s="89" t="s">
        <v>2648</v>
      </c>
      <c r="C80" s="72" t="s">
        <v>53</v>
      </c>
      <c r="D80" s="73" t="s">
        <v>2649</v>
      </c>
      <c r="E80" s="74"/>
      <c r="F80" s="74"/>
      <c r="G80" s="75" t="str">
        <f>IF(stdProdLT(Main[[#This Row],[Comments]])=0.1,"N/A",IF(stdProdLT(Main[[#This Row],[Comments]])=0,"",stdProdLT(Main[[#This Row],[Comments]])))</f>
        <v>N/A</v>
      </c>
      <c r="H80" s="76" t="str">
        <f>IF(AND(Main[[#This Row],[In Stock Date]]&lt;&gt;"",Main[[#This Row],[Revised Due Date]]&lt;&gt;""),Main[[#This Row],[In Stock Date]]-Main[[#This Row],[Revised Due Date]],"")</f>
        <v/>
      </c>
      <c r="I80" s="72" t="s">
        <v>943</v>
      </c>
      <c r="J80" s="72" t="s">
        <v>28</v>
      </c>
      <c r="K80" s="72" t="s">
        <v>1924</v>
      </c>
      <c r="L80" s="74">
        <v>40854</v>
      </c>
      <c r="M80" s="77">
        <f>IF(Main[[#This Row],[Tech Start Date]]&lt;1/1/1990,"",IF(Main[[#This Row],[Class]]="C",WORKDAY(Main[[#This Row],[Tech Start Date]],9),IF(Main[[#This Row],[Class]]="B", WORKDAY(Main[[#This Row],[Tech Start Date]],6),IF(Main[[#This Row],[Class]]="A",WORKDAY(Main[[#This Row],[Tech Start Date]],2),""))))</f>
        <v>40862</v>
      </c>
      <c r="N80" s="77">
        <f>IF(Main[[#This Row],[Tech Start Date]]&lt;1/1/1990,"",IF(Main[[#This Row],[Class]]="C",WORKDAY(Main[[#This Row],[Tech Start Date]],19),IF(Main[[#This Row],[Class]]="B", WORKDAY(Main[[#This Row],[Tech Start Date]],12),IF(Main[[#This Row],[Class]]="A",WORKDAY(Main[[#This Row],[Tech Start Date]],4),""))))</f>
        <v>40870</v>
      </c>
      <c r="O80" s="77">
        <f>IF(Main[[#This Row],[Tech Start Date]]&lt;1/1/1990,"",IF(Main[[#This Row],[Class]]="C",WORKDAY(Main[[#This Row],[Tech Start Date]],23),IF(Main[[#This Row],[Class]]="B", WORKDAY(Main[[#This Row],[Tech Start Date]],15),IF(Main[[#This Row],[Class]]="A",WORKDAY(Main[[#This Row],[Tech Start Date]],5),""))))</f>
        <v>40875</v>
      </c>
      <c r="P80" s="77">
        <f>IF(Main[[#This Row],[Tech Start Date]]&lt;1/1/1990,"",IF(Main[[#This Row],[Class]]="C",WORKDAY(Main[[#This Row],[Tech Start Date]],28),IF(Main[[#This Row],[Class]]="B", WORKDAY(Main[[#This Row],[Tech Start Date]],19),IF(Main[[#This Row],[Class]]="A",WORKDAY(Main[[#This Row],[Tech Start Date]],9),""))))</f>
        <v>40879</v>
      </c>
      <c r="Q80" s="74">
        <v>40883</v>
      </c>
      <c r="R80" s="74">
        <v>40877</v>
      </c>
      <c r="S80" s="72" t="s">
        <v>11</v>
      </c>
      <c r="T80" s="80" t="s">
        <v>2650</v>
      </c>
      <c r="U80" s="72" t="s">
        <v>14</v>
      </c>
      <c r="V80" s="72" t="s">
        <v>1918</v>
      </c>
      <c r="W80" s="72" t="s">
        <v>1919</v>
      </c>
      <c r="X80" s="72" t="s">
        <v>2822</v>
      </c>
      <c r="Y80" s="72" t="s">
        <v>2999</v>
      </c>
      <c r="Z80" s="72" t="s">
        <v>2056</v>
      </c>
      <c r="AA80" s="146" t="s">
        <v>2822</v>
      </c>
    </row>
    <row r="81" spans="1:27" ht="18.600000000000001" customHeight="1">
      <c r="A81" s="155">
        <f>IF(priority(Main[[#This Row],[Comments]])&lt;&gt;0, priority(Main[[#This Row],[Comments]]),"")</f>
        <v>20</v>
      </c>
      <c r="B81" s="156" t="s">
        <v>3955</v>
      </c>
      <c r="C81" s="157" t="s">
        <v>31</v>
      </c>
      <c r="D81" s="158" t="s">
        <v>3956</v>
      </c>
      <c r="E81" s="160">
        <v>40960.080937500003</v>
      </c>
      <c r="F81" s="160">
        <v>41091</v>
      </c>
      <c r="G81" s="162">
        <f>IF(stdProdLT(Main[[#This Row],[Comments]])=0.1,"N/A",IF(stdProdLT(Main[[#This Row],[Comments]])=0,"",stdProdLT(Main[[#This Row],[Comments]])))</f>
        <v>140</v>
      </c>
      <c r="H81" s="164">
        <f>IF(AND(Main[[#This Row],[In Stock Date]]&lt;&gt;"",Main[[#This Row],[Revised Due Date]]&lt;&gt;""),Main[[#This Row],[In Stock Date]]-Main[[#This Row],[Revised Due Date]],"")</f>
        <v>96</v>
      </c>
      <c r="I81" s="157" t="s">
        <v>239</v>
      </c>
      <c r="J81" s="157" t="s">
        <v>21</v>
      </c>
      <c r="K81" s="157" t="s">
        <v>1924</v>
      </c>
      <c r="L81" s="160">
        <v>40960</v>
      </c>
      <c r="M81" s="167">
        <f>IF(Main[[#This Row],[Tech Start Date]]&lt;1/1/1990,"",IF(Main[[#This Row],[Class]]="C",WORKDAY(Main[[#This Row],[Tech Start Date]],9),IF(Main[[#This Row],[Class]]="B", WORKDAY(Main[[#This Row],[Tech Start Date]],6),IF(Main[[#This Row],[Class]]="A",WORKDAY(Main[[#This Row],[Tech Start Date]],2),""))))</f>
        <v>40968</v>
      </c>
      <c r="N81" s="167">
        <f>IF(Main[[#This Row],[Tech Start Date]]&lt;1/1/1990,"",IF(Main[[#This Row],[Class]]="C",WORKDAY(Main[[#This Row],[Tech Start Date]],19),IF(Main[[#This Row],[Class]]="B", WORKDAY(Main[[#This Row],[Tech Start Date]],12),IF(Main[[#This Row],[Class]]="A",WORKDAY(Main[[#This Row],[Tech Start Date]],4),""))))</f>
        <v>40976</v>
      </c>
      <c r="O81" s="167">
        <f>IF(Main[[#This Row],[Tech Start Date]]&lt;1/1/1990,"",IF(Main[[#This Row],[Class]]="C",WORKDAY(Main[[#This Row],[Tech Start Date]],23),IF(Main[[#This Row],[Class]]="B", WORKDAY(Main[[#This Row],[Tech Start Date]],15),IF(Main[[#This Row],[Class]]="A",WORKDAY(Main[[#This Row],[Tech Start Date]],5),""))))</f>
        <v>40981</v>
      </c>
      <c r="P81" s="167">
        <f>IF(Main[[#This Row],[Tech Start Date]]&lt;1/1/1990,"",IF(Main[[#This Row],[Class]]="C",WORKDAY(Main[[#This Row],[Tech Start Date]],28),IF(Main[[#This Row],[Class]]="B", WORKDAY(Main[[#This Row],[Tech Start Date]],19),IF(Main[[#This Row],[Class]]="A",WORKDAY(Main[[#This Row],[Tech Start Date]],9),""))))</f>
        <v>40987</v>
      </c>
      <c r="Q81" s="160">
        <v>40995</v>
      </c>
      <c r="R81" s="160">
        <v>40995</v>
      </c>
      <c r="S81" s="157" t="s">
        <v>11</v>
      </c>
      <c r="T81" s="171" t="s">
        <v>3957</v>
      </c>
      <c r="U81" s="157" t="s">
        <v>29</v>
      </c>
      <c r="V81" s="157" t="s">
        <v>1927</v>
      </c>
      <c r="W81" s="157" t="s">
        <v>1922</v>
      </c>
      <c r="X81" s="157" t="s">
        <v>2851</v>
      </c>
      <c r="Y81" s="157" t="s">
        <v>3958</v>
      </c>
      <c r="Z81" s="157" t="s">
        <v>69</v>
      </c>
      <c r="AA81" s="153" t="s">
        <v>2851</v>
      </c>
    </row>
    <row r="82" spans="1:27" ht="18.600000000000001" customHeight="1">
      <c r="A82" s="139">
        <f>IF(priority(Main[[#This Row],[Comments]])&lt;&gt;0, priority(Main[[#This Row],[Comments]]),"")</f>
        <v>21</v>
      </c>
      <c r="B82" s="89" t="s">
        <v>2221</v>
      </c>
      <c r="C82" s="72" t="s">
        <v>33</v>
      </c>
      <c r="D82" s="73" t="s">
        <v>2222</v>
      </c>
      <c r="E82" s="74">
        <v>40799.635092592594</v>
      </c>
      <c r="F82" s="74">
        <v>41122</v>
      </c>
      <c r="G82" s="75">
        <f>IF(stdProdLT(Main[[#This Row],[Comments]])=0.1,"N/A",IF(stdProdLT(Main[[#This Row],[Comments]])=0,"",stdProdLT(Main[[#This Row],[Comments]])))</f>
        <v>126</v>
      </c>
      <c r="H82" s="76">
        <f>IF(AND(Main[[#This Row],[In Stock Date]]&lt;&gt;"",Main[[#This Row],[Revised Due Date]]&lt;&gt;""),Main[[#This Row],[In Stock Date]]-Main[[#This Row],[Revised Due Date]],"")</f>
        <v>145</v>
      </c>
      <c r="I82" s="72" t="s">
        <v>306</v>
      </c>
      <c r="J82" s="72" t="s">
        <v>52</v>
      </c>
      <c r="K82" s="72" t="s">
        <v>1930</v>
      </c>
      <c r="L82" s="74">
        <v>40813</v>
      </c>
      <c r="M82" s="77">
        <f>IF(Main[[#This Row],[Tech Start Date]]&lt;1/1/1990,"",IF(Main[[#This Row],[Class]]="C",WORKDAY(Main[[#This Row],[Tech Start Date]],9),IF(Main[[#This Row],[Class]]="B", WORKDAY(Main[[#This Row],[Tech Start Date]],6),IF(Main[[#This Row],[Class]]="A",WORKDAY(Main[[#This Row],[Tech Start Date]],2),""))))</f>
        <v>40826</v>
      </c>
      <c r="N82" s="77">
        <f>IF(Main[[#This Row],[Tech Start Date]]&lt;1/1/1990,"",IF(Main[[#This Row],[Class]]="C",WORKDAY(Main[[#This Row],[Tech Start Date]],19),IF(Main[[#This Row],[Class]]="B", WORKDAY(Main[[#This Row],[Tech Start Date]],12),IF(Main[[#This Row],[Class]]="A",WORKDAY(Main[[#This Row],[Tech Start Date]],4),""))))</f>
        <v>40840</v>
      </c>
      <c r="O82" s="77">
        <f>IF(Main[[#This Row],[Tech Start Date]]&lt;1/1/1990,"",IF(Main[[#This Row],[Class]]="C",WORKDAY(Main[[#This Row],[Tech Start Date]],23),IF(Main[[#This Row],[Class]]="B", WORKDAY(Main[[#This Row],[Tech Start Date]],15),IF(Main[[#This Row],[Class]]="A",WORKDAY(Main[[#This Row],[Tech Start Date]],5),""))))</f>
        <v>40844</v>
      </c>
      <c r="P82" s="77">
        <f>IF(Main[[#This Row],[Tech Start Date]]&lt;1/1/1990,"",IF(Main[[#This Row],[Class]]="C",WORKDAY(Main[[#This Row],[Tech Start Date]],28),IF(Main[[#This Row],[Class]]="B", WORKDAY(Main[[#This Row],[Tech Start Date]],19),IF(Main[[#This Row],[Class]]="A",WORKDAY(Main[[#This Row],[Tech Start Date]],9),""))))</f>
        <v>40851</v>
      </c>
      <c r="Q82" s="74">
        <v>40965</v>
      </c>
      <c r="R82" s="74">
        <v>40977</v>
      </c>
      <c r="S82" s="72" t="s">
        <v>11</v>
      </c>
      <c r="T82" s="80" t="s">
        <v>3840</v>
      </c>
      <c r="U82" s="72" t="s">
        <v>29</v>
      </c>
      <c r="V82" s="72" t="s">
        <v>1920</v>
      </c>
      <c r="W82" s="72" t="s">
        <v>1925</v>
      </c>
      <c r="X82" s="72" t="s">
        <v>2897</v>
      </c>
      <c r="Y82" s="72" t="s">
        <v>3108</v>
      </c>
      <c r="Z82" s="72" t="s">
        <v>81</v>
      </c>
      <c r="AA82" s="146" t="s">
        <v>2897</v>
      </c>
    </row>
    <row r="83" spans="1:27" ht="18.600000000000001" customHeight="1">
      <c r="A83" s="155">
        <f>IF(priority(Main[[#This Row],[Comments]])&lt;&gt;0, priority(Main[[#This Row],[Comments]]),"")</f>
        <v>21</v>
      </c>
      <c r="B83" s="156" t="s">
        <v>3903</v>
      </c>
      <c r="C83" s="157" t="s">
        <v>3904</v>
      </c>
      <c r="D83" s="158" t="s">
        <v>3905</v>
      </c>
      <c r="E83" s="160">
        <v>40953.697708333333</v>
      </c>
      <c r="F83" s="160">
        <v>41154</v>
      </c>
      <c r="G83" s="162">
        <f>IF(stdProdLT(Main[[#This Row],[Comments]])=0.1,"N/A",IF(stdProdLT(Main[[#This Row],[Comments]])=0,"",stdProdLT(Main[[#This Row],[Comments]])))</f>
        <v>126</v>
      </c>
      <c r="H83" s="164">
        <f>IF(AND(Main[[#This Row],[In Stock Date]]&lt;&gt;"",Main[[#This Row],[Revised Due Date]]&lt;&gt;""),Main[[#This Row],[In Stock Date]]-Main[[#This Row],[Revised Due Date]],"")</f>
        <v>165</v>
      </c>
      <c r="I83" s="157" t="s">
        <v>562</v>
      </c>
      <c r="J83" s="157" t="s">
        <v>28</v>
      </c>
      <c r="K83" s="157" t="s">
        <v>1924</v>
      </c>
      <c r="L83" s="160">
        <v>40954</v>
      </c>
      <c r="M83" s="167">
        <f>IF(Main[[#This Row],[Tech Start Date]]&lt;1/1/1990,"",IF(Main[[#This Row],[Class]]="C",WORKDAY(Main[[#This Row],[Tech Start Date]],9),IF(Main[[#This Row],[Class]]="B", WORKDAY(Main[[#This Row],[Tech Start Date]],6),IF(Main[[#This Row],[Class]]="A",WORKDAY(Main[[#This Row],[Tech Start Date]],2),""))))</f>
        <v>40962</v>
      </c>
      <c r="N83" s="167">
        <f>IF(Main[[#This Row],[Tech Start Date]]&lt;1/1/1990,"",IF(Main[[#This Row],[Class]]="C",WORKDAY(Main[[#This Row],[Tech Start Date]],19),IF(Main[[#This Row],[Class]]="B", WORKDAY(Main[[#This Row],[Tech Start Date]],12),IF(Main[[#This Row],[Class]]="A",WORKDAY(Main[[#This Row],[Tech Start Date]],4),""))))</f>
        <v>40970</v>
      </c>
      <c r="O83" s="167">
        <f>IF(Main[[#This Row],[Tech Start Date]]&lt;1/1/1990,"",IF(Main[[#This Row],[Class]]="C",WORKDAY(Main[[#This Row],[Tech Start Date]],23),IF(Main[[#This Row],[Class]]="B", WORKDAY(Main[[#This Row],[Tech Start Date]],15),IF(Main[[#This Row],[Class]]="A",WORKDAY(Main[[#This Row],[Tech Start Date]],5),""))))</f>
        <v>40975</v>
      </c>
      <c r="P83" s="167">
        <f>IF(Main[[#This Row],[Tech Start Date]]&lt;1/1/1990,"",IF(Main[[#This Row],[Class]]="C",WORKDAY(Main[[#This Row],[Tech Start Date]],28),IF(Main[[#This Row],[Class]]="B", WORKDAY(Main[[#This Row],[Tech Start Date]],19),IF(Main[[#This Row],[Class]]="A",WORKDAY(Main[[#This Row],[Tech Start Date]],9),""))))</f>
        <v>40981</v>
      </c>
      <c r="Q83" s="160"/>
      <c r="R83" s="160">
        <v>40989</v>
      </c>
      <c r="S83" s="157" t="s">
        <v>11</v>
      </c>
      <c r="T83" s="171" t="s">
        <v>3906</v>
      </c>
      <c r="U83" s="157" t="s">
        <v>29</v>
      </c>
      <c r="V83" s="157" t="s">
        <v>1917</v>
      </c>
      <c r="W83" s="157" t="s">
        <v>1923</v>
      </c>
      <c r="X83" s="157" t="s">
        <v>2858</v>
      </c>
      <c r="Y83" s="157" t="s">
        <v>2996</v>
      </c>
      <c r="Z83" s="157" t="s">
        <v>129</v>
      </c>
      <c r="AA83" s="153" t="s">
        <v>2858</v>
      </c>
    </row>
    <row r="84" spans="1:27" ht="18.600000000000001" customHeight="1">
      <c r="A84" s="139">
        <f>IF(priority(Main[[#This Row],[Comments]])&lt;&gt;0, priority(Main[[#This Row],[Comments]]),"")</f>
        <v>22</v>
      </c>
      <c r="B84" s="89" t="s">
        <v>1683</v>
      </c>
      <c r="C84" s="72" t="s">
        <v>4</v>
      </c>
      <c r="D84" s="73" t="s">
        <v>2313</v>
      </c>
      <c r="E84" s="74">
        <v>40715.570891203701</v>
      </c>
      <c r="F84" s="74"/>
      <c r="G84" s="75" t="str">
        <f>IF(stdProdLT(Main[[#This Row],[Comments]])=0.1,"N/A",IF(stdProdLT(Main[[#This Row],[Comments]])=0,"",stdProdLT(Main[[#This Row],[Comments]])))</f>
        <v>N/A</v>
      </c>
      <c r="H84" s="76" t="str">
        <f>IF(AND(Main[[#This Row],[In Stock Date]]&lt;&gt;"",Main[[#This Row],[Revised Due Date]]&lt;&gt;""),Main[[#This Row],[In Stock Date]]-Main[[#This Row],[Revised Due Date]],"")</f>
        <v/>
      </c>
      <c r="I84" s="72" t="s">
        <v>914</v>
      </c>
      <c r="J84" s="72" t="s">
        <v>52</v>
      </c>
      <c r="K84" s="72" t="s">
        <v>4</v>
      </c>
      <c r="L84" s="74"/>
      <c r="M84" s="77" t="str">
        <f>IF(Main[[#This Row],[Tech Start Date]]&lt;1/1/1990,"",IF(Main[[#This Row],[Class]]="C",WORKDAY(Main[[#This Row],[Tech Start Date]],9),IF(Main[[#This Row],[Class]]="B", WORKDAY(Main[[#This Row],[Tech Start Date]],6),IF(Main[[#This Row],[Class]]="A",WORKDAY(Main[[#This Row],[Tech Start Date]],2),""))))</f>
        <v/>
      </c>
      <c r="N84" s="77" t="str">
        <f>IF(Main[[#This Row],[Tech Start Date]]&lt;1/1/1990,"",IF(Main[[#This Row],[Class]]="C",WORKDAY(Main[[#This Row],[Tech Start Date]],19),IF(Main[[#This Row],[Class]]="B", WORKDAY(Main[[#This Row],[Tech Start Date]],12),IF(Main[[#This Row],[Class]]="A",WORKDAY(Main[[#This Row],[Tech Start Date]],4),""))))</f>
        <v/>
      </c>
      <c r="O84" s="77" t="str">
        <f>IF(Main[[#This Row],[Tech Start Date]]&lt;1/1/1990,"",IF(Main[[#This Row],[Class]]="C",WORKDAY(Main[[#This Row],[Tech Start Date]],23),IF(Main[[#This Row],[Class]]="B", WORKDAY(Main[[#This Row],[Tech Start Date]],15),IF(Main[[#This Row],[Class]]="A",WORKDAY(Main[[#This Row],[Tech Start Date]],5),""))))</f>
        <v/>
      </c>
      <c r="P84" s="77" t="str">
        <f>IF(Main[[#This Row],[Tech Start Date]]&lt;1/1/1990,"",IF(Main[[#This Row],[Class]]="C",WORKDAY(Main[[#This Row],[Tech Start Date]],28),IF(Main[[#This Row],[Class]]="B", WORKDAY(Main[[#This Row],[Tech Start Date]],19),IF(Main[[#This Row],[Class]]="A",WORKDAY(Main[[#This Row],[Tech Start Date]],9),""))))</f>
        <v/>
      </c>
      <c r="Q84" s="74">
        <v>40733</v>
      </c>
      <c r="R84" s="74">
        <v>40756</v>
      </c>
      <c r="S84" s="72" t="s">
        <v>6</v>
      </c>
      <c r="T84" s="80" t="s">
        <v>2568</v>
      </c>
      <c r="U84" s="72" t="s">
        <v>29</v>
      </c>
      <c r="V84" s="72" t="s">
        <v>1917</v>
      </c>
      <c r="W84" s="72" t="s">
        <v>1921</v>
      </c>
      <c r="X84" s="72" t="s">
        <v>2842</v>
      </c>
      <c r="Y84" s="72" t="s">
        <v>2971</v>
      </c>
      <c r="Z84" s="72" t="s">
        <v>4</v>
      </c>
      <c r="AA84" s="146" t="s">
        <v>2842</v>
      </c>
    </row>
    <row r="85" spans="1:27" ht="18.600000000000001" customHeight="1">
      <c r="A85" s="155">
        <f>IF(priority(Main[[#This Row],[Comments]])&lt;&gt;0, priority(Main[[#This Row],[Comments]]),"")</f>
        <v>22</v>
      </c>
      <c r="B85" s="156" t="s">
        <v>3908</v>
      </c>
      <c r="C85" s="157" t="s">
        <v>3904</v>
      </c>
      <c r="D85" s="158" t="s">
        <v>3909</v>
      </c>
      <c r="E85" s="160">
        <v>40953.687349537038</v>
      </c>
      <c r="F85" s="160">
        <v>41154</v>
      </c>
      <c r="G85" s="162">
        <f>IF(stdProdLT(Main[[#This Row],[Comments]])=0.1,"N/A",IF(stdProdLT(Main[[#This Row],[Comments]])=0,"",stdProdLT(Main[[#This Row],[Comments]])))</f>
        <v>126</v>
      </c>
      <c r="H85" s="164">
        <f>IF(AND(Main[[#This Row],[In Stock Date]]&lt;&gt;"",Main[[#This Row],[Revised Due Date]]&lt;&gt;""),Main[[#This Row],[In Stock Date]]-Main[[#This Row],[Revised Due Date]],"")</f>
        <v>165</v>
      </c>
      <c r="I85" s="157" t="s">
        <v>914</v>
      </c>
      <c r="J85" s="157" t="s">
        <v>52</v>
      </c>
      <c r="K85" s="157" t="s">
        <v>1924</v>
      </c>
      <c r="L85" s="160">
        <v>40954</v>
      </c>
      <c r="M85" s="167">
        <f>IF(Main[[#This Row],[Tech Start Date]]&lt;1/1/1990,"",IF(Main[[#This Row],[Class]]="C",WORKDAY(Main[[#This Row],[Tech Start Date]],9),IF(Main[[#This Row],[Class]]="B", WORKDAY(Main[[#This Row],[Tech Start Date]],6),IF(Main[[#This Row],[Class]]="A",WORKDAY(Main[[#This Row],[Tech Start Date]],2),""))))</f>
        <v>40962</v>
      </c>
      <c r="N85" s="167">
        <f>IF(Main[[#This Row],[Tech Start Date]]&lt;1/1/1990,"",IF(Main[[#This Row],[Class]]="C",WORKDAY(Main[[#This Row],[Tech Start Date]],19),IF(Main[[#This Row],[Class]]="B", WORKDAY(Main[[#This Row],[Tech Start Date]],12),IF(Main[[#This Row],[Class]]="A",WORKDAY(Main[[#This Row],[Tech Start Date]],4),""))))</f>
        <v>40970</v>
      </c>
      <c r="O85" s="167">
        <f>IF(Main[[#This Row],[Tech Start Date]]&lt;1/1/1990,"",IF(Main[[#This Row],[Class]]="C",WORKDAY(Main[[#This Row],[Tech Start Date]],23),IF(Main[[#This Row],[Class]]="B", WORKDAY(Main[[#This Row],[Tech Start Date]],15),IF(Main[[#This Row],[Class]]="A",WORKDAY(Main[[#This Row],[Tech Start Date]],5),""))))</f>
        <v>40975</v>
      </c>
      <c r="P85" s="167">
        <f>IF(Main[[#This Row],[Tech Start Date]]&lt;1/1/1990,"",IF(Main[[#This Row],[Class]]="C",WORKDAY(Main[[#This Row],[Tech Start Date]],28),IF(Main[[#This Row],[Class]]="B", WORKDAY(Main[[#This Row],[Tech Start Date]],19),IF(Main[[#This Row],[Class]]="A",WORKDAY(Main[[#This Row],[Tech Start Date]],9),""))))</f>
        <v>40981</v>
      </c>
      <c r="Q85" s="160"/>
      <c r="R85" s="160">
        <v>40989</v>
      </c>
      <c r="S85" s="157" t="s">
        <v>11</v>
      </c>
      <c r="T85" s="171" t="s">
        <v>3910</v>
      </c>
      <c r="U85" s="157" t="s">
        <v>29</v>
      </c>
      <c r="V85" s="157" t="s">
        <v>1917</v>
      </c>
      <c r="W85" s="157" t="s">
        <v>1923</v>
      </c>
      <c r="X85" s="157" t="s">
        <v>2858</v>
      </c>
      <c r="Y85" s="157" t="s">
        <v>2996</v>
      </c>
      <c r="Z85" s="157" t="s">
        <v>129</v>
      </c>
      <c r="AA85" s="153" t="s">
        <v>2858</v>
      </c>
    </row>
    <row r="86" spans="1:27" ht="18.600000000000001" customHeight="1">
      <c r="A86" s="139">
        <f>IF(priority(Main[[#This Row],[Comments]])&lt;&gt;0, priority(Main[[#This Row],[Comments]]),"")</f>
        <v>23</v>
      </c>
      <c r="B86" s="89" t="s">
        <v>3214</v>
      </c>
      <c r="C86" s="72" t="s">
        <v>3215</v>
      </c>
      <c r="D86" s="73" t="s">
        <v>3380</v>
      </c>
      <c r="E86" s="74">
        <v>40920.494050925925</v>
      </c>
      <c r="F86" s="74">
        <v>41197</v>
      </c>
      <c r="G86" s="75">
        <f>IF(stdProdLT(Main[[#This Row],[Comments]])=0.1,"N/A",IF(stdProdLT(Main[[#This Row],[Comments]])=0,"",stdProdLT(Main[[#This Row],[Comments]])))</f>
        <v>126</v>
      </c>
      <c r="H86" s="76">
        <f>IF(AND(Main[[#This Row],[In Stock Date]]&lt;&gt;"",Main[[#This Row],[Revised Due Date]]&lt;&gt;""),Main[[#This Row],[In Stock Date]]-Main[[#This Row],[Revised Due Date]],"")</f>
        <v>220</v>
      </c>
      <c r="I86" s="72" t="s">
        <v>914</v>
      </c>
      <c r="J86" s="72" t="s">
        <v>52</v>
      </c>
      <c r="K86" s="72" t="s">
        <v>1924</v>
      </c>
      <c r="L86" s="74">
        <v>40921</v>
      </c>
      <c r="M86" s="77">
        <f>IF(Main[[#This Row],[Tech Start Date]]&lt;1/1/1990,"",IF(Main[[#This Row],[Class]]="C",WORKDAY(Main[[#This Row],[Tech Start Date]],9),IF(Main[[#This Row],[Class]]="B", WORKDAY(Main[[#This Row],[Tech Start Date]],6),IF(Main[[#This Row],[Class]]="A",WORKDAY(Main[[#This Row],[Tech Start Date]],2),""))))</f>
        <v>40931</v>
      </c>
      <c r="N86" s="77">
        <f>IF(Main[[#This Row],[Tech Start Date]]&lt;1/1/1990,"",IF(Main[[#This Row],[Class]]="C",WORKDAY(Main[[#This Row],[Tech Start Date]],19),IF(Main[[#This Row],[Class]]="B", WORKDAY(Main[[#This Row],[Tech Start Date]],12),IF(Main[[#This Row],[Class]]="A",WORKDAY(Main[[#This Row],[Tech Start Date]],4),""))))</f>
        <v>40939</v>
      </c>
      <c r="O86" s="77">
        <f>IF(Main[[#This Row],[Tech Start Date]]&lt;1/1/1990,"",IF(Main[[#This Row],[Class]]="C",WORKDAY(Main[[#This Row],[Tech Start Date]],23),IF(Main[[#This Row],[Class]]="B", WORKDAY(Main[[#This Row],[Tech Start Date]],15),IF(Main[[#This Row],[Class]]="A",WORKDAY(Main[[#This Row],[Tech Start Date]],5),""))))</f>
        <v>40942</v>
      </c>
      <c r="P86" s="77">
        <f>IF(Main[[#This Row],[Tech Start Date]]&lt;1/1/1990,"",IF(Main[[#This Row],[Class]]="C",WORKDAY(Main[[#This Row],[Tech Start Date]],28),IF(Main[[#This Row],[Class]]="B", WORKDAY(Main[[#This Row],[Tech Start Date]],19),IF(Main[[#This Row],[Class]]="A",WORKDAY(Main[[#This Row],[Tech Start Date]],9),""))))</f>
        <v>40948</v>
      </c>
      <c r="Q86" s="74">
        <v>41197</v>
      </c>
      <c r="R86" s="74">
        <v>40977</v>
      </c>
      <c r="S86" s="72" t="s">
        <v>11</v>
      </c>
      <c r="T86" s="80" t="s">
        <v>3867</v>
      </c>
      <c r="U86" s="72" t="s">
        <v>29</v>
      </c>
      <c r="V86" s="72" t="s">
        <v>1917</v>
      </c>
      <c r="W86" s="72" t="s">
        <v>1923</v>
      </c>
      <c r="X86" s="72" t="s">
        <v>2858</v>
      </c>
      <c r="Y86" s="72" t="s">
        <v>2996</v>
      </c>
      <c r="Z86" s="72" t="s">
        <v>129</v>
      </c>
      <c r="AA86" s="146" t="s">
        <v>2858</v>
      </c>
    </row>
    <row r="87" spans="1:27" ht="18.600000000000001" customHeight="1">
      <c r="A87" s="155">
        <f>IF(priority(Main[[#This Row],[Comments]])&lt;&gt;0, priority(Main[[#This Row],[Comments]]),"")</f>
        <v>23</v>
      </c>
      <c r="B87" s="156" t="s">
        <v>3945</v>
      </c>
      <c r="C87" s="157" t="s">
        <v>33</v>
      </c>
      <c r="D87" s="158" t="s">
        <v>3946</v>
      </c>
      <c r="E87" s="160">
        <v>40953.124837962961</v>
      </c>
      <c r="F87" s="160">
        <v>41000</v>
      </c>
      <c r="G87" s="162" t="str">
        <f>IF(stdProdLT(Main[[#This Row],[Comments]])=0.1,"N/A",IF(stdProdLT(Main[[#This Row],[Comments]])=0,"",stdProdLT(Main[[#This Row],[Comments]])))</f>
        <v>N/A</v>
      </c>
      <c r="H87" s="164">
        <f>IF(AND(Main[[#This Row],[In Stock Date]]&lt;&gt;"",Main[[#This Row],[Revised Due Date]]&lt;&gt;""),Main[[#This Row],[In Stock Date]]-Main[[#This Row],[Revised Due Date]],"")</f>
        <v>33</v>
      </c>
      <c r="I87" s="157" t="s">
        <v>530</v>
      </c>
      <c r="J87" s="157" t="s">
        <v>52</v>
      </c>
      <c r="K87" s="157" t="s">
        <v>1926</v>
      </c>
      <c r="L87" s="160">
        <v>40960</v>
      </c>
      <c r="M87" s="167">
        <f>IF(Main[[#This Row],[Tech Start Date]]&lt;1/1/1990,"",IF(Main[[#This Row],[Class]]="C",WORKDAY(Main[[#This Row],[Tech Start Date]],9),IF(Main[[#This Row],[Class]]="B", WORKDAY(Main[[#This Row],[Tech Start Date]],6),IF(Main[[#This Row],[Class]]="A",WORKDAY(Main[[#This Row],[Tech Start Date]],2),""))))</f>
        <v>40962</v>
      </c>
      <c r="N87" s="167">
        <f>IF(Main[[#This Row],[Tech Start Date]]&lt;1/1/1990,"",IF(Main[[#This Row],[Class]]="C",WORKDAY(Main[[#This Row],[Tech Start Date]],19),IF(Main[[#This Row],[Class]]="B", WORKDAY(Main[[#This Row],[Tech Start Date]],12),IF(Main[[#This Row],[Class]]="A",WORKDAY(Main[[#This Row],[Tech Start Date]],4),""))))</f>
        <v>40966</v>
      </c>
      <c r="O87" s="167">
        <f>IF(Main[[#This Row],[Tech Start Date]]&lt;1/1/1990,"",IF(Main[[#This Row],[Class]]="C",WORKDAY(Main[[#This Row],[Tech Start Date]],23),IF(Main[[#This Row],[Class]]="B", WORKDAY(Main[[#This Row],[Tech Start Date]],15),IF(Main[[#This Row],[Class]]="A",WORKDAY(Main[[#This Row],[Tech Start Date]],5),""))))</f>
        <v>40967</v>
      </c>
      <c r="P87" s="167">
        <f>IF(Main[[#This Row],[Tech Start Date]]&lt;1/1/1990,"",IF(Main[[#This Row],[Class]]="C",WORKDAY(Main[[#This Row],[Tech Start Date]],28),IF(Main[[#This Row],[Class]]="B", WORKDAY(Main[[#This Row],[Tech Start Date]],19),IF(Main[[#This Row],[Class]]="A",WORKDAY(Main[[#This Row],[Tech Start Date]],9),""))))</f>
        <v>40973</v>
      </c>
      <c r="Q87" s="160">
        <v>40967</v>
      </c>
      <c r="R87" s="160">
        <v>40967</v>
      </c>
      <c r="S87" s="157" t="s">
        <v>11</v>
      </c>
      <c r="T87" s="171" t="s">
        <v>3947</v>
      </c>
      <c r="U87" s="157" t="s">
        <v>29</v>
      </c>
      <c r="V87" s="157" t="s">
        <v>1927</v>
      </c>
      <c r="W87" s="157" t="s">
        <v>1922</v>
      </c>
      <c r="X87" s="157" t="s">
        <v>2881</v>
      </c>
      <c r="Y87" s="157" t="s">
        <v>3027</v>
      </c>
      <c r="Z87" s="157" t="s">
        <v>530</v>
      </c>
      <c r="AA87" s="153" t="s">
        <v>2881</v>
      </c>
    </row>
    <row r="88" spans="1:27" ht="18.600000000000001" customHeight="1">
      <c r="A88" s="139">
        <f>IF(priority(Main[[#This Row],[Comments]])&lt;&gt;0, priority(Main[[#This Row],[Comments]]),"")</f>
        <v>24</v>
      </c>
      <c r="B88" s="89" t="s">
        <v>1559</v>
      </c>
      <c r="C88" s="72" t="s">
        <v>4</v>
      </c>
      <c r="D88" s="73" t="s">
        <v>2304</v>
      </c>
      <c r="E88" s="74">
        <v>40710.712175925924</v>
      </c>
      <c r="F88" s="74"/>
      <c r="G88" s="75" t="str">
        <f>IF(stdProdLT(Main[[#This Row],[Comments]])=0.1,"N/A",IF(stdProdLT(Main[[#This Row],[Comments]])=0,"",stdProdLT(Main[[#This Row],[Comments]])))</f>
        <v>N/A</v>
      </c>
      <c r="H88" s="76" t="str">
        <f>IF(AND(Main[[#This Row],[In Stock Date]]&lt;&gt;"",Main[[#This Row],[Revised Due Date]]&lt;&gt;""),Main[[#This Row],[In Stock Date]]-Main[[#This Row],[Revised Due Date]],"")</f>
        <v/>
      </c>
      <c r="I88" s="72" t="s">
        <v>914</v>
      </c>
      <c r="J88" s="72" t="s">
        <v>4</v>
      </c>
      <c r="K88" s="72" t="s">
        <v>4</v>
      </c>
      <c r="L88" s="74"/>
      <c r="M88" s="77" t="str">
        <f>IF(Main[[#This Row],[Tech Start Date]]&lt;1/1/1990,"",IF(Main[[#This Row],[Class]]="C",WORKDAY(Main[[#This Row],[Tech Start Date]],9),IF(Main[[#This Row],[Class]]="B", WORKDAY(Main[[#This Row],[Tech Start Date]],6),IF(Main[[#This Row],[Class]]="A",WORKDAY(Main[[#This Row],[Tech Start Date]],2),""))))</f>
        <v/>
      </c>
      <c r="N88" s="77" t="str">
        <f>IF(Main[[#This Row],[Tech Start Date]]&lt;1/1/1990,"",IF(Main[[#This Row],[Class]]="C",WORKDAY(Main[[#This Row],[Tech Start Date]],19),IF(Main[[#This Row],[Class]]="B", WORKDAY(Main[[#This Row],[Tech Start Date]],12),IF(Main[[#This Row],[Class]]="A",WORKDAY(Main[[#This Row],[Tech Start Date]],4),""))))</f>
        <v/>
      </c>
      <c r="O88" s="77" t="str">
        <f>IF(Main[[#This Row],[Tech Start Date]]&lt;1/1/1990,"",IF(Main[[#This Row],[Class]]="C",WORKDAY(Main[[#This Row],[Tech Start Date]],23),IF(Main[[#This Row],[Class]]="B", WORKDAY(Main[[#This Row],[Tech Start Date]],15),IF(Main[[#This Row],[Class]]="A",WORKDAY(Main[[#This Row],[Tech Start Date]],5),""))))</f>
        <v/>
      </c>
      <c r="P88" s="77" t="str">
        <f>IF(Main[[#This Row],[Tech Start Date]]&lt;1/1/1990,"",IF(Main[[#This Row],[Class]]="C",WORKDAY(Main[[#This Row],[Tech Start Date]],28),IF(Main[[#This Row],[Class]]="B", WORKDAY(Main[[#This Row],[Tech Start Date]],19),IF(Main[[#This Row],[Class]]="A",WORKDAY(Main[[#This Row],[Tech Start Date]],9),""))))</f>
        <v/>
      </c>
      <c r="Q88" s="74"/>
      <c r="R88" s="74">
        <v>40756</v>
      </c>
      <c r="S88" s="72" t="s">
        <v>6</v>
      </c>
      <c r="T88" s="80" t="s">
        <v>2266</v>
      </c>
      <c r="U88" s="72" t="s">
        <v>29</v>
      </c>
      <c r="V88" s="72" t="s">
        <v>1917</v>
      </c>
      <c r="W88" s="72" t="s">
        <v>1921</v>
      </c>
      <c r="X88" s="72" t="s">
        <v>2872</v>
      </c>
      <c r="Y88" s="72" t="s">
        <v>3006</v>
      </c>
      <c r="Z88" s="72" t="s">
        <v>4</v>
      </c>
      <c r="AA88" s="146" t="s">
        <v>2872</v>
      </c>
    </row>
    <row r="89" spans="1:27" ht="18.600000000000001" customHeight="1">
      <c r="A89" s="155">
        <f>IF(priority(Main[[#This Row],[Comments]])&lt;&gt;0, priority(Main[[#This Row],[Comments]]),"")</f>
        <v>24</v>
      </c>
      <c r="B89" s="156" t="s">
        <v>3926</v>
      </c>
      <c r="C89" s="157" t="s">
        <v>3927</v>
      </c>
      <c r="D89" s="158" t="s">
        <v>3928</v>
      </c>
      <c r="E89" s="160">
        <v>40953.469097222223</v>
      </c>
      <c r="F89" s="160">
        <v>41183</v>
      </c>
      <c r="G89" s="162">
        <f>IF(stdProdLT(Main[[#This Row],[Comments]])=0.1,"N/A",IF(stdProdLT(Main[[#This Row],[Comments]])=0,"",stdProdLT(Main[[#This Row],[Comments]])))</f>
        <v>84</v>
      </c>
      <c r="H89" s="164">
        <f>IF(AND(Main[[#This Row],[In Stock Date]]&lt;&gt;"",Main[[#This Row],[Revised Due Date]]&lt;&gt;""),Main[[#This Row],[In Stock Date]]-Main[[#This Row],[Revised Due Date]],"")</f>
        <v>209</v>
      </c>
      <c r="I89" s="157" t="s">
        <v>939</v>
      </c>
      <c r="J89" s="157" t="s">
        <v>28</v>
      </c>
      <c r="K89" s="157" t="s">
        <v>1926</v>
      </c>
      <c r="L89" s="160">
        <v>40959</v>
      </c>
      <c r="M89" s="167">
        <f>IF(Main[[#This Row],[Tech Start Date]]&lt;1/1/1990,"",IF(Main[[#This Row],[Class]]="C",WORKDAY(Main[[#This Row],[Tech Start Date]],9),IF(Main[[#This Row],[Class]]="B", WORKDAY(Main[[#This Row],[Tech Start Date]],6),IF(Main[[#This Row],[Class]]="A",WORKDAY(Main[[#This Row],[Tech Start Date]],2),""))))</f>
        <v>40961</v>
      </c>
      <c r="N89" s="167">
        <f>IF(Main[[#This Row],[Tech Start Date]]&lt;1/1/1990,"",IF(Main[[#This Row],[Class]]="C",WORKDAY(Main[[#This Row],[Tech Start Date]],19),IF(Main[[#This Row],[Class]]="B", WORKDAY(Main[[#This Row],[Tech Start Date]],12),IF(Main[[#This Row],[Class]]="A",WORKDAY(Main[[#This Row],[Tech Start Date]],4),""))))</f>
        <v>40963</v>
      </c>
      <c r="O89" s="167">
        <f>IF(Main[[#This Row],[Tech Start Date]]&lt;1/1/1990,"",IF(Main[[#This Row],[Class]]="C",WORKDAY(Main[[#This Row],[Tech Start Date]],23),IF(Main[[#This Row],[Class]]="B", WORKDAY(Main[[#This Row],[Tech Start Date]],15),IF(Main[[#This Row],[Class]]="A",WORKDAY(Main[[#This Row],[Tech Start Date]],5),""))))</f>
        <v>40966</v>
      </c>
      <c r="P89" s="167">
        <f>IF(Main[[#This Row],[Tech Start Date]]&lt;1/1/1990,"",IF(Main[[#This Row],[Class]]="C",WORKDAY(Main[[#This Row],[Tech Start Date]],28),IF(Main[[#This Row],[Class]]="B", WORKDAY(Main[[#This Row],[Tech Start Date]],19),IF(Main[[#This Row],[Class]]="A",WORKDAY(Main[[#This Row],[Tech Start Date]],9),""))))</f>
        <v>40970</v>
      </c>
      <c r="Q89" s="160"/>
      <c r="R89" s="160">
        <v>40974</v>
      </c>
      <c r="S89" s="157" t="s">
        <v>11</v>
      </c>
      <c r="T89" s="171" t="s">
        <v>3929</v>
      </c>
      <c r="U89" s="157" t="s">
        <v>534</v>
      </c>
      <c r="V89" s="157" t="s">
        <v>1917</v>
      </c>
      <c r="W89" s="157" t="s">
        <v>1922</v>
      </c>
      <c r="X89" s="157" t="s">
        <v>2823</v>
      </c>
      <c r="Y89" s="157" t="s">
        <v>3136</v>
      </c>
      <c r="Z89" s="157" t="s">
        <v>129</v>
      </c>
      <c r="AA89" s="153" t="s">
        <v>2823</v>
      </c>
    </row>
    <row r="90" spans="1:27" ht="18.600000000000001" customHeight="1">
      <c r="A90" s="155">
        <f>IF(priority(Main[[#This Row],[Comments]])&lt;&gt;0, priority(Main[[#This Row],[Comments]]),"")</f>
        <v>24</v>
      </c>
      <c r="B90" s="156" t="s">
        <v>3378</v>
      </c>
      <c r="C90" s="157" t="s">
        <v>2680</v>
      </c>
      <c r="D90" s="158" t="s">
        <v>3893</v>
      </c>
      <c r="E90" s="160">
        <v>40939.753379629627</v>
      </c>
      <c r="F90" s="160">
        <v>41013</v>
      </c>
      <c r="G90" s="162" t="str">
        <f>IF(stdProdLT(Main[[#This Row],[Comments]])=0.1,"N/A",IF(stdProdLT(Main[[#This Row],[Comments]])=0,"",stdProdLT(Main[[#This Row],[Comments]])))</f>
        <v>N/A</v>
      </c>
      <c r="H90" s="164">
        <f>IF(AND(Main[[#This Row],[In Stock Date]]&lt;&gt;"",Main[[#This Row],[Revised Due Date]]&lt;&gt;""),Main[[#This Row],[In Stock Date]]-Main[[#This Row],[Revised Due Date]],"")</f>
        <v>46</v>
      </c>
      <c r="I90" s="157" t="s">
        <v>2211</v>
      </c>
      <c r="J90" s="157" t="s">
        <v>75</v>
      </c>
      <c r="K90" s="157" t="s">
        <v>1926</v>
      </c>
      <c r="L90" s="160">
        <v>40946</v>
      </c>
      <c r="M90" s="167">
        <f>IF(Main[[#This Row],[Tech Start Date]]&lt;1/1/1990,"",IF(Main[[#This Row],[Class]]="C",WORKDAY(Main[[#This Row],[Tech Start Date]],9),IF(Main[[#This Row],[Class]]="B", WORKDAY(Main[[#This Row],[Tech Start Date]],6),IF(Main[[#This Row],[Class]]="A",WORKDAY(Main[[#This Row],[Tech Start Date]],2),""))))</f>
        <v>40948</v>
      </c>
      <c r="N90" s="167">
        <f>IF(Main[[#This Row],[Tech Start Date]]&lt;1/1/1990,"",IF(Main[[#This Row],[Class]]="C",WORKDAY(Main[[#This Row],[Tech Start Date]],19),IF(Main[[#This Row],[Class]]="B", WORKDAY(Main[[#This Row],[Tech Start Date]],12),IF(Main[[#This Row],[Class]]="A",WORKDAY(Main[[#This Row],[Tech Start Date]],4),""))))</f>
        <v>40952</v>
      </c>
      <c r="O90" s="167">
        <f>IF(Main[[#This Row],[Tech Start Date]]&lt;1/1/1990,"",IF(Main[[#This Row],[Class]]="C",WORKDAY(Main[[#This Row],[Tech Start Date]],23),IF(Main[[#This Row],[Class]]="B", WORKDAY(Main[[#This Row],[Tech Start Date]],15),IF(Main[[#This Row],[Class]]="A",WORKDAY(Main[[#This Row],[Tech Start Date]],5),""))))</f>
        <v>40953</v>
      </c>
      <c r="P90" s="167">
        <f>IF(Main[[#This Row],[Tech Start Date]]&lt;1/1/1990,"",IF(Main[[#This Row],[Class]]="C",WORKDAY(Main[[#This Row],[Tech Start Date]],28),IF(Main[[#This Row],[Class]]="B", WORKDAY(Main[[#This Row],[Tech Start Date]],19),IF(Main[[#This Row],[Class]]="A",WORKDAY(Main[[#This Row],[Tech Start Date]],9),""))))</f>
        <v>40959</v>
      </c>
      <c r="Q90" s="160">
        <v>40915</v>
      </c>
      <c r="R90" s="160">
        <v>40967</v>
      </c>
      <c r="S90" s="157" t="s">
        <v>11</v>
      </c>
      <c r="T90" s="171" t="s">
        <v>3894</v>
      </c>
      <c r="U90" s="157" t="s">
        <v>29</v>
      </c>
      <c r="V90" s="157" t="s">
        <v>1927</v>
      </c>
      <c r="W90" s="157" t="s">
        <v>1925</v>
      </c>
      <c r="X90" s="157" t="s">
        <v>3379</v>
      </c>
      <c r="Y90" s="157" t="s">
        <v>4</v>
      </c>
      <c r="Z90" s="157" t="s">
        <v>530</v>
      </c>
      <c r="AA90" s="153" t="s">
        <v>3379</v>
      </c>
    </row>
    <row r="91" spans="1:27" ht="18.600000000000001" customHeight="1">
      <c r="A91" s="139">
        <f>IF(priority(Main[[#This Row],[Comments]])&lt;&gt;0, priority(Main[[#This Row],[Comments]]),"")</f>
        <v>25</v>
      </c>
      <c r="B91" s="89" t="s">
        <v>3241</v>
      </c>
      <c r="C91" s="72" t="s">
        <v>2774</v>
      </c>
      <c r="D91" s="73" t="s">
        <v>2817</v>
      </c>
      <c r="E91" s="74"/>
      <c r="F91" s="74"/>
      <c r="G91" s="75">
        <f>IF(stdProdLT(Main[[#This Row],[Comments]])=0.1,"N/A",IF(stdProdLT(Main[[#This Row],[Comments]])=0,"",stdProdLT(Main[[#This Row],[Comments]])))</f>
        <v>98</v>
      </c>
      <c r="H91" s="76" t="str">
        <f>IF(AND(Main[[#This Row],[In Stock Date]]&lt;&gt;"",Main[[#This Row],[Revised Due Date]]&lt;&gt;""),Main[[#This Row],[In Stock Date]]-Main[[#This Row],[Revised Due Date]],"")</f>
        <v/>
      </c>
      <c r="I91" s="72" t="s">
        <v>4</v>
      </c>
      <c r="J91" s="72" t="s">
        <v>4</v>
      </c>
      <c r="K91" s="72" t="s">
        <v>4</v>
      </c>
      <c r="L91" s="74"/>
      <c r="M91" s="77" t="str">
        <f>IF(Main[[#This Row],[Tech Start Date]]&lt;1/1/1990,"",IF(Main[[#This Row],[Class]]="C",WORKDAY(Main[[#This Row],[Tech Start Date]],9),IF(Main[[#This Row],[Class]]="B", WORKDAY(Main[[#This Row],[Tech Start Date]],6),IF(Main[[#This Row],[Class]]="A",WORKDAY(Main[[#This Row],[Tech Start Date]],2),""))))</f>
        <v/>
      </c>
      <c r="N91" s="77" t="str">
        <f>IF(Main[[#This Row],[Tech Start Date]]&lt;1/1/1990,"",IF(Main[[#This Row],[Class]]="C",WORKDAY(Main[[#This Row],[Tech Start Date]],19),IF(Main[[#This Row],[Class]]="B", WORKDAY(Main[[#This Row],[Tech Start Date]],12),IF(Main[[#This Row],[Class]]="A",WORKDAY(Main[[#This Row],[Tech Start Date]],4),""))))</f>
        <v/>
      </c>
      <c r="O91" s="77" t="str">
        <f>IF(Main[[#This Row],[Tech Start Date]]&lt;1/1/1990,"",IF(Main[[#This Row],[Class]]="C",WORKDAY(Main[[#This Row],[Tech Start Date]],23),IF(Main[[#This Row],[Class]]="B", WORKDAY(Main[[#This Row],[Tech Start Date]],15),IF(Main[[#This Row],[Class]]="A",WORKDAY(Main[[#This Row],[Tech Start Date]],5),""))))</f>
        <v/>
      </c>
      <c r="P91" s="77" t="str">
        <f>IF(Main[[#This Row],[Tech Start Date]]&lt;1/1/1990,"",IF(Main[[#This Row],[Class]]="C",WORKDAY(Main[[#This Row],[Tech Start Date]],28),IF(Main[[#This Row],[Class]]="B", WORKDAY(Main[[#This Row],[Tech Start Date]],19),IF(Main[[#This Row],[Class]]="A",WORKDAY(Main[[#This Row],[Tech Start Date]],9),""))))</f>
        <v/>
      </c>
      <c r="Q91" s="74">
        <v>40889</v>
      </c>
      <c r="R91" s="74"/>
      <c r="S91" s="72" t="s">
        <v>11</v>
      </c>
      <c r="T91" s="80" t="s">
        <v>3234</v>
      </c>
      <c r="U91" s="72" t="s">
        <v>12</v>
      </c>
      <c r="V91" s="72" t="s">
        <v>1917</v>
      </c>
      <c r="W91" s="72" t="s">
        <v>1923</v>
      </c>
      <c r="X91" s="72" t="s">
        <v>3242</v>
      </c>
      <c r="Y91" s="72" t="s">
        <v>4</v>
      </c>
      <c r="Z91" s="72" t="s">
        <v>4</v>
      </c>
      <c r="AA91" s="146" t="s">
        <v>2860</v>
      </c>
    </row>
    <row r="92" spans="1:27" ht="18.600000000000001" customHeight="1">
      <c r="A92" s="139">
        <f>IF(priority(Main[[#This Row],[Comments]])&lt;&gt;0, priority(Main[[#This Row],[Comments]]),"")</f>
        <v>26</v>
      </c>
      <c r="B92" s="89" t="s">
        <v>1462</v>
      </c>
      <c r="C92" s="72" t="s">
        <v>4</v>
      </c>
      <c r="D92" s="73" t="s">
        <v>2317</v>
      </c>
      <c r="E92" s="74">
        <v>40702.622164351851</v>
      </c>
      <c r="F92" s="74"/>
      <c r="G92" s="75" t="str">
        <f>IF(stdProdLT(Main[[#This Row],[Comments]])=0.1,"N/A",IF(stdProdLT(Main[[#This Row],[Comments]])=0,"",stdProdLT(Main[[#This Row],[Comments]])))</f>
        <v>N/A</v>
      </c>
      <c r="H92" s="76" t="str">
        <f>IF(AND(Main[[#This Row],[In Stock Date]]&lt;&gt;"",Main[[#This Row],[Revised Due Date]]&lt;&gt;""),Main[[#This Row],[In Stock Date]]-Main[[#This Row],[Revised Due Date]],"")</f>
        <v/>
      </c>
      <c r="I92" s="72" t="s">
        <v>914</v>
      </c>
      <c r="J92" s="72" t="s">
        <v>52</v>
      </c>
      <c r="K92" s="81" t="s">
        <v>4</v>
      </c>
      <c r="L92" s="74"/>
      <c r="M92" s="77" t="str">
        <f>IF(Main[[#This Row],[Tech Start Date]]&lt;1/1/1990,"",IF(Main[[#This Row],[Class]]="C",WORKDAY(Main[[#This Row],[Tech Start Date]],9),IF(Main[[#This Row],[Class]]="B", WORKDAY(Main[[#This Row],[Tech Start Date]],6),IF(Main[[#This Row],[Class]]="A",WORKDAY(Main[[#This Row],[Tech Start Date]],2),""))))</f>
        <v/>
      </c>
      <c r="N92" s="77" t="str">
        <f>IF(Main[[#This Row],[Tech Start Date]]&lt;1/1/1990,"",IF(Main[[#This Row],[Class]]="C",WORKDAY(Main[[#This Row],[Tech Start Date]],19),IF(Main[[#This Row],[Class]]="B", WORKDAY(Main[[#This Row],[Tech Start Date]],12),IF(Main[[#This Row],[Class]]="A",WORKDAY(Main[[#This Row],[Tech Start Date]],4),""))))</f>
        <v/>
      </c>
      <c r="O92" s="77" t="str">
        <f>IF(Main[[#This Row],[Tech Start Date]]&lt;1/1/1990,"",IF(Main[[#This Row],[Class]]="C",WORKDAY(Main[[#This Row],[Tech Start Date]],23),IF(Main[[#This Row],[Class]]="B", WORKDAY(Main[[#This Row],[Tech Start Date]],15),IF(Main[[#This Row],[Class]]="A",WORKDAY(Main[[#This Row],[Tech Start Date]],5),""))))</f>
        <v/>
      </c>
      <c r="P92" s="77" t="str">
        <f>IF(Main[[#This Row],[Tech Start Date]]&lt;1/1/1990,"",IF(Main[[#This Row],[Class]]="C",WORKDAY(Main[[#This Row],[Tech Start Date]],28),IF(Main[[#This Row],[Class]]="B", WORKDAY(Main[[#This Row],[Tech Start Date]],19),IF(Main[[#This Row],[Class]]="A",WORKDAY(Main[[#This Row],[Tech Start Date]],9),""))))</f>
        <v/>
      </c>
      <c r="Q92" s="74"/>
      <c r="R92" s="74">
        <v>40756</v>
      </c>
      <c r="S92" s="72" t="s">
        <v>6</v>
      </c>
      <c r="T92" s="80" t="s">
        <v>2265</v>
      </c>
      <c r="U92" s="72" t="s">
        <v>29</v>
      </c>
      <c r="V92" s="72" t="s">
        <v>1917</v>
      </c>
      <c r="W92" s="72" t="s">
        <v>1921</v>
      </c>
      <c r="X92" s="72" t="s">
        <v>914</v>
      </c>
      <c r="Y92" s="72" t="s">
        <v>3063</v>
      </c>
      <c r="Z92" s="72" t="s">
        <v>4</v>
      </c>
      <c r="AA92" s="146" t="s">
        <v>914</v>
      </c>
    </row>
    <row r="93" spans="1:27" ht="18.600000000000001" customHeight="1">
      <c r="A93" s="139">
        <f>IF(priority(Main[[#This Row],[Comments]])&lt;&gt;0, priority(Main[[#This Row],[Comments]]),"")</f>
        <v>26</v>
      </c>
      <c r="B93" s="89" t="s">
        <v>1907</v>
      </c>
      <c r="C93" s="72" t="s">
        <v>956</v>
      </c>
      <c r="D93" s="73" t="s">
        <v>2024</v>
      </c>
      <c r="E93" s="74"/>
      <c r="F93" s="74"/>
      <c r="G93" s="75">
        <f>IF(stdProdLT(Main[[#This Row],[Comments]])=0.1,"N/A",IF(stdProdLT(Main[[#This Row],[Comments]])=0,"",stdProdLT(Main[[#This Row],[Comments]])))</f>
        <v>112</v>
      </c>
      <c r="H93" s="76" t="str">
        <f>IF(AND(Main[[#This Row],[In Stock Date]]&lt;&gt;"",Main[[#This Row],[Revised Due Date]]&lt;&gt;""),Main[[#This Row],[In Stock Date]]-Main[[#This Row],[Revised Due Date]],"")</f>
        <v/>
      </c>
      <c r="I93" s="72" t="s">
        <v>4</v>
      </c>
      <c r="J93" s="72" t="s">
        <v>52</v>
      </c>
      <c r="K93" s="72" t="s">
        <v>1930</v>
      </c>
      <c r="L93" s="74">
        <v>40694</v>
      </c>
      <c r="M93" s="77">
        <f>IF(Main[[#This Row],[Tech Start Date]]&lt;1/1/1990,"",IF(Main[[#This Row],[Class]]="C",WORKDAY(Main[[#This Row],[Tech Start Date]],9),IF(Main[[#This Row],[Class]]="B", WORKDAY(Main[[#This Row],[Tech Start Date]],6),IF(Main[[#This Row],[Class]]="A",WORKDAY(Main[[#This Row],[Tech Start Date]],2),""))))</f>
        <v>40707</v>
      </c>
      <c r="N93" s="77">
        <f>IF(Main[[#This Row],[Tech Start Date]]&lt;1/1/1990,"",IF(Main[[#This Row],[Class]]="C",WORKDAY(Main[[#This Row],[Tech Start Date]],19),IF(Main[[#This Row],[Class]]="B", WORKDAY(Main[[#This Row],[Tech Start Date]],12),IF(Main[[#This Row],[Class]]="A",WORKDAY(Main[[#This Row],[Tech Start Date]],4),""))))</f>
        <v>40721</v>
      </c>
      <c r="O93" s="77">
        <f>IF(Main[[#This Row],[Tech Start Date]]&lt;1/1/1990,"",IF(Main[[#This Row],[Class]]="C",WORKDAY(Main[[#This Row],[Tech Start Date]],23),IF(Main[[#This Row],[Class]]="B", WORKDAY(Main[[#This Row],[Tech Start Date]],15),IF(Main[[#This Row],[Class]]="A",WORKDAY(Main[[#This Row],[Tech Start Date]],5),""))))</f>
        <v>40725</v>
      </c>
      <c r="P93" s="77">
        <f>IF(Main[[#This Row],[Tech Start Date]]&lt;1/1/1990,"",IF(Main[[#This Row],[Class]]="C",WORKDAY(Main[[#This Row],[Tech Start Date]],28),IF(Main[[#This Row],[Class]]="B", WORKDAY(Main[[#This Row],[Tech Start Date]],19),IF(Main[[#This Row],[Class]]="A",WORKDAY(Main[[#This Row],[Tech Start Date]],9),""))))</f>
        <v>40732</v>
      </c>
      <c r="Q93" s="74">
        <v>40723</v>
      </c>
      <c r="R93" s="74">
        <v>40753</v>
      </c>
      <c r="S93" s="72" t="s">
        <v>11</v>
      </c>
      <c r="T93" s="80" t="s">
        <v>2006</v>
      </c>
      <c r="U93" s="72" t="s">
        <v>14</v>
      </c>
      <c r="V93" s="72" t="s">
        <v>1917</v>
      </c>
      <c r="W93" s="72" t="s">
        <v>1919</v>
      </c>
      <c r="X93" s="72" t="s">
        <v>2889</v>
      </c>
      <c r="Y93" s="72" t="s">
        <v>3158</v>
      </c>
      <c r="Z93" s="72" t="s">
        <v>3166</v>
      </c>
      <c r="AA93" s="146" t="s">
        <v>2889</v>
      </c>
    </row>
    <row r="94" spans="1:27" ht="18.600000000000001" customHeight="1">
      <c r="A94" s="140">
        <f>IF(priority(Main[[#This Row],[Comments]])&lt;&gt;0, priority(Main[[#This Row],[Comments]]),"")</f>
        <v>26</v>
      </c>
      <c r="B94" s="89" t="s">
        <v>1437</v>
      </c>
      <c r="C94" s="82" t="s">
        <v>131</v>
      </c>
      <c r="D94" s="83" t="s">
        <v>2008</v>
      </c>
      <c r="E94" s="84"/>
      <c r="F94" s="84">
        <v>40939</v>
      </c>
      <c r="G94" s="82">
        <f>IF(stdProdLT(Main[[#This Row],[Comments]])=0.1,"N/A",IF(stdProdLT(Main[[#This Row],[Comments]])=0,"",stdProdLT(Main[[#This Row],[Comments]])))</f>
        <v>126</v>
      </c>
      <c r="H94" s="85">
        <f>IF(AND(Main[[#This Row],[In Stock Date]]&lt;&gt;"",Main[[#This Row],[Revised Due Date]]&lt;&gt;""),Main[[#This Row],[In Stock Date]]-Main[[#This Row],[Revised Due Date]],"")</f>
        <v>154</v>
      </c>
      <c r="I94" s="82" t="s">
        <v>126</v>
      </c>
      <c r="J94" s="82" t="s">
        <v>28</v>
      </c>
      <c r="K94" s="82" t="s">
        <v>1930</v>
      </c>
      <c r="L94" s="84">
        <v>40736</v>
      </c>
      <c r="M94" s="86">
        <f>IF(Main[[#This Row],[Tech Start Date]]&lt;1/1/1990,"",IF(Main[[#This Row],[Class]]="C",WORKDAY(Main[[#This Row],[Tech Start Date]],9),IF(Main[[#This Row],[Class]]="B", WORKDAY(Main[[#This Row],[Tech Start Date]],6),IF(Main[[#This Row],[Class]]="A",WORKDAY(Main[[#This Row],[Tech Start Date]],2),""))))</f>
        <v>40749</v>
      </c>
      <c r="N94" s="86">
        <f>IF(Main[[#This Row],[Tech Start Date]]&lt;1/1/1990,"",IF(Main[[#This Row],[Class]]="C",WORKDAY(Main[[#This Row],[Tech Start Date]],19),IF(Main[[#This Row],[Class]]="B", WORKDAY(Main[[#This Row],[Tech Start Date]],12),IF(Main[[#This Row],[Class]]="A",WORKDAY(Main[[#This Row],[Tech Start Date]],4),""))))</f>
        <v>40763</v>
      </c>
      <c r="O94" s="86">
        <f>IF(Main[[#This Row],[Tech Start Date]]&lt;1/1/1990,"",IF(Main[[#This Row],[Class]]="C",WORKDAY(Main[[#This Row],[Tech Start Date]],23),IF(Main[[#This Row],[Class]]="B", WORKDAY(Main[[#This Row],[Tech Start Date]],15),IF(Main[[#This Row],[Class]]="A",WORKDAY(Main[[#This Row],[Tech Start Date]],5),""))))</f>
        <v>40767</v>
      </c>
      <c r="P94" s="86">
        <f>IF(Main[[#This Row],[Tech Start Date]]&lt;1/1/1990,"",IF(Main[[#This Row],[Class]]="C",WORKDAY(Main[[#This Row],[Tech Start Date]],28),IF(Main[[#This Row],[Class]]="B", WORKDAY(Main[[#This Row],[Tech Start Date]],19),IF(Main[[#This Row],[Class]]="A",WORKDAY(Main[[#This Row],[Tech Start Date]],9),""))))</f>
        <v>40774</v>
      </c>
      <c r="Q94" s="84">
        <v>40799</v>
      </c>
      <c r="R94" s="84">
        <v>40785</v>
      </c>
      <c r="S94" s="82" t="s">
        <v>11</v>
      </c>
      <c r="T94" s="87" t="s">
        <v>2009</v>
      </c>
      <c r="U94" s="82" t="s">
        <v>14</v>
      </c>
      <c r="V94" s="82" t="s">
        <v>1917</v>
      </c>
      <c r="W94" s="82" t="s">
        <v>1928</v>
      </c>
      <c r="X94" s="82" t="s">
        <v>2858</v>
      </c>
      <c r="Y94" s="82" t="s">
        <v>3140</v>
      </c>
      <c r="Z94" s="82" t="s">
        <v>129</v>
      </c>
      <c r="AA94" s="146" t="s">
        <v>2858</v>
      </c>
    </row>
    <row r="95" spans="1:27" ht="18.600000000000001" customHeight="1">
      <c r="A95" s="139">
        <f>IF(priority(Main[[#This Row],[Comments]])&lt;&gt;0, priority(Main[[#This Row],[Comments]]),"")</f>
        <v>26</v>
      </c>
      <c r="B95" s="89" t="s">
        <v>2697</v>
      </c>
      <c r="C95" s="72" t="s">
        <v>2698</v>
      </c>
      <c r="D95" s="73" t="s">
        <v>3240</v>
      </c>
      <c r="E95" s="74">
        <v>40899.118032407408</v>
      </c>
      <c r="F95" s="74">
        <v>41122</v>
      </c>
      <c r="G95" s="75">
        <f>IF(stdProdLT(Main[[#This Row],[Comments]])=0.1,"N/A",IF(stdProdLT(Main[[#This Row],[Comments]])=0,"",stdProdLT(Main[[#This Row],[Comments]])))</f>
        <v>84</v>
      </c>
      <c r="H95" s="76">
        <f>IF(AND(Main[[#This Row],[In Stock Date]]&lt;&gt;"",Main[[#This Row],[Revised Due Date]]&lt;&gt;""),Main[[#This Row],[In Stock Date]]-Main[[#This Row],[Revised Due Date]],"")</f>
        <v>138</v>
      </c>
      <c r="I95" s="72" t="s">
        <v>896</v>
      </c>
      <c r="J95" s="72" t="s">
        <v>52</v>
      </c>
      <c r="K95" s="72" t="s">
        <v>1930</v>
      </c>
      <c r="L95" s="74"/>
      <c r="M95" s="77" t="str">
        <f>IF(Main[[#This Row],[Tech Start Date]]&lt;1/1/1990,"",IF(Main[[#This Row],[Class]]="C",WORKDAY(Main[[#This Row],[Tech Start Date]],9),IF(Main[[#This Row],[Class]]="B", WORKDAY(Main[[#This Row],[Tech Start Date]],6),IF(Main[[#This Row],[Class]]="A",WORKDAY(Main[[#This Row],[Tech Start Date]],2),""))))</f>
        <v/>
      </c>
      <c r="N95" s="77" t="str">
        <f>IF(Main[[#This Row],[Tech Start Date]]&lt;1/1/1990,"",IF(Main[[#This Row],[Class]]="C",WORKDAY(Main[[#This Row],[Tech Start Date]],19),IF(Main[[#This Row],[Class]]="B", WORKDAY(Main[[#This Row],[Tech Start Date]],12),IF(Main[[#This Row],[Class]]="A",WORKDAY(Main[[#This Row],[Tech Start Date]],4),""))))</f>
        <v/>
      </c>
      <c r="O95" s="77" t="str">
        <f>IF(Main[[#This Row],[Tech Start Date]]&lt;1/1/1990,"",IF(Main[[#This Row],[Class]]="C",WORKDAY(Main[[#This Row],[Tech Start Date]],23),IF(Main[[#This Row],[Class]]="B", WORKDAY(Main[[#This Row],[Tech Start Date]],15),IF(Main[[#This Row],[Class]]="A",WORKDAY(Main[[#This Row],[Tech Start Date]],5),""))))</f>
        <v/>
      </c>
      <c r="P95" s="77" t="str">
        <f>IF(Main[[#This Row],[Tech Start Date]]&lt;1/1/1990,"",IF(Main[[#This Row],[Class]]="C",WORKDAY(Main[[#This Row],[Tech Start Date]],28),IF(Main[[#This Row],[Class]]="B", WORKDAY(Main[[#This Row],[Tech Start Date]],19),IF(Main[[#This Row],[Class]]="A",WORKDAY(Main[[#This Row],[Tech Start Date]],9),""))))</f>
        <v/>
      </c>
      <c r="Q95" s="74">
        <v>40960</v>
      </c>
      <c r="R95" s="74">
        <v>40984</v>
      </c>
      <c r="S95" s="72" t="s">
        <v>11</v>
      </c>
      <c r="T95" s="80" t="s">
        <v>3616</v>
      </c>
      <c r="U95" s="72" t="s">
        <v>29</v>
      </c>
      <c r="V95" s="72" t="s">
        <v>1917</v>
      </c>
      <c r="W95" s="72" t="s">
        <v>1923</v>
      </c>
      <c r="X95" s="72" t="s">
        <v>2841</v>
      </c>
      <c r="Y95" s="72" t="s">
        <v>4</v>
      </c>
      <c r="Z95" s="72" t="s">
        <v>914</v>
      </c>
      <c r="AA95" s="146" t="s">
        <v>2841</v>
      </c>
    </row>
    <row r="96" spans="1:27" ht="18.600000000000001" customHeight="1">
      <c r="A96" s="155">
        <f>IF(priority(Main[[#This Row],[Comments]])&lt;&gt;0, priority(Main[[#This Row],[Comments]]),"")</f>
        <v>27</v>
      </c>
      <c r="B96" s="156" t="s">
        <v>3933</v>
      </c>
      <c r="C96" s="157" t="s">
        <v>3923</v>
      </c>
      <c r="D96" s="158" t="s">
        <v>3934</v>
      </c>
      <c r="E96" s="160">
        <v>40955.592650462961</v>
      </c>
      <c r="F96" s="160">
        <v>41173</v>
      </c>
      <c r="G96" s="162">
        <f>IF(stdProdLT(Main[[#This Row],[Comments]])=0.1,"N/A",IF(stdProdLT(Main[[#This Row],[Comments]])=0,"",stdProdLT(Main[[#This Row],[Comments]])))</f>
        <v>126</v>
      </c>
      <c r="H96" s="164">
        <f>IF(AND(Main[[#This Row],[In Stock Date]]&lt;&gt;"",Main[[#This Row],[Revised Due Date]]&lt;&gt;""),Main[[#This Row],[In Stock Date]]-Main[[#This Row],[Revised Due Date]],"")</f>
        <v>179</v>
      </c>
      <c r="I96" s="157" t="s">
        <v>562</v>
      </c>
      <c r="J96" s="157" t="s">
        <v>28</v>
      </c>
      <c r="K96" s="157" t="s">
        <v>1924</v>
      </c>
      <c r="L96" s="160">
        <v>40959</v>
      </c>
      <c r="M96" s="167">
        <f>IF(Main[[#This Row],[Tech Start Date]]&lt;1/1/1990,"",IF(Main[[#This Row],[Class]]="C",WORKDAY(Main[[#This Row],[Tech Start Date]],9),IF(Main[[#This Row],[Class]]="B", WORKDAY(Main[[#This Row],[Tech Start Date]],6),IF(Main[[#This Row],[Class]]="A",WORKDAY(Main[[#This Row],[Tech Start Date]],2),""))))</f>
        <v>40967</v>
      </c>
      <c r="N96" s="167">
        <f>IF(Main[[#This Row],[Tech Start Date]]&lt;1/1/1990,"",IF(Main[[#This Row],[Class]]="C",WORKDAY(Main[[#This Row],[Tech Start Date]],19),IF(Main[[#This Row],[Class]]="B", WORKDAY(Main[[#This Row],[Tech Start Date]],12),IF(Main[[#This Row],[Class]]="A",WORKDAY(Main[[#This Row],[Tech Start Date]],4),""))))</f>
        <v>40975</v>
      </c>
      <c r="O96" s="167">
        <f>IF(Main[[#This Row],[Tech Start Date]]&lt;1/1/1990,"",IF(Main[[#This Row],[Class]]="C",WORKDAY(Main[[#This Row],[Tech Start Date]],23),IF(Main[[#This Row],[Class]]="B", WORKDAY(Main[[#This Row],[Tech Start Date]],15),IF(Main[[#This Row],[Class]]="A",WORKDAY(Main[[#This Row],[Tech Start Date]],5),""))))</f>
        <v>40980</v>
      </c>
      <c r="P96" s="167">
        <f>IF(Main[[#This Row],[Tech Start Date]]&lt;1/1/1990,"",IF(Main[[#This Row],[Class]]="C",WORKDAY(Main[[#This Row],[Tech Start Date]],28),IF(Main[[#This Row],[Class]]="B", WORKDAY(Main[[#This Row],[Tech Start Date]],19),IF(Main[[#This Row],[Class]]="A",WORKDAY(Main[[#This Row],[Tech Start Date]],9),""))))</f>
        <v>40984</v>
      </c>
      <c r="Q96" s="160"/>
      <c r="R96" s="160">
        <v>40994</v>
      </c>
      <c r="S96" s="157" t="s">
        <v>11</v>
      </c>
      <c r="T96" s="171" t="s">
        <v>3935</v>
      </c>
      <c r="U96" s="157" t="s">
        <v>29</v>
      </c>
      <c r="V96" s="157" t="s">
        <v>1917</v>
      </c>
      <c r="W96" s="157" t="s">
        <v>1923</v>
      </c>
      <c r="X96" s="157" t="s">
        <v>2858</v>
      </c>
      <c r="Y96" s="157" t="s">
        <v>2996</v>
      </c>
      <c r="Z96" s="157" t="s">
        <v>129</v>
      </c>
      <c r="AA96" s="153" t="s">
        <v>2858</v>
      </c>
    </row>
    <row r="97" spans="1:27" ht="18.600000000000001" customHeight="1">
      <c r="A97" s="139">
        <f>IF(priority(Main[[#This Row],[Comments]])&lt;&gt;0, priority(Main[[#This Row],[Comments]]),"")</f>
        <v>28</v>
      </c>
      <c r="B97" s="89" t="s">
        <v>1019</v>
      </c>
      <c r="C97" s="72" t="s">
        <v>4</v>
      </c>
      <c r="D97" s="73" t="s">
        <v>2312</v>
      </c>
      <c r="E97" s="74">
        <v>40603.481041666666</v>
      </c>
      <c r="F97" s="74"/>
      <c r="G97" s="75" t="str">
        <f>IF(stdProdLT(Main[[#This Row],[Comments]])=0.1,"N/A",IF(stdProdLT(Main[[#This Row],[Comments]])=0,"",stdProdLT(Main[[#This Row],[Comments]])))</f>
        <v/>
      </c>
      <c r="H97" s="76" t="str">
        <f>IF(AND(Main[[#This Row],[In Stock Date]]&lt;&gt;"",Main[[#This Row],[Revised Due Date]]&lt;&gt;""),Main[[#This Row],[In Stock Date]]-Main[[#This Row],[Revised Due Date]],"")</f>
        <v/>
      </c>
      <c r="I97" s="72" t="s">
        <v>914</v>
      </c>
      <c r="J97" s="72" t="s">
        <v>52</v>
      </c>
      <c r="K97" s="72" t="s">
        <v>1926</v>
      </c>
      <c r="L97" s="74"/>
      <c r="M97" s="77" t="str">
        <f>IF(Main[[#This Row],[Tech Start Date]]&lt;1/1/1990,"",IF(Main[[#This Row],[Class]]="C",WORKDAY(Main[[#This Row],[Tech Start Date]],9),IF(Main[[#This Row],[Class]]="B", WORKDAY(Main[[#This Row],[Tech Start Date]],6),IF(Main[[#This Row],[Class]]="A",WORKDAY(Main[[#This Row],[Tech Start Date]],2),""))))</f>
        <v/>
      </c>
      <c r="N97" s="77" t="str">
        <f>IF(Main[[#This Row],[Tech Start Date]]&lt;1/1/1990,"",IF(Main[[#This Row],[Class]]="C",WORKDAY(Main[[#This Row],[Tech Start Date]],19),IF(Main[[#This Row],[Class]]="B", WORKDAY(Main[[#This Row],[Tech Start Date]],12),IF(Main[[#This Row],[Class]]="A",WORKDAY(Main[[#This Row],[Tech Start Date]],4),""))))</f>
        <v/>
      </c>
      <c r="O97" s="77" t="str">
        <f>IF(Main[[#This Row],[Tech Start Date]]&lt;1/1/1990,"",IF(Main[[#This Row],[Class]]="C",WORKDAY(Main[[#This Row],[Tech Start Date]],23),IF(Main[[#This Row],[Class]]="B", WORKDAY(Main[[#This Row],[Tech Start Date]],15),IF(Main[[#This Row],[Class]]="A",WORKDAY(Main[[#This Row],[Tech Start Date]],5),""))))</f>
        <v/>
      </c>
      <c r="P97" s="77" t="str">
        <f>IF(Main[[#This Row],[Tech Start Date]]&lt;1/1/1990,"",IF(Main[[#This Row],[Class]]="C",WORKDAY(Main[[#This Row],[Tech Start Date]],28),IF(Main[[#This Row],[Class]]="B", WORKDAY(Main[[#This Row],[Tech Start Date]],19),IF(Main[[#This Row],[Class]]="A",WORKDAY(Main[[#This Row],[Tech Start Date]],9),""))))</f>
        <v/>
      </c>
      <c r="Q97" s="74">
        <v>40637</v>
      </c>
      <c r="R97" s="74"/>
      <c r="S97" s="72" t="s">
        <v>6</v>
      </c>
      <c r="T97" s="80" t="s">
        <v>2661</v>
      </c>
      <c r="U97" s="72" t="s">
        <v>29</v>
      </c>
      <c r="V97" s="72" t="s">
        <v>1917</v>
      </c>
      <c r="W97" s="72" t="s">
        <v>1919</v>
      </c>
      <c r="X97" s="72" t="s">
        <v>2828</v>
      </c>
      <c r="Y97" s="72" t="s">
        <v>2944</v>
      </c>
      <c r="Z97" s="72" t="s">
        <v>129</v>
      </c>
      <c r="AA97" s="146" t="s">
        <v>2828</v>
      </c>
    </row>
    <row r="98" spans="1:27" ht="18.600000000000001" customHeight="1">
      <c r="A98" s="155">
        <f>IF(priority(Main[[#This Row],[Comments]])&lt;&gt;0, priority(Main[[#This Row],[Comments]]),"")</f>
        <v>28</v>
      </c>
      <c r="B98" s="156" t="s">
        <v>3922</v>
      </c>
      <c r="C98" s="157" t="s">
        <v>3923</v>
      </c>
      <c r="D98" s="158" t="s">
        <v>3924</v>
      </c>
      <c r="E98" s="160">
        <v>40953.707939814813</v>
      </c>
      <c r="F98" s="160">
        <v>41173</v>
      </c>
      <c r="G98" s="162">
        <f>IF(stdProdLT(Main[[#This Row],[Comments]])=0.1,"N/A",IF(stdProdLT(Main[[#This Row],[Comments]])=0,"",stdProdLT(Main[[#This Row],[Comments]])))</f>
        <v>126</v>
      </c>
      <c r="H98" s="164">
        <f>IF(AND(Main[[#This Row],[In Stock Date]]&lt;&gt;"",Main[[#This Row],[Revised Due Date]]&lt;&gt;""),Main[[#This Row],[In Stock Date]]-Main[[#This Row],[Revised Due Date]],"")</f>
        <v>179</v>
      </c>
      <c r="I98" s="157" t="s">
        <v>562</v>
      </c>
      <c r="J98" s="157" t="s">
        <v>28</v>
      </c>
      <c r="K98" s="157" t="s">
        <v>1924</v>
      </c>
      <c r="L98" s="160">
        <v>40959</v>
      </c>
      <c r="M98" s="167">
        <f>IF(Main[[#This Row],[Tech Start Date]]&lt;1/1/1990,"",IF(Main[[#This Row],[Class]]="C",WORKDAY(Main[[#This Row],[Tech Start Date]],9),IF(Main[[#This Row],[Class]]="B", WORKDAY(Main[[#This Row],[Tech Start Date]],6),IF(Main[[#This Row],[Class]]="A",WORKDAY(Main[[#This Row],[Tech Start Date]],2),""))))</f>
        <v>40967</v>
      </c>
      <c r="N98" s="167">
        <f>IF(Main[[#This Row],[Tech Start Date]]&lt;1/1/1990,"",IF(Main[[#This Row],[Class]]="C",WORKDAY(Main[[#This Row],[Tech Start Date]],19),IF(Main[[#This Row],[Class]]="B", WORKDAY(Main[[#This Row],[Tech Start Date]],12),IF(Main[[#This Row],[Class]]="A",WORKDAY(Main[[#This Row],[Tech Start Date]],4),""))))</f>
        <v>40975</v>
      </c>
      <c r="O98" s="167">
        <f>IF(Main[[#This Row],[Tech Start Date]]&lt;1/1/1990,"",IF(Main[[#This Row],[Class]]="C",WORKDAY(Main[[#This Row],[Tech Start Date]],23),IF(Main[[#This Row],[Class]]="B", WORKDAY(Main[[#This Row],[Tech Start Date]],15),IF(Main[[#This Row],[Class]]="A",WORKDAY(Main[[#This Row],[Tech Start Date]],5),""))))</f>
        <v>40980</v>
      </c>
      <c r="P98" s="167">
        <f>IF(Main[[#This Row],[Tech Start Date]]&lt;1/1/1990,"",IF(Main[[#This Row],[Class]]="C",WORKDAY(Main[[#This Row],[Tech Start Date]],28),IF(Main[[#This Row],[Class]]="B", WORKDAY(Main[[#This Row],[Tech Start Date]],19),IF(Main[[#This Row],[Class]]="A",WORKDAY(Main[[#This Row],[Tech Start Date]],9),""))))</f>
        <v>40984</v>
      </c>
      <c r="Q98" s="160"/>
      <c r="R98" s="160">
        <v>40994</v>
      </c>
      <c r="S98" s="157" t="s">
        <v>11</v>
      </c>
      <c r="T98" s="171" t="s">
        <v>3925</v>
      </c>
      <c r="U98" s="157" t="s">
        <v>29</v>
      </c>
      <c r="V98" s="157" t="s">
        <v>1917</v>
      </c>
      <c r="W98" s="157" t="s">
        <v>1923</v>
      </c>
      <c r="X98" s="157" t="s">
        <v>2858</v>
      </c>
      <c r="Y98" s="157" t="s">
        <v>2996</v>
      </c>
      <c r="Z98" s="157" t="s">
        <v>129</v>
      </c>
      <c r="AA98" s="153" t="s">
        <v>2858</v>
      </c>
    </row>
    <row r="99" spans="1:27" ht="18.600000000000001" customHeight="1">
      <c r="A99" s="155">
        <f>IF(priority(Main[[#This Row],[Comments]])&lt;&gt;0, priority(Main[[#This Row],[Comments]]),"")</f>
        <v>29</v>
      </c>
      <c r="B99" s="156" t="s">
        <v>2773</v>
      </c>
      <c r="C99" s="157" t="s">
        <v>2774</v>
      </c>
      <c r="D99" s="158" t="s">
        <v>3943</v>
      </c>
      <c r="E99" s="160">
        <v>40885.00640046296</v>
      </c>
      <c r="F99" s="160"/>
      <c r="G99" s="162">
        <f>IF(stdProdLT(Main[[#This Row],[Comments]])=0.1,"N/A",IF(stdProdLT(Main[[#This Row],[Comments]])=0,"",stdProdLT(Main[[#This Row],[Comments]])))</f>
        <v>98</v>
      </c>
      <c r="H99" s="164" t="str">
        <f>IF(AND(Main[[#This Row],[In Stock Date]]&lt;&gt;"",Main[[#This Row],[Revised Due Date]]&lt;&gt;""),Main[[#This Row],[In Stock Date]]-Main[[#This Row],[Revised Due Date]],"")</f>
        <v/>
      </c>
      <c r="I99" s="157" t="s">
        <v>891</v>
      </c>
      <c r="J99" s="157" t="s">
        <v>4</v>
      </c>
      <c r="K99" s="157" t="s">
        <v>1930</v>
      </c>
      <c r="L99" s="160">
        <v>40960</v>
      </c>
      <c r="M99" s="167">
        <f>IF(Main[[#This Row],[Tech Start Date]]&lt;1/1/1990,"",IF(Main[[#This Row],[Class]]="C",WORKDAY(Main[[#This Row],[Tech Start Date]],9),IF(Main[[#This Row],[Class]]="B", WORKDAY(Main[[#This Row],[Tech Start Date]],6),IF(Main[[#This Row],[Class]]="A",WORKDAY(Main[[#This Row],[Tech Start Date]],2),""))))</f>
        <v>40973</v>
      </c>
      <c r="N99" s="167">
        <f>IF(Main[[#This Row],[Tech Start Date]]&lt;1/1/1990,"",IF(Main[[#This Row],[Class]]="C",WORKDAY(Main[[#This Row],[Tech Start Date]],19),IF(Main[[#This Row],[Class]]="B", WORKDAY(Main[[#This Row],[Tech Start Date]],12),IF(Main[[#This Row],[Class]]="A",WORKDAY(Main[[#This Row],[Tech Start Date]],4),""))))</f>
        <v>40987</v>
      </c>
      <c r="O99" s="167">
        <f>IF(Main[[#This Row],[Tech Start Date]]&lt;1/1/1990,"",IF(Main[[#This Row],[Class]]="C",WORKDAY(Main[[#This Row],[Tech Start Date]],23),IF(Main[[#This Row],[Class]]="B", WORKDAY(Main[[#This Row],[Tech Start Date]],15),IF(Main[[#This Row],[Class]]="A",WORKDAY(Main[[#This Row],[Tech Start Date]],5),""))))</f>
        <v>40991</v>
      </c>
      <c r="P99" s="167">
        <f>IF(Main[[#This Row],[Tech Start Date]]&lt;1/1/1990,"",IF(Main[[#This Row],[Class]]="C",WORKDAY(Main[[#This Row],[Tech Start Date]],28),IF(Main[[#This Row],[Class]]="B", WORKDAY(Main[[#This Row],[Tech Start Date]],19),IF(Main[[#This Row],[Class]]="A",WORKDAY(Main[[#This Row],[Tech Start Date]],9),""))))</f>
        <v>40998</v>
      </c>
      <c r="Q99" s="160">
        <v>40889</v>
      </c>
      <c r="R99" s="160">
        <v>40988</v>
      </c>
      <c r="S99" s="157" t="s">
        <v>11</v>
      </c>
      <c r="T99" s="171" t="s">
        <v>3944</v>
      </c>
      <c r="U99" s="157" t="s">
        <v>29</v>
      </c>
      <c r="V99" s="157" t="s">
        <v>1917</v>
      </c>
      <c r="W99" s="157" t="s">
        <v>1923</v>
      </c>
      <c r="X99" s="157" t="s">
        <v>2860</v>
      </c>
      <c r="Y99" s="157" t="s">
        <v>4</v>
      </c>
      <c r="Z99" s="157" t="s">
        <v>879</v>
      </c>
      <c r="AA99" s="153" t="s">
        <v>2860</v>
      </c>
    </row>
    <row r="100" spans="1:27" ht="18.600000000000001" customHeight="1">
      <c r="A100" s="155">
        <f>IF(priority(Main[[#This Row],[Comments]])&lt;&gt;0, priority(Main[[#This Row],[Comments]]),"")</f>
        <v>29</v>
      </c>
      <c r="B100" s="156" t="s">
        <v>3529</v>
      </c>
      <c r="C100" s="157" t="s">
        <v>3530</v>
      </c>
      <c r="D100" s="158" t="s">
        <v>3959</v>
      </c>
      <c r="E100" s="160">
        <v>40948.638680555552</v>
      </c>
      <c r="F100" s="160">
        <v>41029</v>
      </c>
      <c r="G100" s="162" t="str">
        <f>IF(stdProdLT(Main[[#This Row],[Comments]])=0.1,"N/A",IF(stdProdLT(Main[[#This Row],[Comments]])=0,"",stdProdLT(Main[[#This Row],[Comments]])))</f>
        <v>N/A</v>
      </c>
      <c r="H100" s="164">
        <f>IF(AND(Main[[#This Row],[In Stock Date]]&lt;&gt;"",Main[[#This Row],[Revised Due Date]]&lt;&gt;""),Main[[#This Row],[In Stock Date]]-Main[[#This Row],[Revised Due Date]],"")</f>
        <v>62</v>
      </c>
      <c r="I100" s="157" t="s">
        <v>2047</v>
      </c>
      <c r="J100" s="157" t="s">
        <v>28</v>
      </c>
      <c r="K100" s="157" t="s">
        <v>1926</v>
      </c>
      <c r="L100" s="160">
        <v>40960</v>
      </c>
      <c r="M100" s="167">
        <f>IF(Main[[#This Row],[Tech Start Date]]&lt;1/1/1990,"",IF(Main[[#This Row],[Class]]="C",WORKDAY(Main[[#This Row],[Tech Start Date]],9),IF(Main[[#This Row],[Class]]="B", WORKDAY(Main[[#This Row],[Tech Start Date]],6),IF(Main[[#This Row],[Class]]="A",WORKDAY(Main[[#This Row],[Tech Start Date]],2),""))))</f>
        <v>40962</v>
      </c>
      <c r="N100" s="167">
        <f>IF(Main[[#This Row],[Tech Start Date]]&lt;1/1/1990,"",IF(Main[[#This Row],[Class]]="C",WORKDAY(Main[[#This Row],[Tech Start Date]],19),IF(Main[[#This Row],[Class]]="B", WORKDAY(Main[[#This Row],[Tech Start Date]],12),IF(Main[[#This Row],[Class]]="A",WORKDAY(Main[[#This Row],[Tech Start Date]],4),""))))</f>
        <v>40966</v>
      </c>
      <c r="O100" s="167">
        <f>IF(Main[[#This Row],[Tech Start Date]]&lt;1/1/1990,"",IF(Main[[#This Row],[Class]]="C",WORKDAY(Main[[#This Row],[Tech Start Date]],23),IF(Main[[#This Row],[Class]]="B", WORKDAY(Main[[#This Row],[Tech Start Date]],15),IF(Main[[#This Row],[Class]]="A",WORKDAY(Main[[#This Row],[Tech Start Date]],5),""))))</f>
        <v>40967</v>
      </c>
      <c r="P100" s="167">
        <f>IF(Main[[#This Row],[Tech Start Date]]&lt;1/1/1990,"",IF(Main[[#This Row],[Class]]="C",WORKDAY(Main[[#This Row],[Tech Start Date]],28),IF(Main[[#This Row],[Class]]="B", WORKDAY(Main[[#This Row],[Tech Start Date]],19),IF(Main[[#This Row],[Class]]="A",WORKDAY(Main[[#This Row],[Tech Start Date]],9),""))))</f>
        <v>40973</v>
      </c>
      <c r="Q100" s="160">
        <v>40956</v>
      </c>
      <c r="R100" s="160">
        <v>40967</v>
      </c>
      <c r="S100" s="157" t="s">
        <v>11</v>
      </c>
      <c r="T100" s="171" t="s">
        <v>3960</v>
      </c>
      <c r="U100" s="157" t="s">
        <v>29</v>
      </c>
      <c r="V100" s="157" t="s">
        <v>1927</v>
      </c>
      <c r="W100" s="157" t="s">
        <v>1925</v>
      </c>
      <c r="X100" s="157" t="s">
        <v>2916</v>
      </c>
      <c r="Y100" s="157" t="s">
        <v>3531</v>
      </c>
      <c r="Z100" s="157" t="s">
        <v>530</v>
      </c>
      <c r="AA100" s="153" t="s">
        <v>2916</v>
      </c>
    </row>
    <row r="101" spans="1:27" ht="18.600000000000001" customHeight="1">
      <c r="A101" s="139">
        <f>IF(priority(Main[[#This Row],[Comments]])&lt;&gt;0, priority(Main[[#This Row],[Comments]]),"")</f>
        <v>30</v>
      </c>
      <c r="B101" s="89" t="s">
        <v>1575</v>
      </c>
      <c r="C101" s="72" t="s">
        <v>1969</v>
      </c>
      <c r="D101" s="73" t="s">
        <v>655</v>
      </c>
      <c r="E101" s="74"/>
      <c r="F101" s="74"/>
      <c r="G101" s="75">
        <f>IF(stdProdLT(Main[[#This Row],[Comments]])=0.1,"N/A",IF(stdProdLT(Main[[#This Row],[Comments]])=0,"",stdProdLT(Main[[#This Row],[Comments]])))</f>
        <v>126</v>
      </c>
      <c r="H101" s="76" t="str">
        <f>IF(AND(Main[[#This Row],[In Stock Date]]&lt;&gt;"",Main[[#This Row],[Revised Due Date]]&lt;&gt;""),Main[[#This Row],[In Stock Date]]-Main[[#This Row],[Revised Due Date]],"")</f>
        <v/>
      </c>
      <c r="I101" s="72" t="s">
        <v>4</v>
      </c>
      <c r="J101" s="72" t="s">
        <v>4</v>
      </c>
      <c r="K101" s="81" t="s">
        <v>4</v>
      </c>
      <c r="L101" s="74"/>
      <c r="M101" s="77" t="str">
        <f>IF(Main[[#This Row],[Tech Start Date]]&lt;1/1/1990,"",IF(Main[[#This Row],[Class]]="C",WORKDAY(Main[[#This Row],[Tech Start Date]],9),IF(Main[[#This Row],[Class]]="B", WORKDAY(Main[[#This Row],[Tech Start Date]],6),IF(Main[[#This Row],[Class]]="A",WORKDAY(Main[[#This Row],[Tech Start Date]],2),""))))</f>
        <v/>
      </c>
      <c r="N101" s="77" t="str">
        <f>IF(Main[[#This Row],[Tech Start Date]]&lt;1/1/1990,"",IF(Main[[#This Row],[Class]]="C",WORKDAY(Main[[#This Row],[Tech Start Date]],19),IF(Main[[#This Row],[Class]]="B", WORKDAY(Main[[#This Row],[Tech Start Date]],12),IF(Main[[#This Row],[Class]]="A",WORKDAY(Main[[#This Row],[Tech Start Date]],4),""))))</f>
        <v/>
      </c>
      <c r="O101" s="77" t="str">
        <f>IF(Main[[#This Row],[Tech Start Date]]&lt;1/1/1990,"",IF(Main[[#This Row],[Class]]="C",WORKDAY(Main[[#This Row],[Tech Start Date]],23),IF(Main[[#This Row],[Class]]="B", WORKDAY(Main[[#This Row],[Tech Start Date]],15),IF(Main[[#This Row],[Class]]="A",WORKDAY(Main[[#This Row],[Tech Start Date]],5),""))))</f>
        <v/>
      </c>
      <c r="P101" s="77" t="str">
        <f>IF(Main[[#This Row],[Tech Start Date]]&lt;1/1/1990,"",IF(Main[[#This Row],[Class]]="C",WORKDAY(Main[[#This Row],[Tech Start Date]],28),IF(Main[[#This Row],[Class]]="B", WORKDAY(Main[[#This Row],[Tech Start Date]],19),IF(Main[[#This Row],[Class]]="A",WORKDAY(Main[[#This Row],[Tech Start Date]],9),""))))</f>
        <v/>
      </c>
      <c r="Q101" s="74">
        <v>40710</v>
      </c>
      <c r="R101" s="74">
        <v>40778</v>
      </c>
      <c r="S101" s="72" t="s">
        <v>11</v>
      </c>
      <c r="T101" s="80" t="s">
        <v>1970</v>
      </c>
      <c r="U101" s="72" t="s">
        <v>14</v>
      </c>
      <c r="V101" s="72" t="s">
        <v>1917</v>
      </c>
      <c r="W101" s="72" t="s">
        <v>1919</v>
      </c>
      <c r="X101" s="72" t="s">
        <v>2863</v>
      </c>
      <c r="Y101" s="72" t="s">
        <v>3004</v>
      </c>
      <c r="Z101" s="72" t="s">
        <v>4</v>
      </c>
      <c r="AA101" s="146" t="s">
        <v>2863</v>
      </c>
    </row>
    <row r="102" spans="1:27" ht="18.600000000000001" customHeight="1">
      <c r="A102" s="139">
        <f>IF(priority(Main[[#This Row],[Comments]])&lt;&gt;0, priority(Main[[#This Row],[Comments]]),"")</f>
        <v>30</v>
      </c>
      <c r="B102" s="89" t="s">
        <v>1032</v>
      </c>
      <c r="C102" s="72" t="s">
        <v>37</v>
      </c>
      <c r="D102" s="73" t="s">
        <v>2311</v>
      </c>
      <c r="E102" s="74">
        <v>40578.593101851853</v>
      </c>
      <c r="F102" s="74">
        <v>40603</v>
      </c>
      <c r="G102" s="75" t="str">
        <f>IF(stdProdLT(Main[[#This Row],[Comments]])=0.1,"N/A",IF(stdProdLT(Main[[#This Row],[Comments]])=0,"",stdProdLT(Main[[#This Row],[Comments]])))</f>
        <v/>
      </c>
      <c r="H102" s="76" t="str">
        <f>IF(AND(Main[[#This Row],[In Stock Date]]&lt;&gt;"",Main[[#This Row],[Revised Due Date]]&lt;&gt;""),Main[[#This Row],[In Stock Date]]-Main[[#This Row],[Revised Due Date]],"")</f>
        <v/>
      </c>
      <c r="I102" s="72" t="s">
        <v>50</v>
      </c>
      <c r="J102" s="72" t="s">
        <v>51</v>
      </c>
      <c r="K102" s="72" t="s">
        <v>1926</v>
      </c>
      <c r="L102" s="74"/>
      <c r="M102" s="77" t="str">
        <f>IF(Main[[#This Row],[Tech Start Date]]&lt;1/1/1990,"",IF(Main[[#This Row],[Class]]="C",WORKDAY(Main[[#This Row],[Tech Start Date]],9),IF(Main[[#This Row],[Class]]="B", WORKDAY(Main[[#This Row],[Tech Start Date]],6),IF(Main[[#This Row],[Class]]="A",WORKDAY(Main[[#This Row],[Tech Start Date]],2),""))))</f>
        <v/>
      </c>
      <c r="N102" s="77" t="str">
        <f>IF(Main[[#This Row],[Tech Start Date]]&lt;1/1/1990,"",IF(Main[[#This Row],[Class]]="C",WORKDAY(Main[[#This Row],[Tech Start Date]],19),IF(Main[[#This Row],[Class]]="B", WORKDAY(Main[[#This Row],[Tech Start Date]],12),IF(Main[[#This Row],[Class]]="A",WORKDAY(Main[[#This Row],[Tech Start Date]],4),""))))</f>
        <v/>
      </c>
      <c r="O102" s="77" t="str">
        <f>IF(Main[[#This Row],[Tech Start Date]]&lt;1/1/1990,"",IF(Main[[#This Row],[Class]]="C",WORKDAY(Main[[#This Row],[Tech Start Date]],23),IF(Main[[#This Row],[Class]]="B", WORKDAY(Main[[#This Row],[Tech Start Date]],15),IF(Main[[#This Row],[Class]]="A",WORKDAY(Main[[#This Row],[Tech Start Date]],5),""))))</f>
        <v/>
      </c>
      <c r="P102" s="77" t="str">
        <f>IF(Main[[#This Row],[Tech Start Date]]&lt;1/1/1990,"",IF(Main[[#This Row],[Class]]="C",WORKDAY(Main[[#This Row],[Tech Start Date]],28),IF(Main[[#This Row],[Class]]="B", WORKDAY(Main[[#This Row],[Tech Start Date]],19),IF(Main[[#This Row],[Class]]="A",WORKDAY(Main[[#This Row],[Tech Start Date]],9),""))))</f>
        <v/>
      </c>
      <c r="Q102" s="74">
        <v>40603</v>
      </c>
      <c r="R102" s="74"/>
      <c r="S102" s="72" t="s">
        <v>6</v>
      </c>
      <c r="T102" s="80" t="s">
        <v>2273</v>
      </c>
      <c r="U102" s="72" t="s">
        <v>29</v>
      </c>
      <c r="V102" s="72" t="s">
        <v>1917</v>
      </c>
      <c r="W102" s="72" t="s">
        <v>1928</v>
      </c>
      <c r="X102" s="72" t="s">
        <v>885</v>
      </c>
      <c r="Y102" s="72" t="s">
        <v>2969</v>
      </c>
      <c r="Z102" s="72" t="s">
        <v>129</v>
      </c>
      <c r="AA102" s="146" t="s">
        <v>885</v>
      </c>
    </row>
    <row r="103" spans="1:27" ht="18.600000000000001" customHeight="1">
      <c r="A103" s="139">
        <f>IF(priority(Main[[#This Row],[Comments]])&lt;&gt;0, priority(Main[[#This Row],[Comments]]),"")</f>
        <v>30</v>
      </c>
      <c r="B103" s="89" t="s">
        <v>2684</v>
      </c>
      <c r="C103" s="72" t="s">
        <v>116</v>
      </c>
      <c r="D103" s="73" t="s">
        <v>2819</v>
      </c>
      <c r="E103" s="74">
        <v>40763.500717592593</v>
      </c>
      <c r="F103" s="74">
        <v>41090</v>
      </c>
      <c r="G103" s="75" t="str">
        <f>IF(stdProdLT(Main[[#This Row],[Comments]])=0.1,"N/A",IF(stdProdLT(Main[[#This Row],[Comments]])=0,"",stdProdLT(Main[[#This Row],[Comments]])))</f>
        <v>N/A</v>
      </c>
      <c r="H103" s="76">
        <f>IF(AND(Main[[#This Row],[In Stock Date]]&lt;&gt;"",Main[[#This Row],[Revised Due Date]]&lt;&gt;""),Main[[#This Row],[In Stock Date]]-Main[[#This Row],[Revised Due Date]],"")</f>
        <v>45</v>
      </c>
      <c r="I103" s="72" t="s">
        <v>891</v>
      </c>
      <c r="J103" s="72" t="s">
        <v>28</v>
      </c>
      <c r="K103" s="72" t="s">
        <v>1930</v>
      </c>
      <c r="L103" s="74">
        <v>40772</v>
      </c>
      <c r="M103" s="77">
        <f>IF(Main[[#This Row],[Tech Start Date]]&lt;1/1/1990,"",IF(Main[[#This Row],[Class]]="C",WORKDAY(Main[[#This Row],[Tech Start Date]],9),IF(Main[[#This Row],[Class]]="B", WORKDAY(Main[[#This Row],[Tech Start Date]],6),IF(Main[[#This Row],[Class]]="A",WORKDAY(Main[[#This Row],[Tech Start Date]],2),""))))</f>
        <v>40785</v>
      </c>
      <c r="N103" s="77">
        <f>IF(Main[[#This Row],[Tech Start Date]]&lt;1/1/1990,"",IF(Main[[#This Row],[Class]]="C",WORKDAY(Main[[#This Row],[Tech Start Date]],19),IF(Main[[#This Row],[Class]]="B", WORKDAY(Main[[#This Row],[Tech Start Date]],12),IF(Main[[#This Row],[Class]]="A",WORKDAY(Main[[#This Row],[Tech Start Date]],4),""))))</f>
        <v>40799</v>
      </c>
      <c r="O103" s="77">
        <f>IF(Main[[#This Row],[Tech Start Date]]&lt;1/1/1990,"",IF(Main[[#This Row],[Class]]="C",WORKDAY(Main[[#This Row],[Tech Start Date]],23),IF(Main[[#This Row],[Class]]="B", WORKDAY(Main[[#This Row],[Tech Start Date]],15),IF(Main[[#This Row],[Class]]="A",WORKDAY(Main[[#This Row],[Tech Start Date]],5),""))))</f>
        <v>40805</v>
      </c>
      <c r="P103" s="77">
        <f>IF(Main[[#This Row],[Tech Start Date]]&lt;1/1/1990,"",IF(Main[[#This Row],[Class]]="C",WORKDAY(Main[[#This Row],[Tech Start Date]],28),IF(Main[[#This Row],[Class]]="B", WORKDAY(Main[[#This Row],[Tech Start Date]],19),IF(Main[[#This Row],[Class]]="A",WORKDAY(Main[[#This Row],[Tech Start Date]],9),""))))</f>
        <v>40812</v>
      </c>
      <c r="Q103" s="74">
        <v>40687</v>
      </c>
      <c r="R103" s="74">
        <v>41045</v>
      </c>
      <c r="S103" s="72" t="s">
        <v>11</v>
      </c>
      <c r="T103" s="80" t="s">
        <v>3836</v>
      </c>
      <c r="U103" s="72" t="s">
        <v>29</v>
      </c>
      <c r="V103" s="72" t="s">
        <v>1917</v>
      </c>
      <c r="W103" s="72" t="s">
        <v>1922</v>
      </c>
      <c r="X103" s="72" t="s">
        <v>2849</v>
      </c>
      <c r="Y103" s="72" t="s">
        <v>3160</v>
      </c>
      <c r="Z103" s="72" t="s">
        <v>879</v>
      </c>
      <c r="AA103" s="146" t="s">
        <v>2849</v>
      </c>
    </row>
    <row r="104" spans="1:27" ht="18.600000000000001" customHeight="1">
      <c r="A104" s="155">
        <f>IF(priority(Main[[#This Row],[Comments]])&lt;&gt;0, priority(Main[[#This Row],[Comments]]),"")</f>
        <v>30</v>
      </c>
      <c r="B104" s="156" t="s">
        <v>3550</v>
      </c>
      <c r="C104" s="157" t="s">
        <v>3953</v>
      </c>
      <c r="D104" s="158" t="s">
        <v>3551</v>
      </c>
      <c r="E104" s="160">
        <v>40949.276689814818</v>
      </c>
      <c r="F104" s="160">
        <v>41153</v>
      </c>
      <c r="G104" s="162">
        <f>IF(stdProdLT(Main[[#This Row],[Comments]])=0.1,"N/A",IF(stdProdLT(Main[[#This Row],[Comments]])=0,"",stdProdLT(Main[[#This Row],[Comments]])))</f>
        <v>140</v>
      </c>
      <c r="H104" s="164">
        <f>IF(AND(Main[[#This Row],[In Stock Date]]&lt;&gt;"",Main[[#This Row],[Revised Due Date]]&lt;&gt;""),Main[[#This Row],[In Stock Date]]-Main[[#This Row],[Revised Due Date]],"")</f>
        <v>158</v>
      </c>
      <c r="I104" s="157" t="s">
        <v>3951</v>
      </c>
      <c r="J104" s="157" t="s">
        <v>28</v>
      </c>
      <c r="K104" s="157" t="s">
        <v>1924</v>
      </c>
      <c r="L104" s="160">
        <v>40960</v>
      </c>
      <c r="M104" s="167">
        <f>IF(Main[[#This Row],[Tech Start Date]]&lt;1/1/1990,"",IF(Main[[#This Row],[Class]]="C",WORKDAY(Main[[#This Row],[Tech Start Date]],9),IF(Main[[#This Row],[Class]]="B", WORKDAY(Main[[#This Row],[Tech Start Date]],6),IF(Main[[#This Row],[Class]]="A",WORKDAY(Main[[#This Row],[Tech Start Date]],2),""))))</f>
        <v>40968</v>
      </c>
      <c r="N104" s="167">
        <f>IF(Main[[#This Row],[Tech Start Date]]&lt;1/1/1990,"",IF(Main[[#This Row],[Class]]="C",WORKDAY(Main[[#This Row],[Tech Start Date]],19),IF(Main[[#This Row],[Class]]="B", WORKDAY(Main[[#This Row],[Tech Start Date]],12),IF(Main[[#This Row],[Class]]="A",WORKDAY(Main[[#This Row],[Tech Start Date]],4),""))))</f>
        <v>40976</v>
      </c>
      <c r="O104" s="167">
        <f>IF(Main[[#This Row],[Tech Start Date]]&lt;1/1/1990,"",IF(Main[[#This Row],[Class]]="C",WORKDAY(Main[[#This Row],[Tech Start Date]],23),IF(Main[[#This Row],[Class]]="B", WORKDAY(Main[[#This Row],[Tech Start Date]],15),IF(Main[[#This Row],[Class]]="A",WORKDAY(Main[[#This Row],[Tech Start Date]],5),""))))</f>
        <v>40981</v>
      </c>
      <c r="P104" s="167">
        <f>IF(Main[[#This Row],[Tech Start Date]]&lt;1/1/1990,"",IF(Main[[#This Row],[Class]]="C",WORKDAY(Main[[#This Row],[Tech Start Date]],28),IF(Main[[#This Row],[Class]]="B", WORKDAY(Main[[#This Row],[Tech Start Date]],19),IF(Main[[#This Row],[Class]]="A",WORKDAY(Main[[#This Row],[Tech Start Date]],9),""))))</f>
        <v>40987</v>
      </c>
      <c r="Q104" s="160">
        <v>40995</v>
      </c>
      <c r="R104" s="160">
        <v>40995</v>
      </c>
      <c r="S104" s="157" t="s">
        <v>11</v>
      </c>
      <c r="T104" s="171" t="s">
        <v>3954</v>
      </c>
      <c r="U104" s="157" t="s">
        <v>29</v>
      </c>
      <c r="V104" s="157" t="s">
        <v>1927</v>
      </c>
      <c r="W104" s="157" t="s">
        <v>1928</v>
      </c>
      <c r="X104" s="157" t="s">
        <v>2852</v>
      </c>
      <c r="Y104" s="157" t="s">
        <v>4</v>
      </c>
      <c r="Z104" s="157" t="s">
        <v>530</v>
      </c>
      <c r="AA104" s="153" t="s">
        <v>2852</v>
      </c>
    </row>
    <row r="105" spans="1:27" ht="18.600000000000001" customHeight="1">
      <c r="A105" s="139">
        <f>IF(priority(Main[[#This Row],[Comments]])&lt;&gt;0, priority(Main[[#This Row],[Comments]]),"")</f>
        <v>31</v>
      </c>
      <c r="B105" s="89" t="s">
        <v>2155</v>
      </c>
      <c r="C105" s="72" t="s">
        <v>116</v>
      </c>
      <c r="D105" s="73" t="s">
        <v>2802</v>
      </c>
      <c r="E105" s="74">
        <v>40770.33797453704</v>
      </c>
      <c r="F105" s="74">
        <v>41044</v>
      </c>
      <c r="G105" s="75" t="str">
        <f>IF(stdProdLT(Main[[#This Row],[Comments]])=0.1,"N/A",IF(stdProdLT(Main[[#This Row],[Comments]])=0,"",stdProdLT(Main[[#This Row],[Comments]])))</f>
        <v>N/A</v>
      </c>
      <c r="H105" s="76">
        <f>IF(AND(Main[[#This Row],[In Stock Date]]&lt;&gt;"",Main[[#This Row],[Revised Due Date]]&lt;&gt;""),Main[[#This Row],[In Stock Date]]-Main[[#This Row],[Revised Due Date]],"")</f>
        <v>46</v>
      </c>
      <c r="I105" s="72" t="s">
        <v>939</v>
      </c>
      <c r="J105" s="72" t="s">
        <v>21</v>
      </c>
      <c r="K105" s="72" t="s">
        <v>1930</v>
      </c>
      <c r="L105" s="74">
        <v>40778</v>
      </c>
      <c r="M105" s="77">
        <f>IF(Main[[#This Row],[Tech Start Date]]&lt;1/1/1990,"",IF(Main[[#This Row],[Class]]="C",WORKDAY(Main[[#This Row],[Tech Start Date]],9),IF(Main[[#This Row],[Class]]="B", WORKDAY(Main[[#This Row],[Tech Start Date]],6),IF(Main[[#This Row],[Class]]="A",WORKDAY(Main[[#This Row],[Tech Start Date]],2),""))))</f>
        <v>40791</v>
      </c>
      <c r="N105" s="77">
        <f>IF(Main[[#This Row],[Tech Start Date]]&lt;1/1/1990,"",IF(Main[[#This Row],[Class]]="C",WORKDAY(Main[[#This Row],[Tech Start Date]],19),IF(Main[[#This Row],[Class]]="B", WORKDAY(Main[[#This Row],[Tech Start Date]],12),IF(Main[[#This Row],[Class]]="A",WORKDAY(Main[[#This Row],[Tech Start Date]],4),""))))</f>
        <v>40805</v>
      </c>
      <c r="O105" s="77">
        <f>IF(Main[[#This Row],[Tech Start Date]]&lt;1/1/1990,"",IF(Main[[#This Row],[Class]]="C",WORKDAY(Main[[#This Row],[Tech Start Date]],23),IF(Main[[#This Row],[Class]]="B", WORKDAY(Main[[#This Row],[Tech Start Date]],15),IF(Main[[#This Row],[Class]]="A",WORKDAY(Main[[#This Row],[Tech Start Date]],5),""))))</f>
        <v>40809</v>
      </c>
      <c r="P105" s="77">
        <f>IF(Main[[#This Row],[Tech Start Date]]&lt;1/1/1990,"",IF(Main[[#This Row],[Class]]="C",WORKDAY(Main[[#This Row],[Tech Start Date]],28),IF(Main[[#This Row],[Class]]="B", WORKDAY(Main[[#This Row],[Tech Start Date]],19),IF(Main[[#This Row],[Class]]="A",WORKDAY(Main[[#This Row],[Tech Start Date]],9),""))))</f>
        <v>40816</v>
      </c>
      <c r="Q105" s="74">
        <v>40802</v>
      </c>
      <c r="R105" s="74">
        <v>40998</v>
      </c>
      <c r="S105" s="72" t="s">
        <v>11</v>
      </c>
      <c r="T105" s="80" t="s">
        <v>3837</v>
      </c>
      <c r="U105" s="72" t="s">
        <v>29</v>
      </c>
      <c r="V105" s="72" t="s">
        <v>1917</v>
      </c>
      <c r="W105" s="72" t="s">
        <v>1925</v>
      </c>
      <c r="X105" s="72" t="s">
        <v>2858</v>
      </c>
      <c r="Y105" s="72" t="s">
        <v>3140</v>
      </c>
      <c r="Z105" s="72" t="s">
        <v>129</v>
      </c>
      <c r="AA105" s="146" t="s">
        <v>2858</v>
      </c>
    </row>
    <row r="106" spans="1:27" ht="18.600000000000001" customHeight="1">
      <c r="A106" s="139">
        <f>IF(priority(Main[[#This Row],[Comments]])&lt;&gt;0, priority(Main[[#This Row],[Comments]]),"")</f>
        <v>32</v>
      </c>
      <c r="B106" s="89" t="s">
        <v>1076</v>
      </c>
      <c r="C106" s="72" t="s">
        <v>116</v>
      </c>
      <c r="D106" s="73" t="s">
        <v>117</v>
      </c>
      <c r="E106" s="74"/>
      <c r="F106" s="74"/>
      <c r="G106" s="75" t="str">
        <f>IF(stdProdLT(Main[[#This Row],[Comments]])=0.1,"N/A",IF(stdProdLT(Main[[#This Row],[Comments]])=0,"",stdProdLT(Main[[#This Row],[Comments]])))</f>
        <v/>
      </c>
      <c r="H106" s="76" t="str">
        <f>IF(AND(Main[[#This Row],[In Stock Date]]&lt;&gt;"",Main[[#This Row],[Revised Due Date]]&lt;&gt;""),Main[[#This Row],[In Stock Date]]-Main[[#This Row],[Revised Due Date]],"")</f>
        <v/>
      </c>
      <c r="I106" s="72" t="s">
        <v>4</v>
      </c>
      <c r="J106" s="72" t="s">
        <v>4</v>
      </c>
      <c r="K106" s="72" t="s">
        <v>4</v>
      </c>
      <c r="L106" s="74"/>
      <c r="M106" s="77" t="str">
        <f>IF(Main[[#This Row],[Tech Start Date]]&lt;1/1/1990,"",IF(Main[[#This Row],[Class]]="C",WORKDAY(Main[[#This Row],[Tech Start Date]],9),IF(Main[[#This Row],[Class]]="B", WORKDAY(Main[[#This Row],[Tech Start Date]],6),IF(Main[[#This Row],[Class]]="A",WORKDAY(Main[[#This Row],[Tech Start Date]],2),""))))</f>
        <v/>
      </c>
      <c r="N106" s="77" t="str">
        <f>IF(Main[[#This Row],[Tech Start Date]]&lt;1/1/1990,"",IF(Main[[#This Row],[Class]]="C",WORKDAY(Main[[#This Row],[Tech Start Date]],19),IF(Main[[#This Row],[Class]]="B", WORKDAY(Main[[#This Row],[Tech Start Date]],12),IF(Main[[#This Row],[Class]]="A",WORKDAY(Main[[#This Row],[Tech Start Date]],4),""))))</f>
        <v/>
      </c>
      <c r="O106" s="77" t="str">
        <f>IF(Main[[#This Row],[Tech Start Date]]&lt;1/1/1990,"",IF(Main[[#This Row],[Class]]="C",WORKDAY(Main[[#This Row],[Tech Start Date]],23),IF(Main[[#This Row],[Class]]="B", WORKDAY(Main[[#This Row],[Tech Start Date]],15),IF(Main[[#This Row],[Class]]="A",WORKDAY(Main[[#This Row],[Tech Start Date]],5),""))))</f>
        <v/>
      </c>
      <c r="P106" s="77" t="str">
        <f>IF(Main[[#This Row],[Tech Start Date]]&lt;1/1/1990,"",IF(Main[[#This Row],[Class]]="C",WORKDAY(Main[[#This Row],[Tech Start Date]],28),IF(Main[[#This Row],[Class]]="B", WORKDAY(Main[[#This Row],[Tech Start Date]],19),IF(Main[[#This Row],[Class]]="A",WORKDAY(Main[[#This Row],[Tech Start Date]],9),""))))</f>
        <v/>
      </c>
      <c r="Q106" s="74">
        <v>40786</v>
      </c>
      <c r="R106" s="74"/>
      <c r="S106" s="72" t="s">
        <v>11</v>
      </c>
      <c r="T106" s="80" t="s">
        <v>118</v>
      </c>
      <c r="U106" s="72" t="s">
        <v>14</v>
      </c>
      <c r="V106" s="72" t="s">
        <v>1917</v>
      </c>
      <c r="W106" s="72" t="s">
        <v>1922</v>
      </c>
      <c r="X106" s="72" t="s">
        <v>2845</v>
      </c>
      <c r="Y106" s="72" t="s">
        <v>2976</v>
      </c>
      <c r="Z106" s="72" t="s">
        <v>4</v>
      </c>
      <c r="AA106" s="146" t="s">
        <v>2845</v>
      </c>
    </row>
    <row r="107" spans="1:27" ht="18.600000000000001" customHeight="1">
      <c r="A107" s="143">
        <f>IF(priority(Main[[#This Row],[Comments]])&lt;&gt;0, priority(Main[[#This Row],[Comments]]),"")</f>
        <v>32</v>
      </c>
      <c r="B107" s="136" t="s">
        <v>1068</v>
      </c>
      <c r="C107" s="129" t="s">
        <v>4</v>
      </c>
      <c r="D107" s="130" t="s">
        <v>2314</v>
      </c>
      <c r="E107" s="131">
        <v>40591.506215277775</v>
      </c>
      <c r="F107" s="131"/>
      <c r="G107" s="132" t="str">
        <f>IF(stdProdLT(Main[[#This Row],[Comments]])=0.1,"N/A",IF(stdProdLT(Main[[#This Row],[Comments]])=0,"",stdProdLT(Main[[#This Row],[Comments]])))</f>
        <v/>
      </c>
      <c r="H107" s="133" t="str">
        <f>IF(AND(Main[[#This Row],[In Stock Date]]&lt;&gt;"",Main[[#This Row],[Revised Due Date]]&lt;&gt;""),Main[[#This Row],[In Stock Date]]-Main[[#This Row],[Revised Due Date]],"")</f>
        <v/>
      </c>
      <c r="I107" s="129" t="s">
        <v>914</v>
      </c>
      <c r="J107" s="129" t="s">
        <v>52</v>
      </c>
      <c r="K107" s="129" t="s">
        <v>1926</v>
      </c>
      <c r="L107" s="131"/>
      <c r="M107" s="134" t="str">
        <f>IF(Main[[#This Row],[Tech Start Date]]&lt;1/1/1990,"",IF(Main[[#This Row],[Class]]="C",WORKDAY(Main[[#This Row],[Tech Start Date]],9),IF(Main[[#This Row],[Class]]="B", WORKDAY(Main[[#This Row],[Tech Start Date]],6),IF(Main[[#This Row],[Class]]="A",WORKDAY(Main[[#This Row],[Tech Start Date]],2),""))))</f>
        <v/>
      </c>
      <c r="N107" s="134" t="str">
        <f>IF(Main[[#This Row],[Tech Start Date]]&lt;1/1/1990,"",IF(Main[[#This Row],[Class]]="C",WORKDAY(Main[[#This Row],[Tech Start Date]],19),IF(Main[[#This Row],[Class]]="B", WORKDAY(Main[[#This Row],[Tech Start Date]],12),IF(Main[[#This Row],[Class]]="A",WORKDAY(Main[[#This Row],[Tech Start Date]],4),""))))</f>
        <v/>
      </c>
      <c r="O107" s="134" t="str">
        <f>IF(Main[[#This Row],[Tech Start Date]]&lt;1/1/1990,"",IF(Main[[#This Row],[Class]]="C",WORKDAY(Main[[#This Row],[Tech Start Date]],23),IF(Main[[#This Row],[Class]]="B", WORKDAY(Main[[#This Row],[Tech Start Date]],15),IF(Main[[#This Row],[Class]]="A",WORKDAY(Main[[#This Row],[Tech Start Date]],5),""))))</f>
        <v/>
      </c>
      <c r="P107" s="134" t="str">
        <f>IF(Main[[#This Row],[Tech Start Date]]&lt;1/1/1990,"",IF(Main[[#This Row],[Class]]="C",WORKDAY(Main[[#This Row],[Tech Start Date]],28),IF(Main[[#This Row],[Class]]="B", WORKDAY(Main[[#This Row],[Tech Start Date]],19),IF(Main[[#This Row],[Class]]="A",WORKDAY(Main[[#This Row],[Tech Start Date]],9),""))))</f>
        <v/>
      </c>
      <c r="Q107" s="131">
        <v>40605</v>
      </c>
      <c r="R107" s="131"/>
      <c r="S107" s="129" t="s">
        <v>6</v>
      </c>
      <c r="T107" s="135" t="s">
        <v>118</v>
      </c>
      <c r="U107" s="129" t="s">
        <v>29</v>
      </c>
      <c r="V107" s="129" t="s">
        <v>1917</v>
      </c>
      <c r="W107" s="129" t="s">
        <v>1919</v>
      </c>
      <c r="X107" s="129" t="s">
        <v>2906</v>
      </c>
      <c r="Y107" s="129" t="s">
        <v>3080</v>
      </c>
      <c r="Z107" s="129" t="s">
        <v>129</v>
      </c>
      <c r="AA107" s="146" t="s">
        <v>2906</v>
      </c>
    </row>
    <row r="108" spans="1:27" ht="18.600000000000001" customHeight="1">
      <c r="A108" s="155">
        <f>IF(priority(Main[[#This Row],[Comments]])&lt;&gt;0, priority(Main[[#This Row],[Comments]]),"")</f>
        <v>32</v>
      </c>
      <c r="B108" s="156" t="s">
        <v>3191</v>
      </c>
      <c r="C108" s="157" t="s">
        <v>3216</v>
      </c>
      <c r="D108" s="158" t="s">
        <v>3872</v>
      </c>
      <c r="E108" s="160">
        <v>40920.303043981483</v>
      </c>
      <c r="F108" s="160">
        <v>41153</v>
      </c>
      <c r="G108" s="162">
        <f>IF(stdProdLT(Main[[#This Row],[Comments]])=0.1,"N/A",IF(stdProdLT(Main[[#This Row],[Comments]])=0,"",stdProdLT(Main[[#This Row],[Comments]])))</f>
        <v>168</v>
      </c>
      <c r="H108" s="164">
        <f>IF(AND(Main[[#This Row],[In Stock Date]]&lt;&gt;"",Main[[#This Row],[Revised Due Date]]&lt;&gt;""),Main[[#This Row],[In Stock Date]]-Main[[#This Row],[Revised Due Date]],"")</f>
        <v>183</v>
      </c>
      <c r="I108" s="157" t="s">
        <v>767</v>
      </c>
      <c r="J108" s="157" t="s">
        <v>52</v>
      </c>
      <c r="K108" s="157" t="s">
        <v>1930</v>
      </c>
      <c r="L108" s="160">
        <v>40925</v>
      </c>
      <c r="M108" s="167">
        <f>IF(Main[[#This Row],[Tech Start Date]]&lt;1/1/1990,"",IF(Main[[#This Row],[Class]]="C",WORKDAY(Main[[#This Row],[Tech Start Date]],9),IF(Main[[#This Row],[Class]]="B", WORKDAY(Main[[#This Row],[Tech Start Date]],6),IF(Main[[#This Row],[Class]]="A",WORKDAY(Main[[#This Row],[Tech Start Date]],2),""))))</f>
        <v>40938</v>
      </c>
      <c r="N108" s="167">
        <f>IF(Main[[#This Row],[Tech Start Date]]&lt;1/1/1990,"",IF(Main[[#This Row],[Class]]="C",WORKDAY(Main[[#This Row],[Tech Start Date]],19),IF(Main[[#This Row],[Class]]="B", WORKDAY(Main[[#This Row],[Tech Start Date]],12),IF(Main[[#This Row],[Class]]="A",WORKDAY(Main[[#This Row],[Tech Start Date]],4),""))))</f>
        <v>40952</v>
      </c>
      <c r="O108" s="167">
        <f>IF(Main[[#This Row],[Tech Start Date]]&lt;1/1/1990,"",IF(Main[[#This Row],[Class]]="C",WORKDAY(Main[[#This Row],[Tech Start Date]],23),IF(Main[[#This Row],[Class]]="B", WORKDAY(Main[[#This Row],[Tech Start Date]],15),IF(Main[[#This Row],[Class]]="A",WORKDAY(Main[[#This Row],[Tech Start Date]],5),""))))</f>
        <v>40956</v>
      </c>
      <c r="P108" s="167">
        <f>IF(Main[[#This Row],[Tech Start Date]]&lt;1/1/1990,"",IF(Main[[#This Row],[Class]]="C",WORKDAY(Main[[#This Row],[Tech Start Date]],28),IF(Main[[#This Row],[Class]]="B", WORKDAY(Main[[#This Row],[Tech Start Date]],19),IF(Main[[#This Row],[Class]]="A",WORKDAY(Main[[#This Row],[Tech Start Date]],9),""))))</f>
        <v>40963</v>
      </c>
      <c r="Q108" s="160">
        <v>40984</v>
      </c>
      <c r="R108" s="160">
        <v>40970</v>
      </c>
      <c r="S108" s="157" t="s">
        <v>11</v>
      </c>
      <c r="T108" s="171" t="s">
        <v>3873</v>
      </c>
      <c r="U108" s="157" t="s">
        <v>29</v>
      </c>
      <c r="V108" s="157" t="s">
        <v>1920</v>
      </c>
      <c r="W108" s="157" t="s">
        <v>1928</v>
      </c>
      <c r="X108" s="157" t="s">
        <v>2852</v>
      </c>
      <c r="Y108" s="157" t="s">
        <v>4</v>
      </c>
      <c r="Z108" s="157" t="s">
        <v>530</v>
      </c>
      <c r="AA108" s="153" t="s">
        <v>2852</v>
      </c>
    </row>
    <row r="109" spans="1:27" ht="18.600000000000001" customHeight="1">
      <c r="A109" s="139">
        <f>IF(priority(Main[[#This Row],[Comments]])&lt;&gt;0, priority(Main[[#This Row],[Comments]]),"")</f>
        <v>32</v>
      </c>
      <c r="B109" s="89" t="s">
        <v>2657</v>
      </c>
      <c r="C109" s="72" t="s">
        <v>116</v>
      </c>
      <c r="D109" s="73" t="s">
        <v>2811</v>
      </c>
      <c r="E109" s="74">
        <v>40864.570104166669</v>
      </c>
      <c r="F109" s="74">
        <v>41044</v>
      </c>
      <c r="G109" s="75" t="str">
        <f>IF(stdProdLT(Main[[#This Row],[Comments]])=0.1,"N/A",IF(stdProdLT(Main[[#This Row],[Comments]])=0,"",stdProdLT(Main[[#This Row],[Comments]])))</f>
        <v>N/A</v>
      </c>
      <c r="H109" s="76">
        <f>IF(AND(Main[[#This Row],[In Stock Date]]&lt;&gt;"",Main[[#This Row],[Revised Due Date]]&lt;&gt;""),Main[[#This Row],[In Stock Date]]-Main[[#This Row],[Revised Due Date]],"")</f>
        <v>46</v>
      </c>
      <c r="I109" s="72" t="s">
        <v>939</v>
      </c>
      <c r="J109" s="72" t="s">
        <v>21</v>
      </c>
      <c r="K109" s="72" t="s">
        <v>1924</v>
      </c>
      <c r="L109" s="74">
        <v>40869</v>
      </c>
      <c r="M109" s="77">
        <f>IF(Main[[#This Row],[Tech Start Date]]&lt;1/1/1990,"",IF(Main[[#This Row],[Class]]="C",WORKDAY(Main[[#This Row],[Tech Start Date]],9),IF(Main[[#This Row],[Class]]="B", WORKDAY(Main[[#This Row],[Tech Start Date]],6),IF(Main[[#This Row],[Class]]="A",WORKDAY(Main[[#This Row],[Tech Start Date]],2),""))))</f>
        <v>40877</v>
      </c>
      <c r="N109" s="77">
        <f>IF(Main[[#This Row],[Tech Start Date]]&lt;1/1/1990,"",IF(Main[[#This Row],[Class]]="C",WORKDAY(Main[[#This Row],[Tech Start Date]],19),IF(Main[[#This Row],[Class]]="B", WORKDAY(Main[[#This Row],[Tech Start Date]],12),IF(Main[[#This Row],[Class]]="A",WORKDAY(Main[[#This Row],[Tech Start Date]],4),""))))</f>
        <v>40885</v>
      </c>
      <c r="O109" s="77">
        <f>IF(Main[[#This Row],[Tech Start Date]]&lt;1/1/1990,"",IF(Main[[#This Row],[Class]]="C",WORKDAY(Main[[#This Row],[Tech Start Date]],23),IF(Main[[#This Row],[Class]]="B", WORKDAY(Main[[#This Row],[Tech Start Date]],15),IF(Main[[#This Row],[Class]]="A",WORKDAY(Main[[#This Row],[Tech Start Date]],5),""))))</f>
        <v>40890</v>
      </c>
      <c r="P109" s="77">
        <f>IF(Main[[#This Row],[Tech Start Date]]&lt;1/1/1990,"",IF(Main[[#This Row],[Class]]="C",WORKDAY(Main[[#This Row],[Tech Start Date]],28),IF(Main[[#This Row],[Class]]="B", WORKDAY(Main[[#This Row],[Tech Start Date]],19),IF(Main[[#This Row],[Class]]="A",WORKDAY(Main[[#This Row],[Tech Start Date]],9),""))))</f>
        <v>40896</v>
      </c>
      <c r="Q109" s="74">
        <v>40904</v>
      </c>
      <c r="R109" s="74">
        <v>40998</v>
      </c>
      <c r="S109" s="72" t="s">
        <v>11</v>
      </c>
      <c r="T109" s="80" t="s">
        <v>3852</v>
      </c>
      <c r="U109" s="72" t="s">
        <v>29</v>
      </c>
      <c r="V109" s="72" t="s">
        <v>1917</v>
      </c>
      <c r="W109" s="72" t="s">
        <v>1925</v>
      </c>
      <c r="X109" s="72" t="s">
        <v>2858</v>
      </c>
      <c r="Y109" s="72" t="s">
        <v>3140</v>
      </c>
      <c r="Z109" s="72" t="s">
        <v>129</v>
      </c>
      <c r="AA109" s="146" t="s">
        <v>2858</v>
      </c>
    </row>
    <row r="110" spans="1:27" ht="18.600000000000001" customHeight="1">
      <c r="A110" s="139">
        <f>IF(priority(Main[[#This Row],[Comments]])&lt;&gt;0, priority(Main[[#This Row],[Comments]]),"")</f>
        <v>32.1</v>
      </c>
      <c r="B110" s="89" t="s">
        <v>2174</v>
      </c>
      <c r="C110" s="72" t="s">
        <v>2175</v>
      </c>
      <c r="D110" s="73" t="s">
        <v>2176</v>
      </c>
      <c r="E110" s="74"/>
      <c r="F110" s="74">
        <v>40795</v>
      </c>
      <c r="G110" s="75">
        <f>IF(stdProdLT(Main[[#This Row],[Comments]])=0.1,"N/A",IF(stdProdLT(Main[[#This Row],[Comments]])=0,"",stdProdLT(Main[[#This Row],[Comments]])))</f>
        <v>21</v>
      </c>
      <c r="H110" s="76" t="str">
        <f>IF(AND(Main[[#This Row],[In Stock Date]]&lt;&gt;"",Main[[#This Row],[Revised Due Date]]&lt;&gt;""),Main[[#This Row],[In Stock Date]]-Main[[#This Row],[Revised Due Date]],"")</f>
        <v/>
      </c>
      <c r="I110" s="72" t="s">
        <v>4</v>
      </c>
      <c r="J110" s="72" t="s">
        <v>4</v>
      </c>
      <c r="K110" s="72" t="s">
        <v>4</v>
      </c>
      <c r="L110" s="74"/>
      <c r="M110" s="77" t="str">
        <f>IF(Main[[#This Row],[Tech Start Date]]&lt;1/1/1990,"",IF(Main[[#This Row],[Class]]="C",WORKDAY(Main[[#This Row],[Tech Start Date]],9),IF(Main[[#This Row],[Class]]="B", WORKDAY(Main[[#This Row],[Tech Start Date]],6),IF(Main[[#This Row],[Class]]="A",WORKDAY(Main[[#This Row],[Tech Start Date]],2),""))))</f>
        <v/>
      </c>
      <c r="N110" s="77" t="str">
        <f>IF(Main[[#This Row],[Tech Start Date]]&lt;1/1/1990,"",IF(Main[[#This Row],[Class]]="C",WORKDAY(Main[[#This Row],[Tech Start Date]],19),IF(Main[[#This Row],[Class]]="B", WORKDAY(Main[[#This Row],[Tech Start Date]],12),IF(Main[[#This Row],[Class]]="A",WORKDAY(Main[[#This Row],[Tech Start Date]],4),""))))</f>
        <v/>
      </c>
      <c r="O110" s="77" t="str">
        <f>IF(Main[[#This Row],[Tech Start Date]]&lt;1/1/1990,"",IF(Main[[#This Row],[Class]]="C",WORKDAY(Main[[#This Row],[Tech Start Date]],23),IF(Main[[#This Row],[Class]]="B", WORKDAY(Main[[#This Row],[Tech Start Date]],15),IF(Main[[#This Row],[Class]]="A",WORKDAY(Main[[#This Row],[Tech Start Date]],5),""))))</f>
        <v/>
      </c>
      <c r="P110" s="77" t="str">
        <f>IF(Main[[#This Row],[Tech Start Date]]&lt;1/1/1990,"",IF(Main[[#This Row],[Class]]="C",WORKDAY(Main[[#This Row],[Tech Start Date]],28),IF(Main[[#This Row],[Class]]="B", WORKDAY(Main[[#This Row],[Tech Start Date]],19),IF(Main[[#This Row],[Class]]="A",WORKDAY(Main[[#This Row],[Tech Start Date]],9),""))))</f>
        <v/>
      </c>
      <c r="Q110" s="74">
        <v>40795</v>
      </c>
      <c r="R110" s="74"/>
      <c r="S110" s="72" t="s">
        <v>11</v>
      </c>
      <c r="T110" s="80" t="s">
        <v>2228</v>
      </c>
      <c r="U110" s="72" t="s">
        <v>14</v>
      </c>
      <c r="V110" s="72" t="s">
        <v>1917</v>
      </c>
      <c r="W110" s="72" t="s">
        <v>1922</v>
      </c>
      <c r="X110" s="72" t="s">
        <v>2835</v>
      </c>
      <c r="Y110" s="72" t="s">
        <v>2957</v>
      </c>
      <c r="Z110" s="72" t="s">
        <v>4</v>
      </c>
      <c r="AA110" s="146" t="s">
        <v>2835</v>
      </c>
    </row>
    <row r="111" spans="1:27" ht="18.600000000000001" customHeight="1">
      <c r="A111" s="139">
        <f>IF(priority(Main[[#This Row],[Comments]])&lt;&gt;0, priority(Main[[#This Row],[Comments]]),"")</f>
        <v>33</v>
      </c>
      <c r="B111" s="89" t="s">
        <v>1223</v>
      </c>
      <c r="C111" s="72" t="s">
        <v>116</v>
      </c>
      <c r="D111" s="73" t="s">
        <v>324</v>
      </c>
      <c r="E111" s="74"/>
      <c r="F111" s="74"/>
      <c r="G111" s="75" t="str">
        <f>IF(stdProdLT(Main[[#This Row],[Comments]])=0.1,"N/A",IF(stdProdLT(Main[[#This Row],[Comments]])=0,"",stdProdLT(Main[[#This Row],[Comments]])))</f>
        <v/>
      </c>
      <c r="H111" s="76" t="str">
        <f>IF(AND(Main[[#This Row],[In Stock Date]]&lt;&gt;"",Main[[#This Row],[Revised Due Date]]&lt;&gt;""),Main[[#This Row],[In Stock Date]]-Main[[#This Row],[Revised Due Date]],"")</f>
        <v/>
      </c>
      <c r="I111" s="72" t="s">
        <v>4</v>
      </c>
      <c r="J111" s="72" t="s">
        <v>4</v>
      </c>
      <c r="K111" s="81" t="s">
        <v>4</v>
      </c>
      <c r="L111" s="74"/>
      <c r="M111" s="77" t="str">
        <f>IF(Main[[#This Row],[Tech Start Date]]&lt;1/1/1990,"",IF(Main[[#This Row],[Class]]="C",WORKDAY(Main[[#This Row],[Tech Start Date]],9),IF(Main[[#This Row],[Class]]="B", WORKDAY(Main[[#This Row],[Tech Start Date]],6),IF(Main[[#This Row],[Class]]="A",WORKDAY(Main[[#This Row],[Tech Start Date]],2),""))))</f>
        <v/>
      </c>
      <c r="N111" s="77" t="str">
        <f>IF(Main[[#This Row],[Tech Start Date]]&lt;1/1/1990,"",IF(Main[[#This Row],[Class]]="C",WORKDAY(Main[[#This Row],[Tech Start Date]],19),IF(Main[[#This Row],[Class]]="B", WORKDAY(Main[[#This Row],[Tech Start Date]],12),IF(Main[[#This Row],[Class]]="A",WORKDAY(Main[[#This Row],[Tech Start Date]],4),""))))</f>
        <v/>
      </c>
      <c r="O111" s="77" t="str">
        <f>IF(Main[[#This Row],[Tech Start Date]]&lt;1/1/1990,"",IF(Main[[#This Row],[Class]]="C",WORKDAY(Main[[#This Row],[Tech Start Date]],23),IF(Main[[#This Row],[Class]]="B", WORKDAY(Main[[#This Row],[Tech Start Date]],15),IF(Main[[#This Row],[Class]]="A",WORKDAY(Main[[#This Row],[Tech Start Date]],5),""))))</f>
        <v/>
      </c>
      <c r="P111" s="77" t="str">
        <f>IF(Main[[#This Row],[Tech Start Date]]&lt;1/1/1990,"",IF(Main[[#This Row],[Class]]="C",WORKDAY(Main[[#This Row],[Tech Start Date]],28),IF(Main[[#This Row],[Class]]="B", WORKDAY(Main[[#This Row],[Tech Start Date]],19),IF(Main[[#This Row],[Class]]="A",WORKDAY(Main[[#This Row],[Tech Start Date]],9),""))))</f>
        <v/>
      </c>
      <c r="Q111" s="74"/>
      <c r="R111" s="74"/>
      <c r="S111" s="72" t="s">
        <v>11</v>
      </c>
      <c r="T111" s="80" t="s">
        <v>325</v>
      </c>
      <c r="U111" s="72" t="s">
        <v>14</v>
      </c>
      <c r="V111" s="72" t="s">
        <v>1917</v>
      </c>
      <c r="W111" s="72" t="s">
        <v>1922</v>
      </c>
      <c r="X111" s="72" t="s">
        <v>2845</v>
      </c>
      <c r="Y111" s="72" t="s">
        <v>2976</v>
      </c>
      <c r="Z111" s="72" t="s">
        <v>4</v>
      </c>
      <c r="AA111" s="146" t="s">
        <v>2845</v>
      </c>
    </row>
    <row r="112" spans="1:27" ht="18.600000000000001" customHeight="1">
      <c r="A112" s="139">
        <f>IF(priority(Main[[#This Row],[Comments]])&lt;&gt;0, priority(Main[[#This Row],[Comments]]),"")</f>
        <v>33</v>
      </c>
      <c r="B112" s="89" t="s">
        <v>1082</v>
      </c>
      <c r="C112" s="72" t="s">
        <v>122</v>
      </c>
      <c r="D112" s="73" t="s">
        <v>123</v>
      </c>
      <c r="E112" s="74">
        <v>40534.411678240744</v>
      </c>
      <c r="F112" s="74">
        <v>40541</v>
      </c>
      <c r="G112" s="75" t="str">
        <f>IF(stdProdLT(Main[[#This Row],[Comments]])=0.1,"N/A",IF(stdProdLT(Main[[#This Row],[Comments]])=0,"",stdProdLT(Main[[#This Row],[Comments]])))</f>
        <v/>
      </c>
      <c r="H112" s="76" t="str">
        <f>IF(AND(Main[[#This Row],[In Stock Date]]&lt;&gt;"",Main[[#This Row],[Revised Due Date]]&lt;&gt;""),Main[[#This Row],[In Stock Date]]-Main[[#This Row],[Revised Due Date]],"")</f>
        <v/>
      </c>
      <c r="I112" s="72" t="s">
        <v>4</v>
      </c>
      <c r="J112" s="72" t="s">
        <v>28</v>
      </c>
      <c r="K112" s="72" t="s">
        <v>1926</v>
      </c>
      <c r="L112" s="74"/>
      <c r="M112" s="77" t="str">
        <f>IF(Main[[#This Row],[Tech Start Date]]&lt;1/1/1990,"",IF(Main[[#This Row],[Class]]="C",WORKDAY(Main[[#This Row],[Tech Start Date]],9),IF(Main[[#This Row],[Class]]="B", WORKDAY(Main[[#This Row],[Tech Start Date]],6),IF(Main[[#This Row],[Class]]="A",WORKDAY(Main[[#This Row],[Tech Start Date]],2),""))))</f>
        <v/>
      </c>
      <c r="N112" s="77" t="str">
        <f>IF(Main[[#This Row],[Tech Start Date]]&lt;1/1/1990,"",IF(Main[[#This Row],[Class]]="C",WORKDAY(Main[[#This Row],[Tech Start Date]],19),IF(Main[[#This Row],[Class]]="B", WORKDAY(Main[[#This Row],[Tech Start Date]],12),IF(Main[[#This Row],[Class]]="A",WORKDAY(Main[[#This Row],[Tech Start Date]],4),""))))</f>
        <v/>
      </c>
      <c r="O112" s="77" t="str">
        <f>IF(Main[[#This Row],[Tech Start Date]]&lt;1/1/1990,"",IF(Main[[#This Row],[Class]]="C",WORKDAY(Main[[#This Row],[Tech Start Date]],23),IF(Main[[#This Row],[Class]]="B", WORKDAY(Main[[#This Row],[Tech Start Date]],15),IF(Main[[#This Row],[Class]]="A",WORKDAY(Main[[#This Row],[Tech Start Date]],5),""))))</f>
        <v/>
      </c>
      <c r="P112" s="77" t="str">
        <f>IF(Main[[#This Row],[Tech Start Date]]&lt;1/1/1990,"",IF(Main[[#This Row],[Class]]="C",WORKDAY(Main[[#This Row],[Tech Start Date]],28),IF(Main[[#This Row],[Class]]="B", WORKDAY(Main[[#This Row],[Tech Start Date]],19),IF(Main[[#This Row],[Class]]="A",WORKDAY(Main[[#This Row],[Tech Start Date]],9),""))))</f>
        <v/>
      </c>
      <c r="Q112" s="74">
        <v>40541</v>
      </c>
      <c r="R112" s="74"/>
      <c r="S112" s="72" t="s">
        <v>6</v>
      </c>
      <c r="T112" s="80" t="s">
        <v>325</v>
      </c>
      <c r="U112" s="72" t="s">
        <v>7</v>
      </c>
      <c r="V112" s="72" t="s">
        <v>1917</v>
      </c>
      <c r="W112" s="72" t="s">
        <v>1921</v>
      </c>
      <c r="X112" s="72" t="s">
        <v>2823</v>
      </c>
      <c r="Y112" s="72" t="s">
        <v>3136</v>
      </c>
      <c r="Z112" s="72" t="s">
        <v>129</v>
      </c>
      <c r="AA112" s="146" t="s">
        <v>2823</v>
      </c>
    </row>
    <row r="113" spans="1:27" ht="18.600000000000001" customHeight="1">
      <c r="A113" s="155">
        <f>IF(priority(Main[[#This Row],[Comments]])&lt;&gt;0, priority(Main[[#This Row],[Comments]]),"")</f>
        <v>33</v>
      </c>
      <c r="B113" s="156" t="s">
        <v>2771</v>
      </c>
      <c r="C113" s="157" t="s">
        <v>2011</v>
      </c>
      <c r="D113" s="158" t="s">
        <v>2772</v>
      </c>
      <c r="E113" s="160">
        <v>40914.055902777778</v>
      </c>
      <c r="F113" s="160">
        <v>41153</v>
      </c>
      <c r="G113" s="162">
        <f>IF(stdProdLT(Main[[#This Row],[Comments]])=0.1,"N/A",IF(stdProdLT(Main[[#This Row],[Comments]])=0,"",stdProdLT(Main[[#This Row],[Comments]])))</f>
        <v>168</v>
      </c>
      <c r="H113" s="164">
        <f>IF(AND(Main[[#This Row],[In Stock Date]]&lt;&gt;"",Main[[#This Row],[Revised Due Date]]&lt;&gt;""),Main[[#This Row],[In Stock Date]]-Main[[#This Row],[Revised Due Date]],"")</f>
        <v>177</v>
      </c>
      <c r="I113" s="157" t="s">
        <v>171</v>
      </c>
      <c r="J113" s="157" t="s">
        <v>70</v>
      </c>
      <c r="K113" s="157" t="s">
        <v>1930</v>
      </c>
      <c r="L113" s="160">
        <v>40925</v>
      </c>
      <c r="M113" s="167">
        <f>IF(Main[[#This Row],[Tech Start Date]]&lt;1/1/1990,"",IF(Main[[#This Row],[Class]]="C",WORKDAY(Main[[#This Row],[Tech Start Date]],9),IF(Main[[#This Row],[Class]]="B", WORKDAY(Main[[#This Row],[Tech Start Date]],6),IF(Main[[#This Row],[Class]]="A",WORKDAY(Main[[#This Row],[Tech Start Date]],2),""))))</f>
        <v>40938</v>
      </c>
      <c r="N113" s="167">
        <f>IF(Main[[#This Row],[Tech Start Date]]&lt;1/1/1990,"",IF(Main[[#This Row],[Class]]="C",WORKDAY(Main[[#This Row],[Tech Start Date]],19),IF(Main[[#This Row],[Class]]="B", WORKDAY(Main[[#This Row],[Tech Start Date]],12),IF(Main[[#This Row],[Class]]="A",WORKDAY(Main[[#This Row],[Tech Start Date]],4),""))))</f>
        <v>40952</v>
      </c>
      <c r="O113" s="167">
        <f>IF(Main[[#This Row],[Tech Start Date]]&lt;1/1/1990,"",IF(Main[[#This Row],[Class]]="C",WORKDAY(Main[[#This Row],[Tech Start Date]],23),IF(Main[[#This Row],[Class]]="B", WORKDAY(Main[[#This Row],[Tech Start Date]],15),IF(Main[[#This Row],[Class]]="A",WORKDAY(Main[[#This Row],[Tech Start Date]],5),""))))</f>
        <v>40956</v>
      </c>
      <c r="P113" s="167">
        <f>IF(Main[[#This Row],[Tech Start Date]]&lt;1/1/1990,"",IF(Main[[#This Row],[Class]]="C",WORKDAY(Main[[#This Row],[Tech Start Date]],28),IF(Main[[#This Row],[Class]]="B", WORKDAY(Main[[#This Row],[Tech Start Date]],19),IF(Main[[#This Row],[Class]]="A",WORKDAY(Main[[#This Row],[Tech Start Date]],9),""))))</f>
        <v>40963</v>
      </c>
      <c r="Q113" s="160">
        <v>40984</v>
      </c>
      <c r="R113" s="160">
        <v>40976</v>
      </c>
      <c r="S113" s="157" t="s">
        <v>11</v>
      </c>
      <c r="T113" s="171" t="s">
        <v>3880</v>
      </c>
      <c r="U113" s="157" t="s">
        <v>29</v>
      </c>
      <c r="V113" s="157" t="s">
        <v>1920</v>
      </c>
      <c r="W113" s="157" t="s">
        <v>1923</v>
      </c>
      <c r="X113" s="157" t="s">
        <v>2860</v>
      </c>
      <c r="Y113" s="157" t="s">
        <v>4</v>
      </c>
      <c r="Z113" s="157" t="s">
        <v>530</v>
      </c>
      <c r="AA113" s="153" t="s">
        <v>2860</v>
      </c>
    </row>
    <row r="114" spans="1:27" ht="18.600000000000001" customHeight="1">
      <c r="A114" s="139">
        <f>IF(priority(Main[[#This Row],[Comments]])&lt;&gt;0, priority(Main[[#This Row],[Comments]]),"")</f>
        <v>34</v>
      </c>
      <c r="B114" s="89" t="s">
        <v>1104</v>
      </c>
      <c r="C114" s="72" t="s">
        <v>4</v>
      </c>
      <c r="D114" s="73" t="s">
        <v>2302</v>
      </c>
      <c r="E114" s="74">
        <v>40561.117199074077</v>
      </c>
      <c r="F114" s="74">
        <v>40592</v>
      </c>
      <c r="G114" s="75" t="str">
        <f>IF(stdProdLT(Main[[#This Row],[Comments]])=0.1,"N/A",IF(stdProdLT(Main[[#This Row],[Comments]])=0,"",stdProdLT(Main[[#This Row],[Comments]])))</f>
        <v/>
      </c>
      <c r="H114" s="76" t="str">
        <f>IF(AND(Main[[#This Row],[In Stock Date]]&lt;&gt;"",Main[[#This Row],[Revised Due Date]]&lt;&gt;""),Main[[#This Row],[In Stock Date]]-Main[[#This Row],[Revised Due Date]],"")</f>
        <v/>
      </c>
      <c r="I114" s="72" t="s">
        <v>914</v>
      </c>
      <c r="J114" s="72" t="s">
        <v>21</v>
      </c>
      <c r="K114" s="81" t="s">
        <v>1924</v>
      </c>
      <c r="L114" s="74"/>
      <c r="M114" s="77" t="str">
        <f>IF(Main[[#This Row],[Tech Start Date]]&lt;1/1/1990,"",IF(Main[[#This Row],[Class]]="C",WORKDAY(Main[[#This Row],[Tech Start Date]],9),IF(Main[[#This Row],[Class]]="B", WORKDAY(Main[[#This Row],[Tech Start Date]],6),IF(Main[[#This Row],[Class]]="A",WORKDAY(Main[[#This Row],[Tech Start Date]],2),""))))</f>
        <v/>
      </c>
      <c r="N114" s="77" t="str">
        <f>IF(Main[[#This Row],[Tech Start Date]]&lt;1/1/1990,"",IF(Main[[#This Row],[Class]]="C",WORKDAY(Main[[#This Row],[Tech Start Date]],19),IF(Main[[#This Row],[Class]]="B", WORKDAY(Main[[#This Row],[Tech Start Date]],12),IF(Main[[#This Row],[Class]]="A",WORKDAY(Main[[#This Row],[Tech Start Date]],4),""))))</f>
        <v/>
      </c>
      <c r="O114" s="77" t="str">
        <f>IF(Main[[#This Row],[Tech Start Date]]&lt;1/1/1990,"",IF(Main[[#This Row],[Class]]="C",WORKDAY(Main[[#This Row],[Tech Start Date]],23),IF(Main[[#This Row],[Class]]="B", WORKDAY(Main[[#This Row],[Tech Start Date]],15),IF(Main[[#This Row],[Class]]="A",WORKDAY(Main[[#This Row],[Tech Start Date]],5),""))))</f>
        <v/>
      </c>
      <c r="P114" s="77" t="str">
        <f>IF(Main[[#This Row],[Tech Start Date]]&lt;1/1/1990,"",IF(Main[[#This Row],[Class]]="C",WORKDAY(Main[[#This Row],[Tech Start Date]],28),IF(Main[[#This Row],[Class]]="B", WORKDAY(Main[[#This Row],[Tech Start Date]],19),IF(Main[[#This Row],[Class]]="A",WORKDAY(Main[[#This Row],[Tech Start Date]],9),""))))</f>
        <v/>
      </c>
      <c r="Q114" s="74">
        <v>40592</v>
      </c>
      <c r="R114" s="74"/>
      <c r="S114" s="72" t="s">
        <v>6</v>
      </c>
      <c r="T114" s="80" t="s">
        <v>2032</v>
      </c>
      <c r="U114" s="72" t="s">
        <v>29</v>
      </c>
      <c r="V114" s="72" t="s">
        <v>1917</v>
      </c>
      <c r="W114" s="72" t="s">
        <v>1919</v>
      </c>
      <c r="X114" s="72" t="s">
        <v>2909</v>
      </c>
      <c r="Y114" s="72" t="s">
        <v>3089</v>
      </c>
      <c r="Z114" s="72" t="s">
        <v>129</v>
      </c>
      <c r="AA114" s="146" t="s">
        <v>2909</v>
      </c>
    </row>
    <row r="115" spans="1:27" ht="18.600000000000001" customHeight="1">
      <c r="A115" s="155">
        <f>IF(priority(Main[[#This Row],[Comments]])&lt;&gt;0, priority(Main[[#This Row],[Comments]]),"")</f>
        <v>34</v>
      </c>
      <c r="B115" s="156" t="s">
        <v>3189</v>
      </c>
      <c r="C115" s="157" t="s">
        <v>3216</v>
      </c>
      <c r="D115" s="158" t="s">
        <v>3190</v>
      </c>
      <c r="E115" s="160">
        <v>40920.243854166663</v>
      </c>
      <c r="F115" s="160">
        <v>41153</v>
      </c>
      <c r="G115" s="162">
        <f>IF(stdProdLT(Main[[#This Row],[Comments]])=0.1,"N/A",IF(stdProdLT(Main[[#This Row],[Comments]])=0,"",stdProdLT(Main[[#This Row],[Comments]])))</f>
        <v>168</v>
      </c>
      <c r="H115" s="164">
        <f>IF(AND(Main[[#This Row],[In Stock Date]]&lt;&gt;"",Main[[#This Row],[Revised Due Date]]&lt;&gt;""),Main[[#This Row],[In Stock Date]]-Main[[#This Row],[Revised Due Date]],"")</f>
        <v>184</v>
      </c>
      <c r="I115" s="157" t="s">
        <v>130</v>
      </c>
      <c r="J115" s="157" t="s">
        <v>1981</v>
      </c>
      <c r="K115" s="157" t="s">
        <v>1930</v>
      </c>
      <c r="L115" s="160">
        <v>40925</v>
      </c>
      <c r="M115" s="167">
        <f>IF(Main[[#This Row],[Tech Start Date]]&lt;1/1/1990,"",IF(Main[[#This Row],[Class]]="C",WORKDAY(Main[[#This Row],[Tech Start Date]],9),IF(Main[[#This Row],[Class]]="B", WORKDAY(Main[[#This Row],[Tech Start Date]],6),IF(Main[[#This Row],[Class]]="A",WORKDAY(Main[[#This Row],[Tech Start Date]],2),""))))</f>
        <v>40938</v>
      </c>
      <c r="N115" s="167">
        <f>IF(Main[[#This Row],[Tech Start Date]]&lt;1/1/1990,"",IF(Main[[#This Row],[Class]]="C",WORKDAY(Main[[#This Row],[Tech Start Date]],19),IF(Main[[#This Row],[Class]]="B", WORKDAY(Main[[#This Row],[Tech Start Date]],12),IF(Main[[#This Row],[Class]]="A",WORKDAY(Main[[#This Row],[Tech Start Date]],4),""))))</f>
        <v>40952</v>
      </c>
      <c r="O115" s="167">
        <f>IF(Main[[#This Row],[Tech Start Date]]&lt;1/1/1990,"",IF(Main[[#This Row],[Class]]="C",WORKDAY(Main[[#This Row],[Tech Start Date]],23),IF(Main[[#This Row],[Class]]="B", WORKDAY(Main[[#This Row],[Tech Start Date]],15),IF(Main[[#This Row],[Class]]="A",WORKDAY(Main[[#This Row],[Tech Start Date]],5),""))))</f>
        <v>40956</v>
      </c>
      <c r="P115" s="167">
        <f>IF(Main[[#This Row],[Tech Start Date]]&lt;1/1/1990,"",IF(Main[[#This Row],[Class]]="C",WORKDAY(Main[[#This Row],[Tech Start Date]],28),IF(Main[[#This Row],[Class]]="B", WORKDAY(Main[[#This Row],[Tech Start Date]],19),IF(Main[[#This Row],[Class]]="A",WORKDAY(Main[[#This Row],[Tech Start Date]],9),""))))</f>
        <v>40963</v>
      </c>
      <c r="Q115" s="160">
        <v>40984</v>
      </c>
      <c r="R115" s="160">
        <v>40969</v>
      </c>
      <c r="S115" s="157" t="s">
        <v>11</v>
      </c>
      <c r="T115" s="171" t="s">
        <v>3881</v>
      </c>
      <c r="U115" s="157" t="s">
        <v>29</v>
      </c>
      <c r="V115" s="157" t="s">
        <v>1920</v>
      </c>
      <c r="W115" s="157" t="s">
        <v>1928</v>
      </c>
      <c r="X115" s="157" t="s">
        <v>2852</v>
      </c>
      <c r="Y115" s="157" t="s">
        <v>4</v>
      </c>
      <c r="Z115" s="157" t="s">
        <v>530</v>
      </c>
      <c r="AA115" s="153" t="s">
        <v>2852</v>
      </c>
    </row>
    <row r="116" spans="1:27" ht="18.600000000000001" customHeight="1">
      <c r="A116" s="139">
        <f>IF(priority(Main[[#This Row],[Comments]])&lt;&gt;0, priority(Main[[#This Row],[Comments]]),"")</f>
        <v>35</v>
      </c>
      <c r="B116" s="89" t="s">
        <v>2764</v>
      </c>
      <c r="C116" s="72" t="s">
        <v>3187</v>
      </c>
      <c r="D116" s="73" t="s">
        <v>3857</v>
      </c>
      <c r="E116" s="74">
        <v>40911.138009259259</v>
      </c>
      <c r="F116" s="74">
        <v>41334</v>
      </c>
      <c r="G116" s="75">
        <f>IF(stdProdLT(Main[[#This Row],[Comments]])=0.1,"N/A",IF(stdProdLT(Main[[#This Row],[Comments]])=0,"",stdProdLT(Main[[#This Row],[Comments]])))</f>
        <v>140</v>
      </c>
      <c r="H116" s="76">
        <f>IF(AND(Main[[#This Row],[In Stock Date]]&lt;&gt;"",Main[[#This Row],[Revised Due Date]]&lt;&gt;""),Main[[#This Row],[In Stock Date]]-Main[[#This Row],[Revised Due Date]],"")</f>
        <v>357</v>
      </c>
      <c r="I116" s="72" t="s">
        <v>972</v>
      </c>
      <c r="J116" s="72" t="s">
        <v>51</v>
      </c>
      <c r="K116" s="72" t="s">
        <v>1924</v>
      </c>
      <c r="L116" s="74">
        <v>40913</v>
      </c>
      <c r="M116" s="77">
        <f>IF(Main[[#This Row],[Tech Start Date]]&lt;1/1/1990,"",IF(Main[[#This Row],[Class]]="C",WORKDAY(Main[[#This Row],[Tech Start Date]],9),IF(Main[[#This Row],[Class]]="B", WORKDAY(Main[[#This Row],[Tech Start Date]],6),IF(Main[[#This Row],[Class]]="A",WORKDAY(Main[[#This Row],[Tech Start Date]],2),""))))</f>
        <v>40921</v>
      </c>
      <c r="N116" s="77">
        <f>IF(Main[[#This Row],[Tech Start Date]]&lt;1/1/1990,"",IF(Main[[#This Row],[Class]]="C",WORKDAY(Main[[#This Row],[Tech Start Date]],19),IF(Main[[#This Row],[Class]]="B", WORKDAY(Main[[#This Row],[Tech Start Date]],12),IF(Main[[#This Row],[Class]]="A",WORKDAY(Main[[#This Row],[Tech Start Date]],4),""))))</f>
        <v>40931</v>
      </c>
      <c r="O116" s="77">
        <f>IF(Main[[#This Row],[Tech Start Date]]&lt;1/1/1990,"",IF(Main[[#This Row],[Class]]="C",WORKDAY(Main[[#This Row],[Tech Start Date]],23),IF(Main[[#This Row],[Class]]="B", WORKDAY(Main[[#This Row],[Tech Start Date]],15),IF(Main[[#This Row],[Class]]="A",WORKDAY(Main[[#This Row],[Tech Start Date]],5),""))))</f>
        <v>40934</v>
      </c>
      <c r="P116" s="77">
        <f>IF(Main[[#This Row],[Tech Start Date]]&lt;1/1/1990,"",IF(Main[[#This Row],[Class]]="C",WORKDAY(Main[[#This Row],[Tech Start Date]],28),IF(Main[[#This Row],[Class]]="B", WORKDAY(Main[[#This Row],[Tech Start Date]],19),IF(Main[[#This Row],[Class]]="A",WORKDAY(Main[[#This Row],[Tech Start Date]],9),""))))</f>
        <v>40940</v>
      </c>
      <c r="Q116" s="74">
        <v>40903</v>
      </c>
      <c r="R116" s="74">
        <v>40977</v>
      </c>
      <c r="S116" s="72" t="s">
        <v>11</v>
      </c>
      <c r="T116" s="80" t="s">
        <v>3858</v>
      </c>
      <c r="U116" s="72" t="s">
        <v>29</v>
      </c>
      <c r="V116" s="72" t="s">
        <v>1927</v>
      </c>
      <c r="W116" s="72" t="s">
        <v>1923</v>
      </c>
      <c r="X116" s="72" t="s">
        <v>2852</v>
      </c>
      <c r="Y116" s="72" t="s">
        <v>4</v>
      </c>
      <c r="Z116" s="72" t="s">
        <v>530</v>
      </c>
      <c r="AA116" s="146" t="s">
        <v>2852</v>
      </c>
    </row>
    <row r="117" spans="1:27" ht="18.600000000000001" customHeight="1">
      <c r="A117" s="139">
        <f>IF(priority(Main[[#This Row],[Comments]])&lt;&gt;0, priority(Main[[#This Row],[Comments]]),"")</f>
        <v>36</v>
      </c>
      <c r="B117" s="89" t="s">
        <v>1210</v>
      </c>
      <c r="C117" s="72" t="s">
        <v>4</v>
      </c>
      <c r="D117" s="73" t="s">
        <v>267</v>
      </c>
      <c r="E117" s="74">
        <v>40681.617800925924</v>
      </c>
      <c r="F117" s="74"/>
      <c r="G117" s="75" t="str">
        <f>IF(stdProdLT(Main[[#This Row],[Comments]])=0.1,"N/A",IF(stdProdLT(Main[[#This Row],[Comments]])=0,"",stdProdLT(Main[[#This Row],[Comments]])))</f>
        <v/>
      </c>
      <c r="H117" s="76" t="str">
        <f>IF(AND(Main[[#This Row],[In Stock Date]]&lt;&gt;"",Main[[#This Row],[Revised Due Date]]&lt;&gt;""),Main[[#This Row],[In Stock Date]]-Main[[#This Row],[Revised Due Date]],"")</f>
        <v/>
      </c>
      <c r="I117" s="72" t="s">
        <v>4</v>
      </c>
      <c r="J117" s="72" t="s">
        <v>21</v>
      </c>
      <c r="K117" s="72" t="s">
        <v>4</v>
      </c>
      <c r="L117" s="74"/>
      <c r="M117" s="77" t="str">
        <f>IF(Main[[#This Row],[Tech Start Date]]&lt;1/1/1990,"",IF(Main[[#This Row],[Class]]="C",WORKDAY(Main[[#This Row],[Tech Start Date]],9),IF(Main[[#This Row],[Class]]="B", WORKDAY(Main[[#This Row],[Tech Start Date]],6),IF(Main[[#This Row],[Class]]="A",WORKDAY(Main[[#This Row],[Tech Start Date]],2),""))))</f>
        <v/>
      </c>
      <c r="N117" s="77" t="str">
        <f>IF(Main[[#This Row],[Tech Start Date]]&lt;1/1/1990,"",IF(Main[[#This Row],[Class]]="C",WORKDAY(Main[[#This Row],[Tech Start Date]],19),IF(Main[[#This Row],[Class]]="B", WORKDAY(Main[[#This Row],[Tech Start Date]],12),IF(Main[[#This Row],[Class]]="A",WORKDAY(Main[[#This Row],[Tech Start Date]],4),""))))</f>
        <v/>
      </c>
      <c r="O117" s="77" t="str">
        <f>IF(Main[[#This Row],[Tech Start Date]]&lt;1/1/1990,"",IF(Main[[#This Row],[Class]]="C",WORKDAY(Main[[#This Row],[Tech Start Date]],23),IF(Main[[#This Row],[Class]]="B", WORKDAY(Main[[#This Row],[Tech Start Date]],15),IF(Main[[#This Row],[Class]]="A",WORKDAY(Main[[#This Row],[Tech Start Date]],5),""))))</f>
        <v/>
      </c>
      <c r="P117" s="77" t="str">
        <f>IF(Main[[#This Row],[Tech Start Date]]&lt;1/1/1990,"",IF(Main[[#This Row],[Class]]="C",WORKDAY(Main[[#This Row],[Tech Start Date]],28),IF(Main[[#This Row],[Class]]="B", WORKDAY(Main[[#This Row],[Tech Start Date]],19),IF(Main[[#This Row],[Class]]="A",WORKDAY(Main[[#This Row],[Tech Start Date]],9),""))))</f>
        <v/>
      </c>
      <c r="Q117" s="74">
        <v>40710</v>
      </c>
      <c r="R117" s="74"/>
      <c r="S117" s="72" t="s">
        <v>6</v>
      </c>
      <c r="T117" s="80" t="s">
        <v>2275</v>
      </c>
      <c r="U117" s="72" t="s">
        <v>534</v>
      </c>
      <c r="V117" s="72" t="s">
        <v>1917</v>
      </c>
      <c r="W117" s="72" t="s">
        <v>1928</v>
      </c>
      <c r="X117" s="72" t="s">
        <v>972</v>
      </c>
      <c r="Y117" s="72" t="s">
        <v>3103</v>
      </c>
      <c r="Z117" s="72" t="s">
        <v>4</v>
      </c>
      <c r="AA117" s="146" t="s">
        <v>972</v>
      </c>
    </row>
    <row r="118" spans="1:27" ht="18.600000000000001" customHeight="1">
      <c r="A118" s="155">
        <f>IF(priority(Main[[#This Row],[Comments]])&lt;&gt;0, priority(Main[[#This Row],[Comments]]),"")</f>
        <v>36</v>
      </c>
      <c r="B118" s="156" t="s">
        <v>3948</v>
      </c>
      <c r="C118" s="157" t="s">
        <v>3949</v>
      </c>
      <c r="D118" s="158" t="s">
        <v>3950</v>
      </c>
      <c r="E118" s="160">
        <v>40953.264710648145</v>
      </c>
      <c r="F118" s="160">
        <v>41289</v>
      </c>
      <c r="G118" s="162">
        <f>IF(stdProdLT(Main[[#This Row],[Comments]])=0.1,"N/A",IF(stdProdLT(Main[[#This Row],[Comments]])=0,"",stdProdLT(Main[[#This Row],[Comments]])))</f>
        <v>140</v>
      </c>
      <c r="H118" s="164">
        <f>IF(AND(Main[[#This Row],[In Stock Date]]&lt;&gt;"",Main[[#This Row],[Revised Due Date]]&lt;&gt;""),Main[[#This Row],[In Stock Date]]-Main[[#This Row],[Revised Due Date]],"")</f>
        <v>294</v>
      </c>
      <c r="I118" s="157" t="s">
        <v>3951</v>
      </c>
      <c r="J118" s="157" t="s">
        <v>28</v>
      </c>
      <c r="K118" s="157" t="s">
        <v>1924</v>
      </c>
      <c r="L118" s="160">
        <v>40960</v>
      </c>
      <c r="M118" s="167">
        <f>IF(Main[[#This Row],[Tech Start Date]]&lt;1/1/1990,"",IF(Main[[#This Row],[Class]]="C",WORKDAY(Main[[#This Row],[Tech Start Date]],9),IF(Main[[#This Row],[Class]]="B", WORKDAY(Main[[#This Row],[Tech Start Date]],6),IF(Main[[#This Row],[Class]]="A",WORKDAY(Main[[#This Row],[Tech Start Date]],2),""))))</f>
        <v>40968</v>
      </c>
      <c r="N118" s="167">
        <f>IF(Main[[#This Row],[Tech Start Date]]&lt;1/1/1990,"",IF(Main[[#This Row],[Class]]="C",WORKDAY(Main[[#This Row],[Tech Start Date]],19),IF(Main[[#This Row],[Class]]="B", WORKDAY(Main[[#This Row],[Tech Start Date]],12),IF(Main[[#This Row],[Class]]="A",WORKDAY(Main[[#This Row],[Tech Start Date]],4),""))))</f>
        <v>40976</v>
      </c>
      <c r="O118" s="167">
        <f>IF(Main[[#This Row],[Tech Start Date]]&lt;1/1/1990,"",IF(Main[[#This Row],[Class]]="C",WORKDAY(Main[[#This Row],[Tech Start Date]],23),IF(Main[[#This Row],[Class]]="B", WORKDAY(Main[[#This Row],[Tech Start Date]],15),IF(Main[[#This Row],[Class]]="A",WORKDAY(Main[[#This Row],[Tech Start Date]],5),""))))</f>
        <v>40981</v>
      </c>
      <c r="P118" s="167">
        <f>IF(Main[[#This Row],[Tech Start Date]]&lt;1/1/1990,"",IF(Main[[#This Row],[Class]]="C",WORKDAY(Main[[#This Row],[Tech Start Date]],28),IF(Main[[#This Row],[Class]]="B", WORKDAY(Main[[#This Row],[Tech Start Date]],19),IF(Main[[#This Row],[Class]]="A",WORKDAY(Main[[#This Row],[Tech Start Date]],9),""))))</f>
        <v>40987</v>
      </c>
      <c r="Q118" s="160">
        <v>40995</v>
      </c>
      <c r="R118" s="160">
        <v>40995</v>
      </c>
      <c r="S118" s="157" t="s">
        <v>11</v>
      </c>
      <c r="T118" s="171" t="s">
        <v>3952</v>
      </c>
      <c r="U118" s="157" t="s">
        <v>29</v>
      </c>
      <c r="V118" s="157" t="s">
        <v>1927</v>
      </c>
      <c r="W118" s="157" t="s">
        <v>1923</v>
      </c>
      <c r="X118" s="157" t="s">
        <v>2852</v>
      </c>
      <c r="Y118" s="157" t="s">
        <v>4</v>
      </c>
      <c r="Z118" s="157" t="s">
        <v>530</v>
      </c>
      <c r="AA118" s="153" t="s">
        <v>2852</v>
      </c>
    </row>
    <row r="119" spans="1:27" ht="18.600000000000001" customHeight="1">
      <c r="A119" s="139">
        <f>IF(priority(Main[[#This Row],[Comments]])&lt;&gt;0, priority(Main[[#This Row],[Comments]]),"")</f>
        <v>37</v>
      </c>
      <c r="B119" s="89" t="s">
        <v>1174</v>
      </c>
      <c r="C119" s="72" t="s">
        <v>4</v>
      </c>
      <c r="D119" s="73" t="s">
        <v>227</v>
      </c>
      <c r="E119" s="74">
        <v>40567.332951388889</v>
      </c>
      <c r="F119" s="74">
        <v>40602</v>
      </c>
      <c r="G119" s="75" t="str">
        <f>IF(stdProdLT(Main[[#This Row],[Comments]])=0.1,"N/A",IF(stdProdLT(Main[[#This Row],[Comments]])=0,"",stdProdLT(Main[[#This Row],[Comments]])))</f>
        <v/>
      </c>
      <c r="H119" s="76" t="str">
        <f>IF(AND(Main[[#This Row],[In Stock Date]]&lt;&gt;"",Main[[#This Row],[Revised Due Date]]&lt;&gt;""),Main[[#This Row],[In Stock Date]]-Main[[#This Row],[Revised Due Date]],"")</f>
        <v/>
      </c>
      <c r="I119" s="72" t="s">
        <v>914</v>
      </c>
      <c r="J119" s="72" t="s">
        <v>52</v>
      </c>
      <c r="K119" s="72" t="s">
        <v>1926</v>
      </c>
      <c r="L119" s="74"/>
      <c r="M119" s="77" t="str">
        <f>IF(Main[[#This Row],[Tech Start Date]]&lt;1/1/1990,"",IF(Main[[#This Row],[Class]]="C",WORKDAY(Main[[#This Row],[Tech Start Date]],9),IF(Main[[#This Row],[Class]]="B", WORKDAY(Main[[#This Row],[Tech Start Date]],6),IF(Main[[#This Row],[Class]]="A",WORKDAY(Main[[#This Row],[Tech Start Date]],2),""))))</f>
        <v/>
      </c>
      <c r="N119" s="77" t="str">
        <f>IF(Main[[#This Row],[Tech Start Date]]&lt;1/1/1990,"",IF(Main[[#This Row],[Class]]="C",WORKDAY(Main[[#This Row],[Tech Start Date]],19),IF(Main[[#This Row],[Class]]="B", WORKDAY(Main[[#This Row],[Tech Start Date]],12),IF(Main[[#This Row],[Class]]="A",WORKDAY(Main[[#This Row],[Tech Start Date]],4),""))))</f>
        <v/>
      </c>
      <c r="O119" s="77" t="str">
        <f>IF(Main[[#This Row],[Tech Start Date]]&lt;1/1/1990,"",IF(Main[[#This Row],[Class]]="C",WORKDAY(Main[[#This Row],[Tech Start Date]],23),IF(Main[[#This Row],[Class]]="B", WORKDAY(Main[[#This Row],[Tech Start Date]],15),IF(Main[[#This Row],[Class]]="A",WORKDAY(Main[[#This Row],[Tech Start Date]],5),""))))</f>
        <v/>
      </c>
      <c r="P119" s="77" t="str">
        <f>IF(Main[[#This Row],[Tech Start Date]]&lt;1/1/1990,"",IF(Main[[#This Row],[Class]]="C",WORKDAY(Main[[#This Row],[Tech Start Date]],28),IF(Main[[#This Row],[Class]]="B", WORKDAY(Main[[#This Row],[Tech Start Date]],19),IF(Main[[#This Row],[Class]]="A",WORKDAY(Main[[#This Row],[Tech Start Date]],9),""))))</f>
        <v/>
      </c>
      <c r="Q119" s="74">
        <v>40602</v>
      </c>
      <c r="R119" s="74"/>
      <c r="S119" s="72" t="s">
        <v>6</v>
      </c>
      <c r="T119" s="80" t="s">
        <v>2033</v>
      </c>
      <c r="U119" s="72" t="s">
        <v>29</v>
      </c>
      <c r="V119" s="72" t="s">
        <v>1917</v>
      </c>
      <c r="W119" s="72" t="s">
        <v>1919</v>
      </c>
      <c r="X119" s="72" t="s">
        <v>126</v>
      </c>
      <c r="Y119" s="72" t="s">
        <v>3058</v>
      </c>
      <c r="Z119" s="72" t="s">
        <v>129</v>
      </c>
      <c r="AA119" s="146" t="s">
        <v>126</v>
      </c>
    </row>
    <row r="120" spans="1:27" ht="18.600000000000001" customHeight="1">
      <c r="A120" s="155">
        <f>IF(priority(Main[[#This Row],[Comments]])&lt;&gt;0, priority(Main[[#This Row],[Comments]]),"")</f>
        <v>37</v>
      </c>
      <c r="B120" s="156" t="s">
        <v>3309</v>
      </c>
      <c r="C120" s="157" t="s">
        <v>4</v>
      </c>
      <c r="D120" s="158" t="s">
        <v>3581</v>
      </c>
      <c r="E120" s="160">
        <v>40933.750428240739</v>
      </c>
      <c r="F120" s="160">
        <v>40969</v>
      </c>
      <c r="G120" s="162" t="str">
        <f>IF(stdProdLT(Main[[#This Row],[Comments]])=0.1,"N/A",IF(stdProdLT(Main[[#This Row],[Comments]])=0,"",stdProdLT(Main[[#This Row],[Comments]])))</f>
        <v>N/A</v>
      </c>
      <c r="H120" s="164">
        <f>IF(AND(Main[[#This Row],[In Stock Date]]&lt;&gt;"",Main[[#This Row],[Revised Due Date]]&lt;&gt;""),Main[[#This Row],[In Stock Date]]-Main[[#This Row],[Revised Due Date]],"")</f>
        <v>-8</v>
      </c>
      <c r="I120" s="157" t="s">
        <v>2047</v>
      </c>
      <c r="J120" s="157" t="s">
        <v>28</v>
      </c>
      <c r="K120" s="157" t="s">
        <v>1930</v>
      </c>
      <c r="L120" s="160">
        <v>40948</v>
      </c>
      <c r="M120" s="167">
        <f>IF(Main[[#This Row],[Tech Start Date]]&lt;1/1/1990,"",IF(Main[[#This Row],[Class]]="C",WORKDAY(Main[[#This Row],[Tech Start Date]],9),IF(Main[[#This Row],[Class]]="B", WORKDAY(Main[[#This Row],[Tech Start Date]],6),IF(Main[[#This Row],[Class]]="A",WORKDAY(Main[[#This Row],[Tech Start Date]],2),""))))</f>
        <v>40961</v>
      </c>
      <c r="N120" s="167">
        <f>IF(Main[[#This Row],[Tech Start Date]]&lt;1/1/1990,"",IF(Main[[#This Row],[Class]]="C",WORKDAY(Main[[#This Row],[Tech Start Date]],19),IF(Main[[#This Row],[Class]]="B", WORKDAY(Main[[#This Row],[Tech Start Date]],12),IF(Main[[#This Row],[Class]]="A",WORKDAY(Main[[#This Row],[Tech Start Date]],4),""))))</f>
        <v>40975</v>
      </c>
      <c r="O120" s="167">
        <f>IF(Main[[#This Row],[Tech Start Date]]&lt;1/1/1990,"",IF(Main[[#This Row],[Class]]="C",WORKDAY(Main[[#This Row],[Tech Start Date]],23),IF(Main[[#This Row],[Class]]="B", WORKDAY(Main[[#This Row],[Tech Start Date]],15),IF(Main[[#This Row],[Class]]="A",WORKDAY(Main[[#This Row],[Tech Start Date]],5),""))))</f>
        <v>40981</v>
      </c>
      <c r="P120" s="167">
        <f>IF(Main[[#This Row],[Tech Start Date]]&lt;1/1/1990,"",IF(Main[[#This Row],[Class]]="C",WORKDAY(Main[[#This Row],[Tech Start Date]],28),IF(Main[[#This Row],[Class]]="B", WORKDAY(Main[[#This Row],[Tech Start Date]],19),IF(Main[[#This Row],[Class]]="A",WORKDAY(Main[[#This Row],[Tech Start Date]],9),""))))</f>
        <v>40988</v>
      </c>
      <c r="Q120" s="160">
        <v>40969</v>
      </c>
      <c r="R120" s="160">
        <v>40977</v>
      </c>
      <c r="S120" s="157" t="s">
        <v>11</v>
      </c>
      <c r="T120" s="171" t="s">
        <v>3902</v>
      </c>
      <c r="U120" s="157" t="s">
        <v>29</v>
      </c>
      <c r="V120" s="157" t="s">
        <v>1920</v>
      </c>
      <c r="W120" s="157" t="s">
        <v>1922</v>
      </c>
      <c r="X120" s="157" t="s">
        <v>554</v>
      </c>
      <c r="Y120" s="157" t="s">
        <v>2958</v>
      </c>
      <c r="Z120" s="157" t="s">
        <v>530</v>
      </c>
      <c r="AA120" s="153" t="s">
        <v>554</v>
      </c>
    </row>
    <row r="121" spans="1:27" ht="18.600000000000001" customHeight="1">
      <c r="A121" s="139">
        <f>IF(priority(Main[[#This Row],[Comments]])&lt;&gt;0, priority(Main[[#This Row],[Comments]]),"")</f>
        <v>38</v>
      </c>
      <c r="B121" s="89" t="s">
        <v>1228</v>
      </c>
      <c r="C121" s="72" t="s">
        <v>4</v>
      </c>
      <c r="D121" s="73" t="s">
        <v>2369</v>
      </c>
      <c r="E121" s="74">
        <v>40337.30976851852</v>
      </c>
      <c r="F121" s="74"/>
      <c r="G121" s="75" t="str">
        <f>IF(stdProdLT(Main[[#This Row],[Comments]])=0.1,"N/A",IF(stdProdLT(Main[[#This Row],[Comments]])=0,"",stdProdLT(Main[[#This Row],[Comments]])))</f>
        <v/>
      </c>
      <c r="H121" s="76" t="str">
        <f>IF(AND(Main[[#This Row],[In Stock Date]]&lt;&gt;"",Main[[#This Row],[Revised Due Date]]&lt;&gt;""),Main[[#This Row],[In Stock Date]]-Main[[#This Row],[Revised Due Date]],"")</f>
        <v/>
      </c>
      <c r="I121" s="72" t="s">
        <v>914</v>
      </c>
      <c r="J121" s="72" t="s">
        <v>52</v>
      </c>
      <c r="K121" s="72" t="s">
        <v>4</v>
      </c>
      <c r="L121" s="74"/>
      <c r="M121" s="77" t="str">
        <f>IF(Main[[#This Row],[Tech Start Date]]&lt;1/1/1990,"",IF(Main[[#This Row],[Class]]="C",WORKDAY(Main[[#This Row],[Tech Start Date]],9),IF(Main[[#This Row],[Class]]="B", WORKDAY(Main[[#This Row],[Tech Start Date]],6),IF(Main[[#This Row],[Class]]="A",WORKDAY(Main[[#This Row],[Tech Start Date]],2),""))))</f>
        <v/>
      </c>
      <c r="N121" s="77" t="str">
        <f>IF(Main[[#This Row],[Tech Start Date]]&lt;1/1/1990,"",IF(Main[[#This Row],[Class]]="C",WORKDAY(Main[[#This Row],[Tech Start Date]],19),IF(Main[[#This Row],[Class]]="B", WORKDAY(Main[[#This Row],[Tech Start Date]],12),IF(Main[[#This Row],[Class]]="A",WORKDAY(Main[[#This Row],[Tech Start Date]],4),""))))</f>
        <v/>
      </c>
      <c r="O121" s="77" t="str">
        <f>IF(Main[[#This Row],[Tech Start Date]]&lt;1/1/1990,"",IF(Main[[#This Row],[Class]]="C",WORKDAY(Main[[#This Row],[Tech Start Date]],23),IF(Main[[#This Row],[Class]]="B", WORKDAY(Main[[#This Row],[Tech Start Date]],15),IF(Main[[#This Row],[Class]]="A",WORKDAY(Main[[#This Row],[Tech Start Date]],5),""))))</f>
        <v/>
      </c>
      <c r="P121" s="77" t="str">
        <f>IF(Main[[#This Row],[Tech Start Date]]&lt;1/1/1990,"",IF(Main[[#This Row],[Class]]="C",WORKDAY(Main[[#This Row],[Tech Start Date]],28),IF(Main[[#This Row],[Class]]="B", WORKDAY(Main[[#This Row],[Tech Start Date]],19),IF(Main[[#This Row],[Class]]="A",WORKDAY(Main[[#This Row],[Tech Start Date]],9),""))))</f>
        <v/>
      </c>
      <c r="Q121" s="74">
        <v>40344</v>
      </c>
      <c r="R121" s="74"/>
      <c r="S121" s="72" t="s">
        <v>6</v>
      </c>
      <c r="T121" s="80" t="s">
        <v>2034</v>
      </c>
      <c r="U121" s="72" t="s">
        <v>29</v>
      </c>
      <c r="V121" s="72" t="s">
        <v>1917</v>
      </c>
      <c r="W121" s="72" t="s">
        <v>1921</v>
      </c>
      <c r="X121" s="72" t="s">
        <v>2872</v>
      </c>
      <c r="Y121" s="72" t="s">
        <v>3006</v>
      </c>
      <c r="Z121" s="72" t="s">
        <v>129</v>
      </c>
      <c r="AA121" s="146" t="s">
        <v>2872</v>
      </c>
    </row>
    <row r="122" spans="1:27" ht="18.600000000000001" customHeight="1">
      <c r="A122" s="139">
        <f>IF(priority(Main[[#This Row],[Comments]])&lt;&gt;0, priority(Main[[#This Row],[Comments]]),"")</f>
        <v>38</v>
      </c>
      <c r="B122" s="89" t="s">
        <v>1959</v>
      </c>
      <c r="C122" s="72" t="s">
        <v>116</v>
      </c>
      <c r="D122" s="73" t="s">
        <v>2617</v>
      </c>
      <c r="E122" s="74">
        <v>40722.573900462965</v>
      </c>
      <c r="F122" s="74">
        <v>41379</v>
      </c>
      <c r="G122" s="75" t="str">
        <f>IF(stdProdLT(Main[[#This Row],[Comments]])=0.1,"N/A",IF(stdProdLT(Main[[#This Row],[Comments]])=0,"",stdProdLT(Main[[#This Row],[Comments]])))</f>
        <v>N/A</v>
      </c>
      <c r="H122" s="76">
        <f>IF(AND(Main[[#This Row],[In Stock Date]]&lt;&gt;"",Main[[#This Row],[Revised Due Date]]&lt;&gt;""),Main[[#This Row],[In Stock Date]]-Main[[#This Row],[Revised Due Date]],"")</f>
        <v>410</v>
      </c>
      <c r="I122" s="72" t="s">
        <v>81</v>
      </c>
      <c r="J122" s="72" t="s">
        <v>21</v>
      </c>
      <c r="K122" s="72" t="s">
        <v>1930</v>
      </c>
      <c r="L122" s="74">
        <v>40767</v>
      </c>
      <c r="M122" s="77">
        <f>IF(Main[[#This Row],[Tech Start Date]]&lt;1/1/1990,"",IF(Main[[#This Row],[Class]]="C",WORKDAY(Main[[#This Row],[Tech Start Date]],9),IF(Main[[#This Row],[Class]]="B", WORKDAY(Main[[#This Row],[Tech Start Date]],6),IF(Main[[#This Row],[Class]]="A",WORKDAY(Main[[#This Row],[Tech Start Date]],2),""))))</f>
        <v>40780</v>
      </c>
      <c r="N122" s="77">
        <f>IF(Main[[#This Row],[Tech Start Date]]&lt;1/1/1990,"",IF(Main[[#This Row],[Class]]="C",WORKDAY(Main[[#This Row],[Tech Start Date]],19),IF(Main[[#This Row],[Class]]="B", WORKDAY(Main[[#This Row],[Tech Start Date]],12),IF(Main[[#This Row],[Class]]="A",WORKDAY(Main[[#This Row],[Tech Start Date]],4),""))))</f>
        <v>40794</v>
      </c>
      <c r="O122" s="77">
        <f>IF(Main[[#This Row],[Tech Start Date]]&lt;1/1/1990,"",IF(Main[[#This Row],[Class]]="C",WORKDAY(Main[[#This Row],[Tech Start Date]],23),IF(Main[[#This Row],[Class]]="B", WORKDAY(Main[[#This Row],[Tech Start Date]],15),IF(Main[[#This Row],[Class]]="A",WORKDAY(Main[[#This Row],[Tech Start Date]],5),""))))</f>
        <v>40800</v>
      </c>
      <c r="P122" s="77">
        <f>IF(Main[[#This Row],[Tech Start Date]]&lt;1/1/1990,"",IF(Main[[#This Row],[Class]]="C",WORKDAY(Main[[#This Row],[Tech Start Date]],28),IF(Main[[#This Row],[Class]]="B", WORKDAY(Main[[#This Row],[Tech Start Date]],19),IF(Main[[#This Row],[Class]]="A",WORKDAY(Main[[#This Row],[Tech Start Date]],9),""))))</f>
        <v>40807</v>
      </c>
      <c r="Q122" s="74">
        <v>41061</v>
      </c>
      <c r="R122" s="74">
        <v>40969</v>
      </c>
      <c r="S122" s="72" t="s">
        <v>11</v>
      </c>
      <c r="T122" s="80" t="s">
        <v>3835</v>
      </c>
      <c r="U122" s="72" t="s">
        <v>29</v>
      </c>
      <c r="V122" s="72" t="s">
        <v>1920</v>
      </c>
      <c r="W122" s="72" t="s">
        <v>1922</v>
      </c>
      <c r="X122" s="72" t="s">
        <v>2897</v>
      </c>
      <c r="Y122" s="72" t="s">
        <v>3108</v>
      </c>
      <c r="Z122" s="72" t="s">
        <v>81</v>
      </c>
      <c r="AA122" s="146" t="s">
        <v>2897</v>
      </c>
    </row>
    <row r="123" spans="1:27" ht="18.600000000000001" customHeight="1">
      <c r="A123" s="139">
        <f>IF(priority(Main[[#This Row],[Comments]])&lt;&gt;0, priority(Main[[#This Row],[Comments]]),"")</f>
        <v>39</v>
      </c>
      <c r="B123" s="89" t="s">
        <v>1405</v>
      </c>
      <c r="C123" s="72" t="s">
        <v>37</v>
      </c>
      <c r="D123" s="73" t="s">
        <v>485</v>
      </c>
      <c r="E123" s="74">
        <v>40682.478391203702</v>
      </c>
      <c r="F123" s="74"/>
      <c r="G123" s="75" t="str">
        <f>IF(stdProdLT(Main[[#This Row],[Comments]])=0.1,"N/A",IF(stdProdLT(Main[[#This Row],[Comments]])=0,"",stdProdLT(Main[[#This Row],[Comments]])))</f>
        <v/>
      </c>
      <c r="H123" s="76" t="str">
        <f>IF(AND(Main[[#This Row],[In Stock Date]]&lt;&gt;"",Main[[#This Row],[Revised Due Date]]&lt;&gt;""),Main[[#This Row],[In Stock Date]]-Main[[#This Row],[Revised Due Date]],"")</f>
        <v/>
      </c>
      <c r="I123" s="72" t="s">
        <v>4</v>
      </c>
      <c r="J123" s="72" t="s">
        <v>21</v>
      </c>
      <c r="K123" s="81" t="s">
        <v>4</v>
      </c>
      <c r="L123" s="74"/>
      <c r="M123" s="77" t="str">
        <f>IF(Main[[#This Row],[Tech Start Date]]&lt;1/1/1990,"",IF(Main[[#This Row],[Class]]="C",WORKDAY(Main[[#This Row],[Tech Start Date]],9),IF(Main[[#This Row],[Class]]="B", WORKDAY(Main[[#This Row],[Tech Start Date]],6),IF(Main[[#This Row],[Class]]="A",WORKDAY(Main[[#This Row],[Tech Start Date]],2),""))))</f>
        <v/>
      </c>
      <c r="N123" s="77" t="str">
        <f>IF(Main[[#This Row],[Tech Start Date]]&lt;1/1/1990,"",IF(Main[[#This Row],[Class]]="C",WORKDAY(Main[[#This Row],[Tech Start Date]],19),IF(Main[[#This Row],[Class]]="B", WORKDAY(Main[[#This Row],[Tech Start Date]],12),IF(Main[[#This Row],[Class]]="A",WORKDAY(Main[[#This Row],[Tech Start Date]],4),""))))</f>
        <v/>
      </c>
      <c r="O123" s="77" t="str">
        <f>IF(Main[[#This Row],[Tech Start Date]]&lt;1/1/1990,"",IF(Main[[#This Row],[Class]]="C",WORKDAY(Main[[#This Row],[Tech Start Date]],23),IF(Main[[#This Row],[Class]]="B", WORKDAY(Main[[#This Row],[Tech Start Date]],15),IF(Main[[#This Row],[Class]]="A",WORKDAY(Main[[#This Row],[Tech Start Date]],5),""))))</f>
        <v/>
      </c>
      <c r="P123" s="77" t="str">
        <f>IF(Main[[#This Row],[Tech Start Date]]&lt;1/1/1990,"",IF(Main[[#This Row],[Class]]="C",WORKDAY(Main[[#This Row],[Tech Start Date]],28),IF(Main[[#This Row],[Class]]="B", WORKDAY(Main[[#This Row],[Tech Start Date]],19),IF(Main[[#This Row],[Class]]="A",WORKDAY(Main[[#This Row],[Tech Start Date]],9),""))))</f>
        <v/>
      </c>
      <c r="Q123" s="74">
        <v>40696</v>
      </c>
      <c r="R123" s="74"/>
      <c r="S123" s="72" t="s">
        <v>6</v>
      </c>
      <c r="T123" s="80" t="s">
        <v>2035</v>
      </c>
      <c r="U123" s="72" t="s">
        <v>534</v>
      </c>
      <c r="V123" s="72" t="s">
        <v>1917</v>
      </c>
      <c r="W123" s="72" t="s">
        <v>1928</v>
      </c>
      <c r="X123" s="72" t="s">
        <v>972</v>
      </c>
      <c r="Y123" s="72" t="s">
        <v>3103</v>
      </c>
      <c r="Z123" s="72" t="s">
        <v>4</v>
      </c>
      <c r="AA123" s="146" t="s">
        <v>972</v>
      </c>
    </row>
    <row r="124" spans="1:27" ht="18.600000000000001" customHeight="1">
      <c r="A124" s="139">
        <f>IF(priority(Main[[#This Row],[Comments]])&lt;&gt;0, priority(Main[[#This Row],[Comments]]),"")</f>
        <v>39</v>
      </c>
      <c r="B124" s="89" t="s">
        <v>1961</v>
      </c>
      <c r="C124" s="72" t="s">
        <v>116</v>
      </c>
      <c r="D124" s="73" t="s">
        <v>2143</v>
      </c>
      <c r="E124" s="74">
        <v>40722.571018518516</v>
      </c>
      <c r="F124" s="74">
        <v>41379</v>
      </c>
      <c r="G124" s="75" t="str">
        <f>IF(stdProdLT(Main[[#This Row],[Comments]])=0.1,"N/A",IF(stdProdLT(Main[[#This Row],[Comments]])=0,"",stdProdLT(Main[[#This Row],[Comments]])))</f>
        <v>N/A</v>
      </c>
      <c r="H124" s="76">
        <f>IF(AND(Main[[#This Row],[In Stock Date]]&lt;&gt;"",Main[[#This Row],[Revised Due Date]]&lt;&gt;""),Main[[#This Row],[In Stock Date]]-Main[[#This Row],[Revised Due Date]],"")</f>
        <v>410</v>
      </c>
      <c r="I124" s="72" t="s">
        <v>81</v>
      </c>
      <c r="J124" s="72" t="s">
        <v>21</v>
      </c>
      <c r="K124" s="72" t="s">
        <v>1930</v>
      </c>
      <c r="L124" s="74">
        <v>40767</v>
      </c>
      <c r="M124" s="77">
        <f>IF(Main[[#This Row],[Tech Start Date]]&lt;1/1/1990,"",IF(Main[[#This Row],[Class]]="C",WORKDAY(Main[[#This Row],[Tech Start Date]],9),IF(Main[[#This Row],[Class]]="B", WORKDAY(Main[[#This Row],[Tech Start Date]],6),IF(Main[[#This Row],[Class]]="A",WORKDAY(Main[[#This Row],[Tech Start Date]],2),""))))</f>
        <v>40780</v>
      </c>
      <c r="N124" s="77">
        <f>IF(Main[[#This Row],[Tech Start Date]]&lt;1/1/1990,"",IF(Main[[#This Row],[Class]]="C",WORKDAY(Main[[#This Row],[Tech Start Date]],19),IF(Main[[#This Row],[Class]]="B", WORKDAY(Main[[#This Row],[Tech Start Date]],12),IF(Main[[#This Row],[Class]]="A",WORKDAY(Main[[#This Row],[Tech Start Date]],4),""))))</f>
        <v>40794</v>
      </c>
      <c r="O124" s="77">
        <f>IF(Main[[#This Row],[Tech Start Date]]&lt;1/1/1990,"",IF(Main[[#This Row],[Class]]="C",WORKDAY(Main[[#This Row],[Tech Start Date]],23),IF(Main[[#This Row],[Class]]="B", WORKDAY(Main[[#This Row],[Tech Start Date]],15),IF(Main[[#This Row],[Class]]="A",WORKDAY(Main[[#This Row],[Tech Start Date]],5),""))))</f>
        <v>40800</v>
      </c>
      <c r="P124" s="77">
        <f>IF(Main[[#This Row],[Tech Start Date]]&lt;1/1/1990,"",IF(Main[[#This Row],[Class]]="C",WORKDAY(Main[[#This Row],[Tech Start Date]],28),IF(Main[[#This Row],[Class]]="B", WORKDAY(Main[[#This Row],[Tech Start Date]],19),IF(Main[[#This Row],[Class]]="A",WORKDAY(Main[[#This Row],[Tech Start Date]],9),""))))</f>
        <v>40807</v>
      </c>
      <c r="Q124" s="74">
        <v>41061</v>
      </c>
      <c r="R124" s="74">
        <v>40969</v>
      </c>
      <c r="S124" s="72" t="s">
        <v>11</v>
      </c>
      <c r="T124" s="80" t="s">
        <v>3834</v>
      </c>
      <c r="U124" s="72" t="s">
        <v>29</v>
      </c>
      <c r="V124" s="72" t="s">
        <v>1920</v>
      </c>
      <c r="W124" s="72" t="s">
        <v>1922</v>
      </c>
      <c r="X124" s="72" t="s">
        <v>2897</v>
      </c>
      <c r="Y124" s="72" t="s">
        <v>3108</v>
      </c>
      <c r="Z124" s="72" t="s">
        <v>81</v>
      </c>
      <c r="AA124" s="146" t="s">
        <v>2897</v>
      </c>
    </row>
    <row r="125" spans="1:27" ht="18.600000000000001" customHeight="1">
      <c r="A125" s="139">
        <f>IF(priority(Main[[#This Row],[Comments]])&lt;&gt;0, priority(Main[[#This Row],[Comments]]),"")</f>
        <v>40</v>
      </c>
      <c r="B125" s="89" t="s">
        <v>1443</v>
      </c>
      <c r="C125" s="72" t="s">
        <v>4</v>
      </c>
      <c r="D125" s="73" t="s">
        <v>531</v>
      </c>
      <c r="E125" s="74">
        <v>40358.575729166667</v>
      </c>
      <c r="F125" s="74"/>
      <c r="G125" s="75" t="str">
        <f>IF(stdProdLT(Main[[#This Row],[Comments]])=0.1,"N/A",IF(stdProdLT(Main[[#This Row],[Comments]])=0,"",stdProdLT(Main[[#This Row],[Comments]])))</f>
        <v/>
      </c>
      <c r="H125" s="76" t="str">
        <f>IF(AND(Main[[#This Row],[In Stock Date]]&lt;&gt;"",Main[[#This Row],[Revised Due Date]]&lt;&gt;""),Main[[#This Row],[In Stock Date]]-Main[[#This Row],[Revised Due Date]],"")</f>
        <v/>
      </c>
      <c r="I125" s="72" t="s">
        <v>4</v>
      </c>
      <c r="J125" s="72" t="s">
        <v>21</v>
      </c>
      <c r="K125" s="72" t="s">
        <v>4</v>
      </c>
      <c r="L125" s="74"/>
      <c r="M125" s="77" t="str">
        <f>IF(Main[[#This Row],[Tech Start Date]]&lt;1/1/1990,"",IF(Main[[#This Row],[Class]]="C",WORKDAY(Main[[#This Row],[Tech Start Date]],9),IF(Main[[#This Row],[Class]]="B", WORKDAY(Main[[#This Row],[Tech Start Date]],6),IF(Main[[#This Row],[Class]]="A",WORKDAY(Main[[#This Row],[Tech Start Date]],2),""))))</f>
        <v/>
      </c>
      <c r="N125" s="77" t="str">
        <f>IF(Main[[#This Row],[Tech Start Date]]&lt;1/1/1990,"",IF(Main[[#This Row],[Class]]="C",WORKDAY(Main[[#This Row],[Tech Start Date]],19),IF(Main[[#This Row],[Class]]="B", WORKDAY(Main[[#This Row],[Tech Start Date]],12),IF(Main[[#This Row],[Class]]="A",WORKDAY(Main[[#This Row],[Tech Start Date]],4),""))))</f>
        <v/>
      </c>
      <c r="O125" s="77" t="str">
        <f>IF(Main[[#This Row],[Tech Start Date]]&lt;1/1/1990,"",IF(Main[[#This Row],[Class]]="C",WORKDAY(Main[[#This Row],[Tech Start Date]],23),IF(Main[[#This Row],[Class]]="B", WORKDAY(Main[[#This Row],[Tech Start Date]],15),IF(Main[[#This Row],[Class]]="A",WORKDAY(Main[[#This Row],[Tech Start Date]],5),""))))</f>
        <v/>
      </c>
      <c r="P125" s="77" t="str">
        <f>IF(Main[[#This Row],[Tech Start Date]]&lt;1/1/1990,"",IF(Main[[#This Row],[Class]]="C",WORKDAY(Main[[#This Row],[Tech Start Date]],28),IF(Main[[#This Row],[Class]]="B", WORKDAY(Main[[#This Row],[Tech Start Date]],19),IF(Main[[#This Row],[Class]]="A",WORKDAY(Main[[#This Row],[Tech Start Date]],9),""))))</f>
        <v/>
      </c>
      <c r="Q125" s="74">
        <v>40389</v>
      </c>
      <c r="R125" s="74"/>
      <c r="S125" s="72" t="s">
        <v>6</v>
      </c>
      <c r="T125" s="80" t="s">
        <v>2036</v>
      </c>
      <c r="U125" s="72" t="s">
        <v>7</v>
      </c>
      <c r="V125" s="72" t="s">
        <v>1917</v>
      </c>
      <c r="W125" s="72" t="s">
        <v>1921</v>
      </c>
      <c r="X125" s="72" t="s">
        <v>2825</v>
      </c>
      <c r="Y125" s="72" t="s">
        <v>2938</v>
      </c>
      <c r="Z125" s="72" t="s">
        <v>129</v>
      </c>
      <c r="AA125" s="146" t="s">
        <v>2825</v>
      </c>
    </row>
    <row r="126" spans="1:27" ht="18.600000000000001" customHeight="1">
      <c r="A126" s="139">
        <f>IF(priority(Main[[#This Row],[Comments]])&lt;&gt;0, priority(Main[[#This Row],[Comments]]),"")</f>
        <v>40</v>
      </c>
      <c r="B126" s="89" t="s">
        <v>1962</v>
      </c>
      <c r="C126" s="72" t="s">
        <v>116</v>
      </c>
      <c r="D126" s="73" t="s">
        <v>2144</v>
      </c>
      <c r="E126" s="74">
        <v>40722.572418981479</v>
      </c>
      <c r="F126" s="74">
        <v>41379</v>
      </c>
      <c r="G126" s="75" t="str">
        <f>IF(stdProdLT(Main[[#This Row],[Comments]])=0.1,"N/A",IF(stdProdLT(Main[[#This Row],[Comments]])=0,"",stdProdLT(Main[[#This Row],[Comments]])))</f>
        <v>N/A</v>
      </c>
      <c r="H126" s="76">
        <f>IF(AND(Main[[#This Row],[In Stock Date]]&lt;&gt;"",Main[[#This Row],[Revised Due Date]]&lt;&gt;""),Main[[#This Row],[In Stock Date]]-Main[[#This Row],[Revised Due Date]],"")</f>
        <v>410</v>
      </c>
      <c r="I126" s="72" t="s">
        <v>81</v>
      </c>
      <c r="J126" s="72" t="s">
        <v>21</v>
      </c>
      <c r="K126" s="72" t="s">
        <v>1930</v>
      </c>
      <c r="L126" s="74">
        <v>40767</v>
      </c>
      <c r="M126" s="77">
        <f>IF(Main[[#This Row],[Tech Start Date]]&lt;1/1/1990,"",IF(Main[[#This Row],[Class]]="C",WORKDAY(Main[[#This Row],[Tech Start Date]],9),IF(Main[[#This Row],[Class]]="B", WORKDAY(Main[[#This Row],[Tech Start Date]],6),IF(Main[[#This Row],[Class]]="A",WORKDAY(Main[[#This Row],[Tech Start Date]],2),""))))</f>
        <v>40780</v>
      </c>
      <c r="N126" s="77">
        <f>IF(Main[[#This Row],[Tech Start Date]]&lt;1/1/1990,"",IF(Main[[#This Row],[Class]]="C",WORKDAY(Main[[#This Row],[Tech Start Date]],19),IF(Main[[#This Row],[Class]]="B", WORKDAY(Main[[#This Row],[Tech Start Date]],12),IF(Main[[#This Row],[Class]]="A",WORKDAY(Main[[#This Row],[Tech Start Date]],4),""))))</f>
        <v>40794</v>
      </c>
      <c r="O126" s="77">
        <f>IF(Main[[#This Row],[Tech Start Date]]&lt;1/1/1990,"",IF(Main[[#This Row],[Class]]="C",WORKDAY(Main[[#This Row],[Tech Start Date]],23),IF(Main[[#This Row],[Class]]="B", WORKDAY(Main[[#This Row],[Tech Start Date]],15),IF(Main[[#This Row],[Class]]="A",WORKDAY(Main[[#This Row],[Tech Start Date]],5),""))))</f>
        <v>40800</v>
      </c>
      <c r="P126" s="77">
        <f>IF(Main[[#This Row],[Tech Start Date]]&lt;1/1/1990,"",IF(Main[[#This Row],[Class]]="C",WORKDAY(Main[[#This Row],[Tech Start Date]],28),IF(Main[[#This Row],[Class]]="B", WORKDAY(Main[[#This Row],[Tech Start Date]],19),IF(Main[[#This Row],[Class]]="A",WORKDAY(Main[[#This Row],[Tech Start Date]],9),""))))</f>
        <v>40807</v>
      </c>
      <c r="Q126" s="74">
        <v>41061</v>
      </c>
      <c r="R126" s="74">
        <v>40969</v>
      </c>
      <c r="S126" s="72" t="s">
        <v>11</v>
      </c>
      <c r="T126" s="80" t="s">
        <v>3832</v>
      </c>
      <c r="U126" s="72" t="s">
        <v>29</v>
      </c>
      <c r="V126" s="72" t="s">
        <v>1920</v>
      </c>
      <c r="W126" s="72" t="s">
        <v>1922</v>
      </c>
      <c r="X126" s="72" t="s">
        <v>2897</v>
      </c>
      <c r="Y126" s="72" t="s">
        <v>3108</v>
      </c>
      <c r="Z126" s="72" t="s">
        <v>81</v>
      </c>
      <c r="AA126" s="146" t="s">
        <v>2897</v>
      </c>
    </row>
    <row r="127" spans="1:27" ht="18.600000000000001" customHeight="1">
      <c r="A127" s="139">
        <f>IF(priority(Main[[#This Row],[Comments]])&lt;&gt;0, priority(Main[[#This Row],[Comments]]),"")</f>
        <v>41</v>
      </c>
      <c r="B127" s="89" t="s">
        <v>2001</v>
      </c>
      <c r="C127" s="72" t="s">
        <v>4</v>
      </c>
      <c r="D127" s="73" t="s">
        <v>2002</v>
      </c>
      <c r="E127" s="74">
        <v>40738.567210648151</v>
      </c>
      <c r="F127" s="74"/>
      <c r="G127" s="75" t="str">
        <f>IF(stdProdLT(Main[[#This Row],[Comments]])=0.1,"N/A",IF(stdProdLT(Main[[#This Row],[Comments]])=0,"",stdProdLT(Main[[#This Row],[Comments]])))</f>
        <v/>
      </c>
      <c r="H127" s="76" t="str">
        <f>IF(AND(Main[[#This Row],[In Stock Date]]&lt;&gt;"",Main[[#This Row],[Revised Due Date]]&lt;&gt;""),Main[[#This Row],[In Stock Date]]-Main[[#This Row],[Revised Due Date]],"")</f>
        <v/>
      </c>
      <c r="I127" s="72" t="s">
        <v>914</v>
      </c>
      <c r="J127" s="72" t="s">
        <v>52</v>
      </c>
      <c r="K127" s="72" t="s">
        <v>4</v>
      </c>
      <c r="L127" s="74"/>
      <c r="M127" s="77" t="str">
        <f>IF(Main[[#This Row],[Tech Start Date]]&lt;1/1/1990,"",IF(Main[[#This Row],[Class]]="C",WORKDAY(Main[[#This Row],[Tech Start Date]],9),IF(Main[[#This Row],[Class]]="B", WORKDAY(Main[[#This Row],[Tech Start Date]],6),IF(Main[[#This Row],[Class]]="A",WORKDAY(Main[[#This Row],[Tech Start Date]],2),""))))</f>
        <v/>
      </c>
      <c r="N127" s="77" t="str">
        <f>IF(Main[[#This Row],[Tech Start Date]]&lt;1/1/1990,"",IF(Main[[#This Row],[Class]]="C",WORKDAY(Main[[#This Row],[Tech Start Date]],19),IF(Main[[#This Row],[Class]]="B", WORKDAY(Main[[#This Row],[Tech Start Date]],12),IF(Main[[#This Row],[Class]]="A",WORKDAY(Main[[#This Row],[Tech Start Date]],4),""))))</f>
        <v/>
      </c>
      <c r="O127" s="77" t="str">
        <f>IF(Main[[#This Row],[Tech Start Date]]&lt;1/1/1990,"",IF(Main[[#This Row],[Class]]="C",WORKDAY(Main[[#This Row],[Tech Start Date]],23),IF(Main[[#This Row],[Class]]="B", WORKDAY(Main[[#This Row],[Tech Start Date]],15),IF(Main[[#This Row],[Class]]="A",WORKDAY(Main[[#This Row],[Tech Start Date]],5),""))))</f>
        <v/>
      </c>
      <c r="P127" s="77" t="str">
        <f>IF(Main[[#This Row],[Tech Start Date]]&lt;1/1/1990,"",IF(Main[[#This Row],[Class]]="C",WORKDAY(Main[[#This Row],[Tech Start Date]],28),IF(Main[[#This Row],[Class]]="B", WORKDAY(Main[[#This Row],[Tech Start Date]],19),IF(Main[[#This Row],[Class]]="A",WORKDAY(Main[[#This Row],[Tech Start Date]],9),""))))</f>
        <v/>
      </c>
      <c r="Q127" s="74">
        <v>40749</v>
      </c>
      <c r="R127" s="74"/>
      <c r="S127" s="72" t="s">
        <v>6</v>
      </c>
      <c r="T127" s="80" t="s">
        <v>2038</v>
      </c>
      <c r="U127" s="72" t="s">
        <v>29</v>
      </c>
      <c r="V127" s="72" t="s">
        <v>1917</v>
      </c>
      <c r="W127" s="72" t="s">
        <v>1923</v>
      </c>
      <c r="X127" s="72" t="s">
        <v>914</v>
      </c>
      <c r="Y127" s="72" t="s">
        <v>3055</v>
      </c>
      <c r="Z127" s="72" t="s">
        <v>129</v>
      </c>
      <c r="AA127" s="146" t="s">
        <v>2858</v>
      </c>
    </row>
    <row r="128" spans="1:27" ht="18.600000000000001" customHeight="1">
      <c r="A128" s="139">
        <f>IF(priority(Main[[#This Row],[Comments]])&lt;&gt;0, priority(Main[[#This Row],[Comments]]),"")</f>
        <v>41</v>
      </c>
      <c r="B128" s="89" t="s">
        <v>1960</v>
      </c>
      <c r="C128" s="72" t="s">
        <v>116</v>
      </c>
      <c r="D128" s="73" t="s">
        <v>2618</v>
      </c>
      <c r="E128" s="74">
        <v>40722.573182870372</v>
      </c>
      <c r="F128" s="74">
        <v>41379</v>
      </c>
      <c r="G128" s="75" t="str">
        <f>IF(stdProdLT(Main[[#This Row],[Comments]])=0.1,"N/A",IF(stdProdLT(Main[[#This Row],[Comments]])=0,"",stdProdLT(Main[[#This Row],[Comments]])))</f>
        <v>N/A</v>
      </c>
      <c r="H128" s="76">
        <f>IF(AND(Main[[#This Row],[In Stock Date]]&lt;&gt;"",Main[[#This Row],[Revised Due Date]]&lt;&gt;""),Main[[#This Row],[In Stock Date]]-Main[[#This Row],[Revised Due Date]],"")</f>
        <v>410</v>
      </c>
      <c r="I128" s="72" t="s">
        <v>81</v>
      </c>
      <c r="J128" s="72" t="s">
        <v>21</v>
      </c>
      <c r="K128" s="72" t="s">
        <v>1930</v>
      </c>
      <c r="L128" s="74">
        <v>40767</v>
      </c>
      <c r="M128" s="77">
        <f>IF(Main[[#This Row],[Tech Start Date]]&lt;1/1/1990,"",IF(Main[[#This Row],[Class]]="C",WORKDAY(Main[[#This Row],[Tech Start Date]],9),IF(Main[[#This Row],[Class]]="B", WORKDAY(Main[[#This Row],[Tech Start Date]],6),IF(Main[[#This Row],[Class]]="A",WORKDAY(Main[[#This Row],[Tech Start Date]],2),""))))</f>
        <v>40780</v>
      </c>
      <c r="N128" s="77">
        <f>IF(Main[[#This Row],[Tech Start Date]]&lt;1/1/1990,"",IF(Main[[#This Row],[Class]]="C",WORKDAY(Main[[#This Row],[Tech Start Date]],19),IF(Main[[#This Row],[Class]]="B", WORKDAY(Main[[#This Row],[Tech Start Date]],12),IF(Main[[#This Row],[Class]]="A",WORKDAY(Main[[#This Row],[Tech Start Date]],4),""))))</f>
        <v>40794</v>
      </c>
      <c r="O128" s="77">
        <f>IF(Main[[#This Row],[Tech Start Date]]&lt;1/1/1990,"",IF(Main[[#This Row],[Class]]="C",WORKDAY(Main[[#This Row],[Tech Start Date]],23),IF(Main[[#This Row],[Class]]="B", WORKDAY(Main[[#This Row],[Tech Start Date]],15),IF(Main[[#This Row],[Class]]="A",WORKDAY(Main[[#This Row],[Tech Start Date]],5),""))))</f>
        <v>40800</v>
      </c>
      <c r="P128" s="77">
        <f>IF(Main[[#This Row],[Tech Start Date]]&lt;1/1/1990,"",IF(Main[[#This Row],[Class]]="C",WORKDAY(Main[[#This Row],[Tech Start Date]],28),IF(Main[[#This Row],[Class]]="B", WORKDAY(Main[[#This Row],[Tech Start Date]],19),IF(Main[[#This Row],[Class]]="A",WORKDAY(Main[[#This Row],[Tech Start Date]],9),""))))</f>
        <v>40807</v>
      </c>
      <c r="Q128" s="74">
        <v>41061</v>
      </c>
      <c r="R128" s="74">
        <v>40969</v>
      </c>
      <c r="S128" s="72" t="s">
        <v>11</v>
      </c>
      <c r="T128" s="80" t="s">
        <v>3833</v>
      </c>
      <c r="U128" s="72" t="s">
        <v>29</v>
      </c>
      <c r="V128" s="72" t="s">
        <v>1920</v>
      </c>
      <c r="W128" s="72" t="s">
        <v>1922</v>
      </c>
      <c r="X128" s="72" t="s">
        <v>2897</v>
      </c>
      <c r="Y128" s="72" t="s">
        <v>3108</v>
      </c>
      <c r="Z128" s="72" t="s">
        <v>81</v>
      </c>
      <c r="AA128" s="146" t="s">
        <v>2897</v>
      </c>
    </row>
    <row r="129" spans="1:27" ht="18.600000000000001" customHeight="1">
      <c r="A129" s="139">
        <f>IF(priority(Main[[#This Row],[Comments]])&lt;&gt;0, priority(Main[[#This Row],[Comments]]),"")</f>
        <v>42</v>
      </c>
      <c r="B129" s="89" t="s">
        <v>3237</v>
      </c>
      <c r="C129" s="72" t="s">
        <v>3217</v>
      </c>
      <c r="D129" s="73" t="s">
        <v>3206</v>
      </c>
      <c r="E129" s="74"/>
      <c r="F129" s="74">
        <v>41153</v>
      </c>
      <c r="G129" s="75">
        <f>IF(stdProdLT(Main[[#This Row],[Comments]])=0.1,"N/A",IF(stdProdLT(Main[[#This Row],[Comments]])=0,"",stdProdLT(Main[[#This Row],[Comments]])))</f>
        <v>140</v>
      </c>
      <c r="H129" s="76" t="str">
        <f>IF(AND(Main[[#This Row],[In Stock Date]]&lt;&gt;"",Main[[#This Row],[Revised Due Date]]&lt;&gt;""),Main[[#This Row],[In Stock Date]]-Main[[#This Row],[Revised Due Date]],"")</f>
        <v/>
      </c>
      <c r="I129" s="72" t="s">
        <v>4</v>
      </c>
      <c r="J129" s="72" t="s">
        <v>4</v>
      </c>
      <c r="K129" s="81" t="s">
        <v>4</v>
      </c>
      <c r="L129" s="74"/>
      <c r="M129" s="77" t="str">
        <f>IF(Main[[#This Row],[Tech Start Date]]&lt;1/1/1990,"",IF(Main[[#This Row],[Class]]="C",WORKDAY(Main[[#This Row],[Tech Start Date]],9),IF(Main[[#This Row],[Class]]="B", WORKDAY(Main[[#This Row],[Tech Start Date]],6),IF(Main[[#This Row],[Class]]="A",WORKDAY(Main[[#This Row],[Tech Start Date]],2),""))))</f>
        <v/>
      </c>
      <c r="N129" s="77" t="str">
        <f>IF(Main[[#This Row],[Tech Start Date]]&lt;1/1/1990,"",IF(Main[[#This Row],[Class]]="C",WORKDAY(Main[[#This Row],[Tech Start Date]],19),IF(Main[[#This Row],[Class]]="B", WORKDAY(Main[[#This Row],[Tech Start Date]],12),IF(Main[[#This Row],[Class]]="A",WORKDAY(Main[[#This Row],[Tech Start Date]],4),""))))</f>
        <v/>
      </c>
      <c r="O129" s="77" t="str">
        <f>IF(Main[[#This Row],[Tech Start Date]]&lt;1/1/1990,"",IF(Main[[#This Row],[Class]]="C",WORKDAY(Main[[#This Row],[Tech Start Date]],23),IF(Main[[#This Row],[Class]]="B", WORKDAY(Main[[#This Row],[Tech Start Date]],15),IF(Main[[#This Row],[Class]]="A",WORKDAY(Main[[#This Row],[Tech Start Date]],5),""))))</f>
        <v/>
      </c>
      <c r="P129" s="77" t="str">
        <f>IF(Main[[#This Row],[Tech Start Date]]&lt;1/1/1990,"",IF(Main[[#This Row],[Class]]="C",WORKDAY(Main[[#This Row],[Tech Start Date]],28),IF(Main[[#This Row],[Class]]="B", WORKDAY(Main[[#This Row],[Tech Start Date]],19),IF(Main[[#This Row],[Class]]="A",WORKDAY(Main[[#This Row],[Tech Start Date]],9),""))))</f>
        <v/>
      </c>
      <c r="Q129" s="74">
        <v>40982</v>
      </c>
      <c r="R129" s="74"/>
      <c r="S129" s="72" t="s">
        <v>11</v>
      </c>
      <c r="T129" s="80" t="s">
        <v>3218</v>
      </c>
      <c r="U129" s="72" t="s">
        <v>12</v>
      </c>
      <c r="V129" s="72" t="s">
        <v>1927</v>
      </c>
      <c r="W129" s="72" t="s">
        <v>1923</v>
      </c>
      <c r="X129" s="72" t="s">
        <v>2854</v>
      </c>
      <c r="Y129" s="72" t="s">
        <v>4</v>
      </c>
      <c r="Z129" s="72" t="s">
        <v>4</v>
      </c>
      <c r="AA129" s="146" t="s">
        <v>2852</v>
      </c>
    </row>
    <row r="130" spans="1:27" ht="18.600000000000001" customHeight="1">
      <c r="A130" s="139">
        <f>IF(priority(Main[[#This Row],[Comments]])&lt;&gt;0, priority(Main[[#This Row],[Comments]]),"")</f>
        <v>42</v>
      </c>
      <c r="B130" s="89" t="s">
        <v>1892</v>
      </c>
      <c r="C130" s="72" t="s">
        <v>116</v>
      </c>
      <c r="D130" s="73" t="s">
        <v>2136</v>
      </c>
      <c r="E130" s="74">
        <v>40606.548784722225</v>
      </c>
      <c r="F130" s="74">
        <v>41258</v>
      </c>
      <c r="G130" s="75">
        <f>IF(stdProdLT(Main[[#This Row],[Comments]])=0.1,"N/A",IF(stdProdLT(Main[[#This Row],[Comments]])=0,"",stdProdLT(Main[[#This Row],[Comments]])))</f>
        <v>154</v>
      </c>
      <c r="H130" s="76">
        <f>IF(AND(Main[[#This Row],[In Stock Date]]&lt;&gt;"",Main[[#This Row],[Revised Due Date]]&lt;&gt;""),Main[[#This Row],[In Stock Date]]-Main[[#This Row],[Revised Due Date]],"")</f>
        <v>289</v>
      </c>
      <c r="I130" s="72" t="s">
        <v>415</v>
      </c>
      <c r="J130" s="72" t="s">
        <v>2611</v>
      </c>
      <c r="K130" s="72" t="s">
        <v>1930</v>
      </c>
      <c r="L130" s="74">
        <v>40623</v>
      </c>
      <c r="M130" s="77">
        <f>IF(Main[[#This Row],[Tech Start Date]]&lt;1/1/1990,"",IF(Main[[#This Row],[Class]]="C",WORKDAY(Main[[#This Row],[Tech Start Date]],9),IF(Main[[#This Row],[Class]]="B", WORKDAY(Main[[#This Row],[Tech Start Date]],6),IF(Main[[#This Row],[Class]]="A",WORKDAY(Main[[#This Row],[Tech Start Date]],2),""))))</f>
        <v>40634</v>
      </c>
      <c r="N130" s="77">
        <f>IF(Main[[#This Row],[Tech Start Date]]&lt;1/1/1990,"",IF(Main[[#This Row],[Class]]="C",WORKDAY(Main[[#This Row],[Tech Start Date]],19),IF(Main[[#This Row],[Class]]="B", WORKDAY(Main[[#This Row],[Tech Start Date]],12),IF(Main[[#This Row],[Class]]="A",WORKDAY(Main[[#This Row],[Tech Start Date]],4),""))))</f>
        <v>40648</v>
      </c>
      <c r="O130" s="77">
        <f>IF(Main[[#This Row],[Tech Start Date]]&lt;1/1/1990,"",IF(Main[[#This Row],[Class]]="C",WORKDAY(Main[[#This Row],[Tech Start Date]],23),IF(Main[[#This Row],[Class]]="B", WORKDAY(Main[[#This Row],[Tech Start Date]],15),IF(Main[[#This Row],[Class]]="A",WORKDAY(Main[[#This Row],[Tech Start Date]],5),""))))</f>
        <v>40654</v>
      </c>
      <c r="P130" s="77">
        <f>IF(Main[[#This Row],[Tech Start Date]]&lt;1/1/1990,"",IF(Main[[#This Row],[Class]]="C",WORKDAY(Main[[#This Row],[Tech Start Date]],28),IF(Main[[#This Row],[Class]]="B", WORKDAY(Main[[#This Row],[Tech Start Date]],19),IF(Main[[#This Row],[Class]]="A",WORKDAY(Main[[#This Row],[Tech Start Date]],9),""))))</f>
        <v>40661</v>
      </c>
      <c r="Q130" s="74">
        <v>41082</v>
      </c>
      <c r="R130" s="74">
        <v>40969</v>
      </c>
      <c r="S130" s="72" t="s">
        <v>11</v>
      </c>
      <c r="T130" s="80" t="s">
        <v>3827</v>
      </c>
      <c r="U130" s="72" t="s">
        <v>29</v>
      </c>
      <c r="V130" s="72" t="s">
        <v>1920</v>
      </c>
      <c r="W130" s="72" t="s">
        <v>1922</v>
      </c>
      <c r="X130" s="72" t="s">
        <v>2850</v>
      </c>
      <c r="Y130" s="72" t="s">
        <v>2983</v>
      </c>
      <c r="Z130" s="72" t="s">
        <v>896</v>
      </c>
      <c r="AA130" s="146" t="s">
        <v>2850</v>
      </c>
    </row>
    <row r="131" spans="1:27" ht="18.600000000000001" customHeight="1">
      <c r="A131" s="139">
        <f>IF(priority(Main[[#This Row],[Comments]])&lt;&gt;0, priority(Main[[#This Row],[Comments]]),"")</f>
        <v>42</v>
      </c>
      <c r="B131" s="89" t="s">
        <v>1889</v>
      </c>
      <c r="C131" s="72" t="s">
        <v>116</v>
      </c>
      <c r="D131" s="73" t="s">
        <v>2322</v>
      </c>
      <c r="E131" s="74">
        <v>40641.274907407409</v>
      </c>
      <c r="F131" s="74">
        <v>40714</v>
      </c>
      <c r="G131" s="75" t="str">
        <f>IF(stdProdLT(Main[[#This Row],[Comments]])=0.1,"N/A",IF(stdProdLT(Main[[#This Row],[Comments]])=0,"",stdProdLT(Main[[#This Row],[Comments]])))</f>
        <v/>
      </c>
      <c r="H131" s="76">
        <f>IF(AND(Main[[#This Row],[In Stock Date]]&lt;&gt;"",Main[[#This Row],[Revised Due Date]]&lt;&gt;""),Main[[#This Row],[In Stock Date]]-Main[[#This Row],[Revised Due Date]],"")</f>
        <v>0</v>
      </c>
      <c r="I131" s="72" t="s">
        <v>914</v>
      </c>
      <c r="J131" s="72" t="s">
        <v>21</v>
      </c>
      <c r="K131" s="72" t="s">
        <v>1930</v>
      </c>
      <c r="L131" s="74">
        <v>40679</v>
      </c>
      <c r="M131" s="77">
        <f>IF(Main[[#This Row],[Tech Start Date]]&lt;1/1/1990,"",IF(Main[[#This Row],[Class]]="C",WORKDAY(Main[[#This Row],[Tech Start Date]],9),IF(Main[[#This Row],[Class]]="B", WORKDAY(Main[[#This Row],[Tech Start Date]],6),IF(Main[[#This Row],[Class]]="A",WORKDAY(Main[[#This Row],[Tech Start Date]],2),""))))</f>
        <v>40690</v>
      </c>
      <c r="N131" s="77">
        <f>IF(Main[[#This Row],[Tech Start Date]]&lt;1/1/1990,"",IF(Main[[#This Row],[Class]]="C",WORKDAY(Main[[#This Row],[Tech Start Date]],19),IF(Main[[#This Row],[Class]]="B", WORKDAY(Main[[#This Row],[Tech Start Date]],12),IF(Main[[#This Row],[Class]]="A",WORKDAY(Main[[#This Row],[Tech Start Date]],4),""))))</f>
        <v>40704</v>
      </c>
      <c r="O131" s="77">
        <f>IF(Main[[#This Row],[Tech Start Date]]&lt;1/1/1990,"",IF(Main[[#This Row],[Class]]="C",WORKDAY(Main[[#This Row],[Tech Start Date]],23),IF(Main[[#This Row],[Class]]="B", WORKDAY(Main[[#This Row],[Tech Start Date]],15),IF(Main[[#This Row],[Class]]="A",WORKDAY(Main[[#This Row],[Tech Start Date]],5),""))))</f>
        <v>40710</v>
      </c>
      <c r="P131" s="77">
        <f>IF(Main[[#This Row],[Tech Start Date]]&lt;1/1/1990,"",IF(Main[[#This Row],[Class]]="C",WORKDAY(Main[[#This Row],[Tech Start Date]],28),IF(Main[[#This Row],[Class]]="B", WORKDAY(Main[[#This Row],[Tech Start Date]],19),IF(Main[[#This Row],[Class]]="A",WORKDAY(Main[[#This Row],[Tech Start Date]],9),""))))</f>
        <v>40717</v>
      </c>
      <c r="Q131" s="74">
        <v>40714</v>
      </c>
      <c r="R131" s="74">
        <v>40714</v>
      </c>
      <c r="S131" s="72" t="s">
        <v>6</v>
      </c>
      <c r="T131" s="80" t="s">
        <v>2039</v>
      </c>
      <c r="U131" s="72" t="s">
        <v>29</v>
      </c>
      <c r="V131" s="72" t="s">
        <v>1917</v>
      </c>
      <c r="W131" s="72" t="s">
        <v>1919</v>
      </c>
      <c r="X131" s="72" t="s">
        <v>126</v>
      </c>
      <c r="Y131" s="72" t="s">
        <v>3039</v>
      </c>
      <c r="Z131" s="72" t="s">
        <v>129</v>
      </c>
      <c r="AA131" s="146" t="s">
        <v>126</v>
      </c>
    </row>
    <row r="132" spans="1:27" ht="18.600000000000001" customHeight="1">
      <c r="A132" s="155">
        <f>IF(priority(Main[[#This Row],[Comments]])&lt;&gt;0, priority(Main[[#This Row],[Comments]]),"")</f>
        <v>42</v>
      </c>
      <c r="B132" s="156" t="s">
        <v>3205</v>
      </c>
      <c r="C132" s="157" t="s">
        <v>3217</v>
      </c>
      <c r="D132" s="158" t="s">
        <v>3206</v>
      </c>
      <c r="E132" s="160"/>
      <c r="F132" s="160">
        <v>41153</v>
      </c>
      <c r="G132" s="162">
        <f>IF(stdProdLT(Main[[#This Row],[Comments]])=0.1,"N/A",IF(stdProdLT(Main[[#This Row],[Comments]])=0,"",stdProdLT(Main[[#This Row],[Comments]])))</f>
        <v>140</v>
      </c>
      <c r="H132" s="164">
        <f>IF(AND(Main[[#This Row],[In Stock Date]]&lt;&gt;"",Main[[#This Row],[Revised Due Date]]&lt;&gt;""),Main[[#This Row],[In Stock Date]]-Main[[#This Row],[Revised Due Date]],"")</f>
        <v>194</v>
      </c>
      <c r="I132" s="157" t="s">
        <v>69</v>
      </c>
      <c r="J132" s="157" t="s">
        <v>70</v>
      </c>
      <c r="K132" s="157" t="s">
        <v>1924</v>
      </c>
      <c r="L132" s="160">
        <v>40925</v>
      </c>
      <c r="M132" s="167">
        <f>IF(Main[[#This Row],[Tech Start Date]]&lt;1/1/1990,"",IF(Main[[#This Row],[Class]]="C",WORKDAY(Main[[#This Row],[Tech Start Date]],9),IF(Main[[#This Row],[Class]]="B", WORKDAY(Main[[#This Row],[Tech Start Date]],6),IF(Main[[#This Row],[Class]]="A",WORKDAY(Main[[#This Row],[Tech Start Date]],2),""))))</f>
        <v>40933</v>
      </c>
      <c r="N132" s="167">
        <f>IF(Main[[#This Row],[Tech Start Date]]&lt;1/1/1990,"",IF(Main[[#This Row],[Class]]="C",WORKDAY(Main[[#This Row],[Tech Start Date]],19),IF(Main[[#This Row],[Class]]="B", WORKDAY(Main[[#This Row],[Tech Start Date]],12),IF(Main[[#This Row],[Class]]="A",WORKDAY(Main[[#This Row],[Tech Start Date]],4),""))))</f>
        <v>40941</v>
      </c>
      <c r="O132" s="167">
        <f>IF(Main[[#This Row],[Tech Start Date]]&lt;1/1/1990,"",IF(Main[[#This Row],[Class]]="C",WORKDAY(Main[[#This Row],[Tech Start Date]],23),IF(Main[[#This Row],[Class]]="B", WORKDAY(Main[[#This Row],[Tech Start Date]],15),IF(Main[[#This Row],[Class]]="A",WORKDAY(Main[[#This Row],[Tech Start Date]],5),""))))</f>
        <v>40946</v>
      </c>
      <c r="P132" s="167">
        <f>IF(Main[[#This Row],[Tech Start Date]]&lt;1/1/1990,"",IF(Main[[#This Row],[Class]]="C",WORKDAY(Main[[#This Row],[Tech Start Date]],28),IF(Main[[#This Row],[Class]]="B", WORKDAY(Main[[#This Row],[Tech Start Date]],19),IF(Main[[#This Row],[Class]]="A",WORKDAY(Main[[#This Row],[Tech Start Date]],9),""))))</f>
        <v>40952</v>
      </c>
      <c r="Q132" s="160">
        <v>40959</v>
      </c>
      <c r="R132" s="160">
        <v>40959</v>
      </c>
      <c r="S132" s="157" t="s">
        <v>11</v>
      </c>
      <c r="T132" s="171" t="s">
        <v>3245</v>
      </c>
      <c r="U132" s="157" t="s">
        <v>14</v>
      </c>
      <c r="V132" s="157" t="s">
        <v>1927</v>
      </c>
      <c r="W132" s="157" t="s">
        <v>1923</v>
      </c>
      <c r="X132" s="157" t="s">
        <v>2852</v>
      </c>
      <c r="Y132" s="157" t="s">
        <v>4</v>
      </c>
      <c r="Z132" s="157" t="s">
        <v>530</v>
      </c>
      <c r="AA132" s="153" t="s">
        <v>2852</v>
      </c>
    </row>
    <row r="133" spans="1:27" ht="18.600000000000001" customHeight="1">
      <c r="A133" s="139">
        <f>IF(priority(Main[[#This Row],[Comments]])&lt;&gt;0, priority(Main[[#This Row],[Comments]]),"")</f>
        <v>43</v>
      </c>
      <c r="B133" s="89" t="s">
        <v>1890</v>
      </c>
      <c r="C133" s="72" t="s">
        <v>116</v>
      </c>
      <c r="D133" s="73" t="s">
        <v>2323</v>
      </c>
      <c r="E133" s="74">
        <v>40668.56144675926</v>
      </c>
      <c r="F133" s="74">
        <v>40714</v>
      </c>
      <c r="G133" s="75" t="str">
        <f>IF(stdProdLT(Main[[#This Row],[Comments]])=0.1,"N/A",IF(stdProdLT(Main[[#This Row],[Comments]])=0,"",stdProdLT(Main[[#This Row],[Comments]])))</f>
        <v/>
      </c>
      <c r="H133" s="76">
        <f>IF(AND(Main[[#This Row],[In Stock Date]]&lt;&gt;"",Main[[#This Row],[Revised Due Date]]&lt;&gt;""),Main[[#This Row],[In Stock Date]]-Main[[#This Row],[Revised Due Date]],"")</f>
        <v>0</v>
      </c>
      <c r="I133" s="72" t="s">
        <v>914</v>
      </c>
      <c r="J133" s="72" t="s">
        <v>21</v>
      </c>
      <c r="K133" s="72" t="s">
        <v>1930</v>
      </c>
      <c r="L133" s="74">
        <v>40679</v>
      </c>
      <c r="M133" s="77">
        <f>IF(Main[[#This Row],[Tech Start Date]]&lt;1/1/1990,"",IF(Main[[#This Row],[Class]]="C",WORKDAY(Main[[#This Row],[Tech Start Date]],9),IF(Main[[#This Row],[Class]]="B", WORKDAY(Main[[#This Row],[Tech Start Date]],6),IF(Main[[#This Row],[Class]]="A",WORKDAY(Main[[#This Row],[Tech Start Date]],2),""))))</f>
        <v>40690</v>
      </c>
      <c r="N133" s="77">
        <f>IF(Main[[#This Row],[Tech Start Date]]&lt;1/1/1990,"",IF(Main[[#This Row],[Class]]="C",WORKDAY(Main[[#This Row],[Tech Start Date]],19),IF(Main[[#This Row],[Class]]="B", WORKDAY(Main[[#This Row],[Tech Start Date]],12),IF(Main[[#This Row],[Class]]="A",WORKDAY(Main[[#This Row],[Tech Start Date]],4),""))))</f>
        <v>40704</v>
      </c>
      <c r="O133" s="77">
        <f>IF(Main[[#This Row],[Tech Start Date]]&lt;1/1/1990,"",IF(Main[[#This Row],[Class]]="C",WORKDAY(Main[[#This Row],[Tech Start Date]],23),IF(Main[[#This Row],[Class]]="B", WORKDAY(Main[[#This Row],[Tech Start Date]],15),IF(Main[[#This Row],[Class]]="A",WORKDAY(Main[[#This Row],[Tech Start Date]],5),""))))</f>
        <v>40710</v>
      </c>
      <c r="P133" s="77">
        <f>IF(Main[[#This Row],[Tech Start Date]]&lt;1/1/1990,"",IF(Main[[#This Row],[Class]]="C",WORKDAY(Main[[#This Row],[Tech Start Date]],28),IF(Main[[#This Row],[Class]]="B", WORKDAY(Main[[#This Row],[Tech Start Date]],19),IF(Main[[#This Row],[Class]]="A",WORKDAY(Main[[#This Row],[Tech Start Date]],9),""))))</f>
        <v>40717</v>
      </c>
      <c r="Q133" s="74">
        <v>40714</v>
      </c>
      <c r="R133" s="74">
        <v>40714</v>
      </c>
      <c r="S133" s="72" t="s">
        <v>6</v>
      </c>
      <c r="T133" s="80" t="s">
        <v>2507</v>
      </c>
      <c r="U133" s="72" t="s">
        <v>29</v>
      </c>
      <c r="V133" s="72" t="s">
        <v>1917</v>
      </c>
      <c r="W133" s="72" t="s">
        <v>1919</v>
      </c>
      <c r="X133" s="72" t="s">
        <v>126</v>
      </c>
      <c r="Y133" s="72" t="s">
        <v>3039</v>
      </c>
      <c r="Z133" s="72" t="s">
        <v>129</v>
      </c>
      <c r="AA133" s="146" t="s">
        <v>126</v>
      </c>
    </row>
    <row r="134" spans="1:27" ht="18.600000000000001" customHeight="1">
      <c r="A134" s="139">
        <f>IF(priority(Main[[#This Row],[Comments]])&lt;&gt;0, priority(Main[[#This Row],[Comments]]),"")</f>
        <v>43</v>
      </c>
      <c r="B134" s="89" t="s">
        <v>2641</v>
      </c>
      <c r="C134" s="72" t="s">
        <v>2642</v>
      </c>
      <c r="D134" s="73" t="s">
        <v>2643</v>
      </c>
      <c r="E134" s="74">
        <v>40848.70516203704</v>
      </c>
      <c r="F134" s="74">
        <v>40969</v>
      </c>
      <c r="G134" s="75" t="str">
        <f>IF(stdProdLT(Main[[#This Row],[Comments]])=0.1,"N/A",IF(stdProdLT(Main[[#This Row],[Comments]])=0,"",stdProdLT(Main[[#This Row],[Comments]])))</f>
        <v>N/A</v>
      </c>
      <c r="H134" s="76">
        <f>IF(AND(Main[[#This Row],[In Stock Date]]&lt;&gt;"",Main[[#This Row],[Revised Due Date]]&lt;&gt;""),Main[[#This Row],[In Stock Date]]-Main[[#This Row],[Revised Due Date]],"")</f>
        <v>6</v>
      </c>
      <c r="I134" s="72" t="s">
        <v>69</v>
      </c>
      <c r="J134" s="72" t="s">
        <v>28</v>
      </c>
      <c r="K134" s="72" t="s">
        <v>1926</v>
      </c>
      <c r="L134" s="74">
        <v>40849</v>
      </c>
      <c r="M134" s="77">
        <f>IF(Main[[#This Row],[Tech Start Date]]&lt;1/1/1990,"",IF(Main[[#This Row],[Class]]="C",WORKDAY(Main[[#This Row],[Tech Start Date]],9),IF(Main[[#This Row],[Class]]="B", WORKDAY(Main[[#This Row],[Tech Start Date]],6),IF(Main[[#This Row],[Class]]="A",WORKDAY(Main[[#This Row],[Tech Start Date]],2),""))))</f>
        <v>40851</v>
      </c>
      <c r="N134" s="77">
        <f>IF(Main[[#This Row],[Tech Start Date]]&lt;1/1/1990,"",IF(Main[[#This Row],[Class]]="C",WORKDAY(Main[[#This Row],[Tech Start Date]],19),IF(Main[[#This Row],[Class]]="B", WORKDAY(Main[[#This Row],[Tech Start Date]],12),IF(Main[[#This Row],[Class]]="A",WORKDAY(Main[[#This Row],[Tech Start Date]],4),""))))</f>
        <v>40855</v>
      </c>
      <c r="O134" s="77">
        <f>IF(Main[[#This Row],[Tech Start Date]]&lt;1/1/1990,"",IF(Main[[#This Row],[Class]]="C",WORKDAY(Main[[#This Row],[Tech Start Date]],23),IF(Main[[#This Row],[Class]]="B", WORKDAY(Main[[#This Row],[Tech Start Date]],15),IF(Main[[#This Row],[Class]]="A",WORKDAY(Main[[#This Row],[Tech Start Date]],5),""))))</f>
        <v>40856</v>
      </c>
      <c r="P134" s="77">
        <f>IF(Main[[#This Row],[Tech Start Date]]&lt;1/1/1990,"",IF(Main[[#This Row],[Class]]="C",WORKDAY(Main[[#This Row],[Tech Start Date]],28),IF(Main[[#This Row],[Class]]="B", WORKDAY(Main[[#This Row],[Tech Start Date]],19),IF(Main[[#This Row],[Class]]="A",WORKDAY(Main[[#This Row],[Tech Start Date]],9),""))))</f>
        <v>40862</v>
      </c>
      <c r="Q134" s="74"/>
      <c r="R134" s="74">
        <v>40963</v>
      </c>
      <c r="S134" s="72" t="s">
        <v>11</v>
      </c>
      <c r="T134" s="80" t="s">
        <v>3847</v>
      </c>
      <c r="U134" s="72" t="s">
        <v>29</v>
      </c>
      <c r="V134" s="72" t="s">
        <v>1927</v>
      </c>
      <c r="W134" s="72" t="s">
        <v>1921</v>
      </c>
      <c r="X134" s="72" t="s">
        <v>2847</v>
      </c>
      <c r="Y134" s="72" t="s">
        <v>2977</v>
      </c>
      <c r="Z134" s="72" t="s">
        <v>2871</v>
      </c>
      <c r="AA134" s="146" t="s">
        <v>2847</v>
      </c>
    </row>
    <row r="135" spans="1:27" ht="18.600000000000001" customHeight="1">
      <c r="A135" s="139">
        <f>IF(priority(Main[[#This Row],[Comments]])&lt;&gt;0, priority(Main[[#This Row],[Comments]]),"")</f>
        <v>46</v>
      </c>
      <c r="B135" s="89" t="s">
        <v>2534</v>
      </c>
      <c r="C135" s="72" t="s">
        <v>2011</v>
      </c>
      <c r="D135" s="73" t="s">
        <v>2535</v>
      </c>
      <c r="E135" s="74"/>
      <c r="F135" s="74"/>
      <c r="G135" s="75">
        <f>IF(stdProdLT(Main[[#This Row],[Comments]])=0.1,"N/A",IF(stdProdLT(Main[[#This Row],[Comments]])=0,"",stdProdLT(Main[[#This Row],[Comments]])))</f>
        <v>168</v>
      </c>
      <c r="H135" s="76" t="str">
        <f>IF(AND(Main[[#This Row],[In Stock Date]]&lt;&gt;"",Main[[#This Row],[Revised Due Date]]&lt;&gt;""),Main[[#This Row],[In Stock Date]]-Main[[#This Row],[Revised Due Date]],"")</f>
        <v/>
      </c>
      <c r="I135" s="72" t="s">
        <v>4</v>
      </c>
      <c r="J135" s="72" t="s">
        <v>4</v>
      </c>
      <c r="K135" s="72" t="s">
        <v>4</v>
      </c>
      <c r="L135" s="74"/>
      <c r="M135" s="77" t="str">
        <f>IF(Main[[#This Row],[Tech Start Date]]&lt;1/1/1990,"",IF(Main[[#This Row],[Class]]="C",WORKDAY(Main[[#This Row],[Tech Start Date]],9),IF(Main[[#This Row],[Class]]="B", WORKDAY(Main[[#This Row],[Tech Start Date]],6),IF(Main[[#This Row],[Class]]="A",WORKDAY(Main[[#This Row],[Tech Start Date]],2),""))))</f>
        <v/>
      </c>
      <c r="N135" s="77" t="str">
        <f>IF(Main[[#This Row],[Tech Start Date]]&lt;1/1/1990,"",IF(Main[[#This Row],[Class]]="C",WORKDAY(Main[[#This Row],[Tech Start Date]],19),IF(Main[[#This Row],[Class]]="B", WORKDAY(Main[[#This Row],[Tech Start Date]],12),IF(Main[[#This Row],[Class]]="A",WORKDAY(Main[[#This Row],[Tech Start Date]],4),""))))</f>
        <v/>
      </c>
      <c r="O135" s="77" t="str">
        <f>IF(Main[[#This Row],[Tech Start Date]]&lt;1/1/1990,"",IF(Main[[#This Row],[Class]]="C",WORKDAY(Main[[#This Row],[Tech Start Date]],23),IF(Main[[#This Row],[Class]]="B", WORKDAY(Main[[#This Row],[Tech Start Date]],15),IF(Main[[#This Row],[Class]]="A",WORKDAY(Main[[#This Row],[Tech Start Date]],5),""))))</f>
        <v/>
      </c>
      <c r="P135" s="77" t="str">
        <f>IF(Main[[#This Row],[Tech Start Date]]&lt;1/1/1990,"",IF(Main[[#This Row],[Class]]="C",WORKDAY(Main[[#This Row],[Tech Start Date]],28),IF(Main[[#This Row],[Class]]="B", WORKDAY(Main[[#This Row],[Tech Start Date]],19),IF(Main[[#This Row],[Class]]="A",WORKDAY(Main[[#This Row],[Tech Start Date]],9),""))))</f>
        <v/>
      </c>
      <c r="Q135" s="74">
        <v>40874</v>
      </c>
      <c r="R135" s="74"/>
      <c r="S135" s="72" t="s">
        <v>11</v>
      </c>
      <c r="T135" s="80" t="s">
        <v>2536</v>
      </c>
      <c r="U135" s="72" t="s">
        <v>14</v>
      </c>
      <c r="V135" s="72" t="s">
        <v>1920</v>
      </c>
      <c r="W135" s="72" t="s">
        <v>1919</v>
      </c>
      <c r="X135" s="72" t="s">
        <v>2860</v>
      </c>
      <c r="Y135" s="72" t="s">
        <v>4</v>
      </c>
      <c r="Z135" s="72" t="s">
        <v>4</v>
      </c>
      <c r="AA135" s="146" t="s">
        <v>2860</v>
      </c>
    </row>
    <row r="136" spans="1:27" ht="18.600000000000001" customHeight="1">
      <c r="A136" s="139" t="str">
        <f>IF(priority(Main[[#This Row],[Comments]])&lt;&gt;0, priority(Main[[#This Row],[Comments]]),"")</f>
        <v/>
      </c>
      <c r="B136" s="89" t="s">
        <v>1014</v>
      </c>
      <c r="C136" s="72" t="s">
        <v>4</v>
      </c>
      <c r="D136" s="73" t="s">
        <v>18</v>
      </c>
      <c r="E136" s="74"/>
      <c r="F136" s="74"/>
      <c r="G136" s="75" t="str">
        <f>IF(stdProdLT(Main[[#This Row],[Comments]])=0.1,"N/A",IF(stdProdLT(Main[[#This Row],[Comments]])=0,"",stdProdLT(Main[[#This Row],[Comments]])))</f>
        <v/>
      </c>
      <c r="H136" s="76" t="str">
        <f>IF(AND(Main[[#This Row],[In Stock Date]]&lt;&gt;"",Main[[#This Row],[Revised Due Date]]&lt;&gt;""),Main[[#This Row],[In Stock Date]]-Main[[#This Row],[Revised Due Date]],"")</f>
        <v/>
      </c>
      <c r="I136" s="72" t="s">
        <v>4</v>
      </c>
      <c r="J136" s="72" t="s">
        <v>4</v>
      </c>
      <c r="K136" s="72" t="s">
        <v>4</v>
      </c>
      <c r="L136" s="74"/>
      <c r="M136" s="77" t="str">
        <f>IF(Main[[#This Row],[Tech Start Date]]&lt;1/1/1990,"",IF(Main[[#This Row],[Class]]="C",WORKDAY(Main[[#This Row],[Tech Start Date]],9),IF(Main[[#This Row],[Class]]="B", WORKDAY(Main[[#This Row],[Tech Start Date]],6),IF(Main[[#This Row],[Class]]="A",WORKDAY(Main[[#This Row],[Tech Start Date]],2),""))))</f>
        <v/>
      </c>
      <c r="N136" s="77" t="str">
        <f>IF(Main[[#This Row],[Tech Start Date]]&lt;1/1/1990,"",IF(Main[[#This Row],[Class]]="C",WORKDAY(Main[[#This Row],[Tech Start Date]],19),IF(Main[[#This Row],[Class]]="B", WORKDAY(Main[[#This Row],[Tech Start Date]],12),IF(Main[[#This Row],[Class]]="A",WORKDAY(Main[[#This Row],[Tech Start Date]],4),""))))</f>
        <v/>
      </c>
      <c r="O136" s="77" t="str">
        <f>IF(Main[[#This Row],[Tech Start Date]]&lt;1/1/1990,"",IF(Main[[#This Row],[Class]]="C",WORKDAY(Main[[#This Row],[Tech Start Date]],23),IF(Main[[#This Row],[Class]]="B", WORKDAY(Main[[#This Row],[Tech Start Date]],15),IF(Main[[#This Row],[Class]]="A",WORKDAY(Main[[#This Row],[Tech Start Date]],5),""))))</f>
        <v/>
      </c>
      <c r="P136" s="77" t="str">
        <f>IF(Main[[#This Row],[Tech Start Date]]&lt;1/1/1990,"",IF(Main[[#This Row],[Class]]="C",WORKDAY(Main[[#This Row],[Tech Start Date]],28),IF(Main[[#This Row],[Class]]="B", WORKDAY(Main[[#This Row],[Tech Start Date]],19),IF(Main[[#This Row],[Class]]="A",WORKDAY(Main[[#This Row],[Tech Start Date]],9),""))))</f>
        <v/>
      </c>
      <c r="Q136" s="74">
        <v>40585</v>
      </c>
      <c r="R136" s="74"/>
      <c r="S136" s="72" t="s">
        <v>11</v>
      </c>
      <c r="T136" s="80" t="s">
        <v>4</v>
      </c>
      <c r="U136" s="72" t="s">
        <v>14</v>
      </c>
      <c r="V136" s="72" t="s">
        <v>1917</v>
      </c>
      <c r="W136" s="72" t="s">
        <v>1922</v>
      </c>
      <c r="X136" s="72" t="s">
        <v>2827</v>
      </c>
      <c r="Y136" s="72" t="s">
        <v>2942</v>
      </c>
      <c r="Z136" s="72" t="s">
        <v>4</v>
      </c>
      <c r="AA136" s="146" t="s">
        <v>2827</v>
      </c>
    </row>
    <row r="137" spans="1:27" ht="18.600000000000001" customHeight="1">
      <c r="A137" s="139" t="str">
        <f>IF(priority(Main[[#This Row],[Comments]])&lt;&gt;0, priority(Main[[#This Row],[Comments]]),"")</f>
        <v/>
      </c>
      <c r="B137" s="89" t="s">
        <v>1935</v>
      </c>
      <c r="C137" s="72" t="s">
        <v>19</v>
      </c>
      <c r="D137" s="73" t="s">
        <v>20</v>
      </c>
      <c r="E137" s="74"/>
      <c r="F137" s="74">
        <v>40548</v>
      </c>
      <c r="G137" s="75" t="str">
        <f>IF(stdProdLT(Main[[#This Row],[Comments]])=0.1,"N/A",IF(stdProdLT(Main[[#This Row],[Comments]])=0,"",stdProdLT(Main[[#This Row],[Comments]])))</f>
        <v/>
      </c>
      <c r="H137" s="76" t="str">
        <f>IF(AND(Main[[#This Row],[In Stock Date]]&lt;&gt;"",Main[[#This Row],[Revised Due Date]]&lt;&gt;""),Main[[#This Row],[In Stock Date]]-Main[[#This Row],[Revised Due Date]],"")</f>
        <v/>
      </c>
      <c r="I137" s="72" t="s">
        <v>4</v>
      </c>
      <c r="J137" s="72" t="s">
        <v>21</v>
      </c>
      <c r="K137" s="81" t="s">
        <v>4</v>
      </c>
      <c r="L137" s="74"/>
      <c r="M137" s="77" t="str">
        <f>IF(Main[[#This Row],[Tech Start Date]]&lt;1/1/1990,"",IF(Main[[#This Row],[Class]]="C",WORKDAY(Main[[#This Row],[Tech Start Date]],9),IF(Main[[#This Row],[Class]]="B", WORKDAY(Main[[#This Row],[Tech Start Date]],6),IF(Main[[#This Row],[Class]]="A",WORKDAY(Main[[#This Row],[Tech Start Date]],2),""))))</f>
        <v/>
      </c>
      <c r="N137" s="77" t="str">
        <f>IF(Main[[#This Row],[Tech Start Date]]&lt;1/1/1990,"",IF(Main[[#This Row],[Class]]="C",WORKDAY(Main[[#This Row],[Tech Start Date]],19),IF(Main[[#This Row],[Class]]="B", WORKDAY(Main[[#This Row],[Tech Start Date]],12),IF(Main[[#This Row],[Class]]="A",WORKDAY(Main[[#This Row],[Tech Start Date]],4),""))))</f>
        <v/>
      </c>
      <c r="O137" s="77" t="str">
        <f>IF(Main[[#This Row],[Tech Start Date]]&lt;1/1/1990,"",IF(Main[[#This Row],[Class]]="C",WORKDAY(Main[[#This Row],[Tech Start Date]],23),IF(Main[[#This Row],[Class]]="B", WORKDAY(Main[[#This Row],[Tech Start Date]],15),IF(Main[[#This Row],[Class]]="A",WORKDAY(Main[[#This Row],[Tech Start Date]],5),""))))</f>
        <v/>
      </c>
      <c r="P137" s="77" t="str">
        <f>IF(Main[[#This Row],[Tech Start Date]]&lt;1/1/1990,"",IF(Main[[#This Row],[Class]]="C",WORKDAY(Main[[#This Row],[Tech Start Date]],28),IF(Main[[#This Row],[Class]]="B", WORKDAY(Main[[#This Row],[Tech Start Date]],19),IF(Main[[#This Row],[Class]]="A",WORKDAY(Main[[#This Row],[Tech Start Date]],9),""))))</f>
        <v/>
      </c>
      <c r="Q137" s="74">
        <v>40441</v>
      </c>
      <c r="R137" s="74"/>
      <c r="S137" s="72" t="s">
        <v>11</v>
      </c>
      <c r="T137" s="80" t="s">
        <v>4</v>
      </c>
      <c r="U137" s="72" t="s">
        <v>12</v>
      </c>
      <c r="V137" s="72" t="s">
        <v>1920</v>
      </c>
      <c r="W137" s="72" t="s">
        <v>1923</v>
      </c>
      <c r="X137" s="72" t="s">
        <v>81</v>
      </c>
      <c r="Y137" s="72" t="s">
        <v>2945</v>
      </c>
      <c r="Z137" s="72" t="s">
        <v>431</v>
      </c>
      <c r="AA137" s="146" t="s">
        <v>2839</v>
      </c>
    </row>
    <row r="138" spans="1:27" ht="18.600000000000001" customHeight="1">
      <c r="A138" s="139" t="str">
        <f>IF(priority(Main[[#This Row],[Comments]])&lt;&gt;0, priority(Main[[#This Row],[Comments]]),"")</f>
        <v/>
      </c>
      <c r="B138" s="89" t="s">
        <v>1015</v>
      </c>
      <c r="C138" s="72" t="s">
        <v>4</v>
      </c>
      <c r="D138" s="73" t="s">
        <v>22</v>
      </c>
      <c r="E138" s="74"/>
      <c r="F138" s="74"/>
      <c r="G138" s="75" t="str">
        <f>IF(stdProdLT(Main[[#This Row],[Comments]])=0.1,"N/A",IF(stdProdLT(Main[[#This Row],[Comments]])=0,"",stdProdLT(Main[[#This Row],[Comments]])))</f>
        <v/>
      </c>
      <c r="H138" s="76" t="str">
        <f>IF(AND(Main[[#This Row],[In Stock Date]]&lt;&gt;"",Main[[#This Row],[Revised Due Date]]&lt;&gt;""),Main[[#This Row],[In Stock Date]]-Main[[#This Row],[Revised Due Date]],"")</f>
        <v/>
      </c>
      <c r="I138" s="72" t="s">
        <v>4</v>
      </c>
      <c r="J138" s="72" t="s">
        <v>4</v>
      </c>
      <c r="K138" s="72" t="s">
        <v>4</v>
      </c>
      <c r="L138" s="74"/>
      <c r="M138" s="77" t="str">
        <f>IF(Main[[#This Row],[Tech Start Date]]&lt;1/1/1990,"",IF(Main[[#This Row],[Class]]="C",WORKDAY(Main[[#This Row],[Tech Start Date]],9),IF(Main[[#This Row],[Class]]="B", WORKDAY(Main[[#This Row],[Tech Start Date]],6),IF(Main[[#This Row],[Class]]="A",WORKDAY(Main[[#This Row],[Tech Start Date]],2),""))))</f>
        <v/>
      </c>
      <c r="N138" s="77" t="str">
        <f>IF(Main[[#This Row],[Tech Start Date]]&lt;1/1/1990,"",IF(Main[[#This Row],[Class]]="C",WORKDAY(Main[[#This Row],[Tech Start Date]],19),IF(Main[[#This Row],[Class]]="B", WORKDAY(Main[[#This Row],[Tech Start Date]],12),IF(Main[[#This Row],[Class]]="A",WORKDAY(Main[[#This Row],[Tech Start Date]],4),""))))</f>
        <v/>
      </c>
      <c r="O138" s="77" t="str">
        <f>IF(Main[[#This Row],[Tech Start Date]]&lt;1/1/1990,"",IF(Main[[#This Row],[Class]]="C",WORKDAY(Main[[#This Row],[Tech Start Date]],23),IF(Main[[#This Row],[Class]]="B", WORKDAY(Main[[#This Row],[Tech Start Date]],15),IF(Main[[#This Row],[Class]]="A",WORKDAY(Main[[#This Row],[Tech Start Date]],5),""))))</f>
        <v/>
      </c>
      <c r="P138" s="77" t="str">
        <f>IF(Main[[#This Row],[Tech Start Date]]&lt;1/1/1990,"",IF(Main[[#This Row],[Class]]="C",WORKDAY(Main[[#This Row],[Tech Start Date]],28),IF(Main[[#This Row],[Class]]="B", WORKDAY(Main[[#This Row],[Tech Start Date]],19),IF(Main[[#This Row],[Class]]="A",WORKDAY(Main[[#This Row],[Tech Start Date]],9),""))))</f>
        <v/>
      </c>
      <c r="Q138" s="74"/>
      <c r="R138" s="74"/>
      <c r="S138" s="72" t="s">
        <v>23</v>
      </c>
      <c r="T138" s="80" t="s">
        <v>4</v>
      </c>
      <c r="U138" s="72" t="s">
        <v>14</v>
      </c>
      <c r="V138" s="72" t="s">
        <v>1917</v>
      </c>
      <c r="W138" s="72" t="s">
        <v>1919</v>
      </c>
      <c r="X138" s="72" t="s">
        <v>306</v>
      </c>
      <c r="Y138" s="72" t="s">
        <v>4</v>
      </c>
      <c r="Z138" s="72" t="s">
        <v>4</v>
      </c>
      <c r="AA138" s="146" t="s">
        <v>3384</v>
      </c>
    </row>
    <row r="139" spans="1:27" ht="18.600000000000001" customHeight="1">
      <c r="A139" s="139" t="str">
        <f>IF(priority(Main[[#This Row],[Comments]])&lt;&gt;0, priority(Main[[#This Row],[Comments]]),"")</f>
        <v/>
      </c>
      <c r="B139" s="89" t="s">
        <v>1016</v>
      </c>
      <c r="C139" s="72" t="s">
        <v>24</v>
      </c>
      <c r="D139" s="73" t="s">
        <v>25</v>
      </c>
      <c r="E139" s="74"/>
      <c r="F139" s="74"/>
      <c r="G139" s="75" t="str">
        <f>IF(stdProdLT(Main[[#This Row],[Comments]])=0.1,"N/A",IF(stdProdLT(Main[[#This Row],[Comments]])=0,"",stdProdLT(Main[[#This Row],[Comments]])))</f>
        <v/>
      </c>
      <c r="H139" s="76" t="str">
        <f>IF(AND(Main[[#This Row],[In Stock Date]]&lt;&gt;"",Main[[#This Row],[Revised Due Date]]&lt;&gt;""),Main[[#This Row],[In Stock Date]]-Main[[#This Row],[Revised Due Date]],"")</f>
        <v/>
      </c>
      <c r="I139" s="72" t="s">
        <v>4</v>
      </c>
      <c r="J139" s="72" t="s">
        <v>4</v>
      </c>
      <c r="K139" s="72" t="s">
        <v>4</v>
      </c>
      <c r="L139" s="74"/>
      <c r="M139" s="77" t="str">
        <f>IF(Main[[#This Row],[Tech Start Date]]&lt;1/1/1990,"",IF(Main[[#This Row],[Class]]="C",WORKDAY(Main[[#This Row],[Tech Start Date]],9),IF(Main[[#This Row],[Class]]="B", WORKDAY(Main[[#This Row],[Tech Start Date]],6),IF(Main[[#This Row],[Class]]="A",WORKDAY(Main[[#This Row],[Tech Start Date]],2),""))))</f>
        <v/>
      </c>
      <c r="N139" s="77" t="str">
        <f>IF(Main[[#This Row],[Tech Start Date]]&lt;1/1/1990,"",IF(Main[[#This Row],[Class]]="C",WORKDAY(Main[[#This Row],[Tech Start Date]],19),IF(Main[[#This Row],[Class]]="B", WORKDAY(Main[[#This Row],[Tech Start Date]],12),IF(Main[[#This Row],[Class]]="A",WORKDAY(Main[[#This Row],[Tech Start Date]],4),""))))</f>
        <v/>
      </c>
      <c r="O139" s="77" t="str">
        <f>IF(Main[[#This Row],[Tech Start Date]]&lt;1/1/1990,"",IF(Main[[#This Row],[Class]]="C",WORKDAY(Main[[#This Row],[Tech Start Date]],23),IF(Main[[#This Row],[Class]]="B", WORKDAY(Main[[#This Row],[Tech Start Date]],15),IF(Main[[#This Row],[Class]]="A",WORKDAY(Main[[#This Row],[Tech Start Date]],5),""))))</f>
        <v/>
      </c>
      <c r="P139" s="77" t="str">
        <f>IF(Main[[#This Row],[Tech Start Date]]&lt;1/1/1990,"",IF(Main[[#This Row],[Class]]="C",WORKDAY(Main[[#This Row],[Tech Start Date]],28),IF(Main[[#This Row],[Class]]="B", WORKDAY(Main[[#This Row],[Tech Start Date]],19),IF(Main[[#This Row],[Class]]="A",WORKDAY(Main[[#This Row],[Tech Start Date]],9),""))))</f>
        <v/>
      </c>
      <c r="Q139" s="74"/>
      <c r="R139" s="74"/>
      <c r="S139" s="72" t="s">
        <v>11</v>
      </c>
      <c r="T139" s="80" t="s">
        <v>4</v>
      </c>
      <c r="U139" s="72" t="s">
        <v>14</v>
      </c>
      <c r="V139" s="72" t="s">
        <v>1918</v>
      </c>
      <c r="W139" s="72" t="s">
        <v>1922</v>
      </c>
      <c r="X139" s="72" t="s">
        <v>306</v>
      </c>
      <c r="Y139" s="72" t="s">
        <v>2947</v>
      </c>
      <c r="Z139" s="72" t="s">
        <v>4</v>
      </c>
      <c r="AA139" s="146" t="s">
        <v>306</v>
      </c>
    </row>
    <row r="140" spans="1:27" ht="18.600000000000001" customHeight="1">
      <c r="A140" s="139" t="str">
        <f>IF(priority(Main[[#This Row],[Comments]])&lt;&gt;0, priority(Main[[#This Row],[Comments]]),"")</f>
        <v/>
      </c>
      <c r="B140" s="89" t="s">
        <v>1470</v>
      </c>
      <c r="C140" s="72" t="s">
        <v>4</v>
      </c>
      <c r="D140" s="73" t="s">
        <v>2337</v>
      </c>
      <c r="E140" s="74">
        <v>40431.641157407408</v>
      </c>
      <c r="F140" s="74"/>
      <c r="G140" s="75" t="str">
        <f>IF(stdProdLT(Main[[#This Row],[Comments]])=0.1,"N/A",IF(stdProdLT(Main[[#This Row],[Comments]])=0,"",stdProdLT(Main[[#This Row],[Comments]])))</f>
        <v/>
      </c>
      <c r="H140" s="76" t="str">
        <f>IF(AND(Main[[#This Row],[In Stock Date]]&lt;&gt;"",Main[[#This Row],[Revised Due Date]]&lt;&gt;""),Main[[#This Row],[In Stock Date]]-Main[[#This Row],[Revised Due Date]],"")</f>
        <v/>
      </c>
      <c r="I140" s="72" t="s">
        <v>914</v>
      </c>
      <c r="J140" s="72" t="s">
        <v>52</v>
      </c>
      <c r="K140" s="81" t="s">
        <v>4</v>
      </c>
      <c r="L140" s="74"/>
      <c r="M140" s="77" t="str">
        <f>IF(Main[[#This Row],[Tech Start Date]]&lt;1/1/1990,"",IF(Main[[#This Row],[Class]]="C",WORKDAY(Main[[#This Row],[Tech Start Date]],9),IF(Main[[#This Row],[Class]]="B", WORKDAY(Main[[#This Row],[Tech Start Date]],6),IF(Main[[#This Row],[Class]]="A",WORKDAY(Main[[#This Row],[Tech Start Date]],2),""))))</f>
        <v/>
      </c>
      <c r="N140" s="77" t="str">
        <f>IF(Main[[#This Row],[Tech Start Date]]&lt;1/1/1990,"",IF(Main[[#This Row],[Class]]="C",WORKDAY(Main[[#This Row],[Tech Start Date]],19),IF(Main[[#This Row],[Class]]="B", WORKDAY(Main[[#This Row],[Tech Start Date]],12),IF(Main[[#This Row],[Class]]="A",WORKDAY(Main[[#This Row],[Tech Start Date]],4),""))))</f>
        <v/>
      </c>
      <c r="O140" s="77" t="str">
        <f>IF(Main[[#This Row],[Tech Start Date]]&lt;1/1/1990,"",IF(Main[[#This Row],[Class]]="C",WORKDAY(Main[[#This Row],[Tech Start Date]],23),IF(Main[[#This Row],[Class]]="B", WORKDAY(Main[[#This Row],[Tech Start Date]],15),IF(Main[[#This Row],[Class]]="A",WORKDAY(Main[[#This Row],[Tech Start Date]],5),""))))</f>
        <v/>
      </c>
      <c r="P140" s="77" t="str">
        <f>IF(Main[[#This Row],[Tech Start Date]]&lt;1/1/1990,"",IF(Main[[#This Row],[Class]]="C",WORKDAY(Main[[#This Row],[Tech Start Date]],28),IF(Main[[#This Row],[Class]]="B", WORKDAY(Main[[#This Row],[Tech Start Date]],19),IF(Main[[#This Row],[Class]]="A",WORKDAY(Main[[#This Row],[Tech Start Date]],9),""))))</f>
        <v/>
      </c>
      <c r="Q140" s="74">
        <v>40466</v>
      </c>
      <c r="R140" s="74"/>
      <c r="S140" s="72" t="s">
        <v>6</v>
      </c>
      <c r="T140" s="80" t="s">
        <v>4</v>
      </c>
      <c r="U140" s="72" t="s">
        <v>29</v>
      </c>
      <c r="V140" s="72" t="s">
        <v>1917</v>
      </c>
      <c r="W140" s="72" t="s">
        <v>1919</v>
      </c>
      <c r="X140" s="72" t="s">
        <v>2824</v>
      </c>
      <c r="Y140" s="72" t="s">
        <v>2935</v>
      </c>
      <c r="Z140" s="72" t="s">
        <v>129</v>
      </c>
      <c r="AA140" s="146" t="s">
        <v>2824</v>
      </c>
    </row>
    <row r="141" spans="1:27" ht="18.600000000000001" customHeight="1">
      <c r="A141" s="139" t="str">
        <f>IF(priority(Main[[#This Row],[Comments]])&lt;&gt;0, priority(Main[[#This Row],[Comments]]),"")</f>
        <v/>
      </c>
      <c r="B141" s="89" t="s">
        <v>2329</v>
      </c>
      <c r="C141" s="72" t="s">
        <v>4</v>
      </c>
      <c r="D141" s="73" t="s">
        <v>2330</v>
      </c>
      <c r="E141" s="74">
        <v>40828.669305555559</v>
      </c>
      <c r="F141" s="74"/>
      <c r="G141" s="75" t="str">
        <f>IF(stdProdLT(Main[[#This Row],[Comments]])=0.1,"N/A",IF(stdProdLT(Main[[#This Row],[Comments]])=0,"",stdProdLT(Main[[#This Row],[Comments]])))</f>
        <v/>
      </c>
      <c r="H141" s="76" t="str">
        <f>IF(AND(Main[[#This Row],[In Stock Date]]&lt;&gt;"",Main[[#This Row],[Revised Due Date]]&lt;&gt;""),Main[[#This Row],[In Stock Date]]-Main[[#This Row],[Revised Due Date]],"")</f>
        <v/>
      </c>
      <c r="I141" s="72" t="s">
        <v>4</v>
      </c>
      <c r="J141" s="72" t="s">
        <v>4</v>
      </c>
      <c r="K141" s="81" t="s">
        <v>4</v>
      </c>
      <c r="L141" s="74"/>
      <c r="M141" s="77" t="str">
        <f>IF(Main[[#This Row],[Tech Start Date]]&lt;1/1/1990,"",IF(Main[[#This Row],[Class]]="C",WORKDAY(Main[[#This Row],[Tech Start Date]],9),IF(Main[[#This Row],[Class]]="B", WORKDAY(Main[[#This Row],[Tech Start Date]],6),IF(Main[[#This Row],[Class]]="A",WORKDAY(Main[[#This Row],[Tech Start Date]],2),""))))</f>
        <v/>
      </c>
      <c r="N141" s="77" t="str">
        <f>IF(Main[[#This Row],[Tech Start Date]]&lt;1/1/1990,"",IF(Main[[#This Row],[Class]]="C",WORKDAY(Main[[#This Row],[Tech Start Date]],19),IF(Main[[#This Row],[Class]]="B", WORKDAY(Main[[#This Row],[Tech Start Date]],12),IF(Main[[#This Row],[Class]]="A",WORKDAY(Main[[#This Row],[Tech Start Date]],4),""))))</f>
        <v/>
      </c>
      <c r="O141" s="77" t="str">
        <f>IF(Main[[#This Row],[Tech Start Date]]&lt;1/1/1990,"",IF(Main[[#This Row],[Class]]="C",WORKDAY(Main[[#This Row],[Tech Start Date]],23),IF(Main[[#This Row],[Class]]="B", WORKDAY(Main[[#This Row],[Tech Start Date]],15),IF(Main[[#This Row],[Class]]="A",WORKDAY(Main[[#This Row],[Tech Start Date]],5),""))))</f>
        <v/>
      </c>
      <c r="P141" s="77" t="str">
        <f>IF(Main[[#This Row],[Tech Start Date]]&lt;1/1/1990,"",IF(Main[[#This Row],[Class]]="C",WORKDAY(Main[[#This Row],[Tech Start Date]],28),IF(Main[[#This Row],[Class]]="B", WORKDAY(Main[[#This Row],[Tech Start Date]],19),IF(Main[[#This Row],[Class]]="A",WORKDAY(Main[[#This Row],[Tech Start Date]],9),""))))</f>
        <v/>
      </c>
      <c r="Q141" s="74"/>
      <c r="R141" s="74"/>
      <c r="S141" s="72" t="s">
        <v>6</v>
      </c>
      <c r="T141" s="80" t="s">
        <v>4</v>
      </c>
      <c r="U141" s="72" t="s">
        <v>29</v>
      </c>
      <c r="V141" s="72" t="s">
        <v>1917</v>
      </c>
      <c r="W141" s="72" t="s">
        <v>1921</v>
      </c>
      <c r="X141" s="72" t="s">
        <v>102</v>
      </c>
      <c r="Y141" s="72" t="s">
        <v>2948</v>
      </c>
      <c r="Z141" s="72" t="s">
        <v>4</v>
      </c>
      <c r="AA141" s="146" t="s">
        <v>3385</v>
      </c>
    </row>
    <row r="142" spans="1:27" ht="18.600000000000001" customHeight="1">
      <c r="A142" s="139" t="str">
        <f>IF(priority(Main[[#This Row],[Comments]])&lt;&gt;0, priority(Main[[#This Row],[Comments]]),"")</f>
        <v/>
      </c>
      <c r="B142" s="89" t="s">
        <v>1017</v>
      </c>
      <c r="C142" s="72" t="s">
        <v>26</v>
      </c>
      <c r="D142" s="73" t="s">
        <v>27</v>
      </c>
      <c r="E142" s="74"/>
      <c r="F142" s="74">
        <v>40563</v>
      </c>
      <c r="G142" s="75" t="str">
        <f>IF(stdProdLT(Main[[#This Row],[Comments]])=0.1,"N/A",IF(stdProdLT(Main[[#This Row],[Comments]])=0,"",stdProdLT(Main[[#This Row],[Comments]])))</f>
        <v/>
      </c>
      <c r="H142" s="76" t="str">
        <f>IF(AND(Main[[#This Row],[In Stock Date]]&lt;&gt;"",Main[[#This Row],[Revised Due Date]]&lt;&gt;""),Main[[#This Row],[In Stock Date]]-Main[[#This Row],[Revised Due Date]],"")</f>
        <v/>
      </c>
      <c r="I142" s="72" t="s">
        <v>4</v>
      </c>
      <c r="J142" s="72" t="s">
        <v>28</v>
      </c>
      <c r="K142" s="72" t="s">
        <v>1924</v>
      </c>
      <c r="L142" s="74"/>
      <c r="M142" s="77" t="str">
        <f>IF(Main[[#This Row],[Tech Start Date]]&lt;1/1/1990,"",IF(Main[[#This Row],[Class]]="C",WORKDAY(Main[[#This Row],[Tech Start Date]],9),IF(Main[[#This Row],[Class]]="B", WORKDAY(Main[[#This Row],[Tech Start Date]],6),IF(Main[[#This Row],[Class]]="A",WORKDAY(Main[[#This Row],[Tech Start Date]],2),""))))</f>
        <v/>
      </c>
      <c r="N142" s="77" t="str">
        <f>IF(Main[[#This Row],[Tech Start Date]]&lt;1/1/1990,"",IF(Main[[#This Row],[Class]]="C",WORKDAY(Main[[#This Row],[Tech Start Date]],19),IF(Main[[#This Row],[Class]]="B", WORKDAY(Main[[#This Row],[Tech Start Date]],12),IF(Main[[#This Row],[Class]]="A",WORKDAY(Main[[#This Row],[Tech Start Date]],4),""))))</f>
        <v/>
      </c>
      <c r="O142" s="77" t="str">
        <f>IF(Main[[#This Row],[Tech Start Date]]&lt;1/1/1990,"",IF(Main[[#This Row],[Class]]="C",WORKDAY(Main[[#This Row],[Tech Start Date]],23),IF(Main[[#This Row],[Class]]="B", WORKDAY(Main[[#This Row],[Tech Start Date]],15),IF(Main[[#This Row],[Class]]="A",WORKDAY(Main[[#This Row],[Tech Start Date]],5),""))))</f>
        <v/>
      </c>
      <c r="P142" s="77" t="str">
        <f>IF(Main[[#This Row],[Tech Start Date]]&lt;1/1/1990,"",IF(Main[[#This Row],[Class]]="C",WORKDAY(Main[[#This Row],[Tech Start Date]],28),IF(Main[[#This Row],[Class]]="B", WORKDAY(Main[[#This Row],[Tech Start Date]],19),IF(Main[[#This Row],[Class]]="A",WORKDAY(Main[[#This Row],[Tech Start Date]],9),""))))</f>
        <v/>
      </c>
      <c r="Q142" s="74">
        <v>40563</v>
      </c>
      <c r="R142" s="74"/>
      <c r="S142" s="72" t="s">
        <v>11</v>
      </c>
      <c r="T142" s="80" t="s">
        <v>4</v>
      </c>
      <c r="U142" s="72" t="s">
        <v>14</v>
      </c>
      <c r="V142" s="72" t="s">
        <v>1918</v>
      </c>
      <c r="W142" s="72" t="s">
        <v>1919</v>
      </c>
      <c r="X142" s="72" t="s">
        <v>2822</v>
      </c>
      <c r="Y142" s="72" t="s">
        <v>2934</v>
      </c>
      <c r="Z142" s="72" t="s">
        <v>3165</v>
      </c>
      <c r="AA142" s="146" t="s">
        <v>2822</v>
      </c>
    </row>
    <row r="143" spans="1:27" ht="18.600000000000001" customHeight="1">
      <c r="A143" s="155" t="str">
        <f>IF(priority(Main[[#This Row],[Comments]])&lt;&gt;0, priority(Main[[#This Row],[Comments]]),"")</f>
        <v/>
      </c>
      <c r="B143" s="156" t="s">
        <v>1936</v>
      </c>
      <c r="C143" s="157" t="s">
        <v>4</v>
      </c>
      <c r="D143" s="158" t="s">
        <v>1937</v>
      </c>
      <c r="E143" s="160"/>
      <c r="F143" s="160">
        <v>40309</v>
      </c>
      <c r="G143" s="162" t="str">
        <f>IF(stdProdLT(Main[[#This Row],[Comments]])=0.1,"N/A",IF(stdProdLT(Main[[#This Row],[Comments]])=0,"",stdProdLT(Main[[#This Row],[Comments]])))</f>
        <v/>
      </c>
      <c r="H143" s="164" t="str">
        <f>IF(AND(Main[[#This Row],[In Stock Date]]&lt;&gt;"",Main[[#This Row],[Revised Due Date]]&lt;&gt;""),Main[[#This Row],[In Stock Date]]-Main[[#This Row],[Revised Due Date]],"")</f>
        <v/>
      </c>
      <c r="I143" s="157" t="s">
        <v>4</v>
      </c>
      <c r="J143" s="157" t="s">
        <v>4</v>
      </c>
      <c r="K143" s="157" t="s">
        <v>4</v>
      </c>
      <c r="L143" s="160"/>
      <c r="M143" s="167" t="str">
        <f>IF(Main[[#This Row],[Tech Start Date]]&lt;1/1/1990,"",IF(Main[[#This Row],[Class]]="C",WORKDAY(Main[[#This Row],[Tech Start Date]],9),IF(Main[[#This Row],[Class]]="B", WORKDAY(Main[[#This Row],[Tech Start Date]],6),IF(Main[[#This Row],[Class]]="A",WORKDAY(Main[[#This Row],[Tech Start Date]],2),""))))</f>
        <v/>
      </c>
      <c r="N143" s="167" t="str">
        <f>IF(Main[[#This Row],[Tech Start Date]]&lt;1/1/1990,"",IF(Main[[#This Row],[Class]]="C",WORKDAY(Main[[#This Row],[Tech Start Date]],19),IF(Main[[#This Row],[Class]]="B", WORKDAY(Main[[#This Row],[Tech Start Date]],12),IF(Main[[#This Row],[Class]]="A",WORKDAY(Main[[#This Row],[Tech Start Date]],4),""))))</f>
        <v/>
      </c>
      <c r="O143" s="167" t="str">
        <f>IF(Main[[#This Row],[Tech Start Date]]&lt;1/1/1990,"",IF(Main[[#This Row],[Class]]="C",WORKDAY(Main[[#This Row],[Tech Start Date]],23),IF(Main[[#This Row],[Class]]="B", WORKDAY(Main[[#This Row],[Tech Start Date]],15),IF(Main[[#This Row],[Class]]="A",WORKDAY(Main[[#This Row],[Tech Start Date]],5),""))))</f>
        <v/>
      </c>
      <c r="P143" s="167" t="str">
        <f>IF(Main[[#This Row],[Tech Start Date]]&lt;1/1/1990,"",IF(Main[[#This Row],[Class]]="C",WORKDAY(Main[[#This Row],[Tech Start Date]],28),IF(Main[[#This Row],[Class]]="B", WORKDAY(Main[[#This Row],[Tech Start Date]],19),IF(Main[[#This Row],[Class]]="A",WORKDAY(Main[[#This Row],[Tech Start Date]],9),""))))</f>
        <v/>
      </c>
      <c r="Q143" s="160">
        <v>40305</v>
      </c>
      <c r="R143" s="160"/>
      <c r="S143" s="157" t="s">
        <v>6</v>
      </c>
      <c r="T143" s="171" t="s">
        <v>4</v>
      </c>
      <c r="U143" s="157" t="s">
        <v>14</v>
      </c>
      <c r="V143" s="157" t="s">
        <v>1917</v>
      </c>
      <c r="W143" s="157" t="s">
        <v>1925</v>
      </c>
      <c r="X143" s="157" t="s">
        <v>2830</v>
      </c>
      <c r="Y143" s="157" t="s">
        <v>2949</v>
      </c>
      <c r="Z143" s="157" t="s">
        <v>4</v>
      </c>
      <c r="AA143" s="153" t="s">
        <v>2830</v>
      </c>
    </row>
    <row r="144" spans="1:27" ht="18.600000000000001" customHeight="1">
      <c r="A144" s="155" t="str">
        <f>IF(priority(Main[[#This Row],[Comments]])&lt;&gt;0, priority(Main[[#This Row],[Comments]]),"")</f>
        <v/>
      </c>
      <c r="B144" s="156" t="s">
        <v>1018</v>
      </c>
      <c r="C144" s="157" t="s">
        <v>4</v>
      </c>
      <c r="D144" s="158" t="s">
        <v>1950</v>
      </c>
      <c r="E144" s="160">
        <v>40130.654374999998</v>
      </c>
      <c r="F144" s="160"/>
      <c r="G144" s="162" t="str">
        <f>IF(stdProdLT(Main[[#This Row],[Comments]])=0.1,"N/A",IF(stdProdLT(Main[[#This Row],[Comments]])=0,"",stdProdLT(Main[[#This Row],[Comments]])))</f>
        <v/>
      </c>
      <c r="H144" s="164" t="str">
        <f>IF(AND(Main[[#This Row],[In Stock Date]]&lt;&gt;"",Main[[#This Row],[Revised Due Date]]&lt;&gt;""),Main[[#This Row],[In Stock Date]]-Main[[#This Row],[Revised Due Date]],"")</f>
        <v/>
      </c>
      <c r="I144" s="157" t="s">
        <v>4</v>
      </c>
      <c r="J144" s="157" t="s">
        <v>4</v>
      </c>
      <c r="K144" s="157" t="s">
        <v>4</v>
      </c>
      <c r="L144" s="160"/>
      <c r="M144" s="167" t="str">
        <f>IF(Main[[#This Row],[Tech Start Date]]&lt;1/1/1990,"",IF(Main[[#This Row],[Class]]="C",WORKDAY(Main[[#This Row],[Tech Start Date]],9),IF(Main[[#This Row],[Class]]="B", WORKDAY(Main[[#This Row],[Tech Start Date]],6),IF(Main[[#This Row],[Class]]="A",WORKDAY(Main[[#This Row],[Tech Start Date]],2),""))))</f>
        <v/>
      </c>
      <c r="N144" s="167" t="str">
        <f>IF(Main[[#This Row],[Tech Start Date]]&lt;1/1/1990,"",IF(Main[[#This Row],[Class]]="C",WORKDAY(Main[[#This Row],[Tech Start Date]],19),IF(Main[[#This Row],[Class]]="B", WORKDAY(Main[[#This Row],[Tech Start Date]],12),IF(Main[[#This Row],[Class]]="A",WORKDAY(Main[[#This Row],[Tech Start Date]],4),""))))</f>
        <v/>
      </c>
      <c r="O144" s="167" t="str">
        <f>IF(Main[[#This Row],[Tech Start Date]]&lt;1/1/1990,"",IF(Main[[#This Row],[Class]]="C",WORKDAY(Main[[#This Row],[Tech Start Date]],23),IF(Main[[#This Row],[Class]]="B", WORKDAY(Main[[#This Row],[Tech Start Date]],15),IF(Main[[#This Row],[Class]]="A",WORKDAY(Main[[#This Row],[Tech Start Date]],5),""))))</f>
        <v/>
      </c>
      <c r="P144" s="167" t="str">
        <f>IF(Main[[#This Row],[Tech Start Date]]&lt;1/1/1990,"",IF(Main[[#This Row],[Class]]="C",WORKDAY(Main[[#This Row],[Tech Start Date]],28),IF(Main[[#This Row],[Class]]="B", WORKDAY(Main[[#This Row],[Tech Start Date]],19),IF(Main[[#This Row],[Class]]="A",WORKDAY(Main[[#This Row],[Tech Start Date]],9),""))))</f>
        <v/>
      </c>
      <c r="Q144" s="160"/>
      <c r="R144" s="160"/>
      <c r="S144" s="157" t="s">
        <v>6</v>
      </c>
      <c r="T144" s="171" t="s">
        <v>4</v>
      </c>
      <c r="U144" s="157" t="s">
        <v>29</v>
      </c>
      <c r="V144" s="157" t="s">
        <v>1917</v>
      </c>
      <c r="W144" s="157" t="s">
        <v>1925</v>
      </c>
      <c r="X144" s="157" t="s">
        <v>2826</v>
      </c>
      <c r="Y144" s="157" t="s">
        <v>2950</v>
      </c>
      <c r="Z144" s="157" t="s">
        <v>4</v>
      </c>
      <c r="AA144" s="153" t="s">
        <v>2879</v>
      </c>
    </row>
    <row r="145" spans="1:27" ht="18.600000000000001" customHeight="1">
      <c r="A145" s="139" t="str">
        <f>IF(priority(Main[[#This Row],[Comments]])&lt;&gt;0, priority(Main[[#This Row],[Comments]]),"")</f>
        <v/>
      </c>
      <c r="B145" s="89" t="s">
        <v>1020</v>
      </c>
      <c r="C145" s="72" t="s">
        <v>31</v>
      </c>
      <c r="D145" s="73" t="s">
        <v>32</v>
      </c>
      <c r="E145" s="74"/>
      <c r="F145" s="74">
        <v>40634</v>
      </c>
      <c r="G145" s="75" t="str">
        <f>IF(stdProdLT(Main[[#This Row],[Comments]])=0.1,"N/A",IF(stdProdLT(Main[[#This Row],[Comments]])=0,"",stdProdLT(Main[[#This Row],[Comments]])))</f>
        <v/>
      </c>
      <c r="H145" s="76" t="str">
        <f>IF(AND(Main[[#This Row],[In Stock Date]]&lt;&gt;"",Main[[#This Row],[Revised Due Date]]&lt;&gt;""),Main[[#This Row],[In Stock Date]]-Main[[#This Row],[Revised Due Date]],"")</f>
        <v/>
      </c>
      <c r="I145" s="72" t="s">
        <v>4</v>
      </c>
      <c r="J145" s="72" t="s">
        <v>4</v>
      </c>
      <c r="K145" s="72" t="s">
        <v>4</v>
      </c>
      <c r="L145" s="74"/>
      <c r="M145" s="77" t="str">
        <f>IF(Main[[#This Row],[Tech Start Date]]&lt;1/1/1990,"",IF(Main[[#This Row],[Class]]="C",WORKDAY(Main[[#This Row],[Tech Start Date]],9),IF(Main[[#This Row],[Class]]="B", WORKDAY(Main[[#This Row],[Tech Start Date]],6),IF(Main[[#This Row],[Class]]="A",WORKDAY(Main[[#This Row],[Tech Start Date]],2),""))))</f>
        <v/>
      </c>
      <c r="N145" s="77" t="str">
        <f>IF(Main[[#This Row],[Tech Start Date]]&lt;1/1/1990,"",IF(Main[[#This Row],[Class]]="C",WORKDAY(Main[[#This Row],[Tech Start Date]],19),IF(Main[[#This Row],[Class]]="B", WORKDAY(Main[[#This Row],[Tech Start Date]],12),IF(Main[[#This Row],[Class]]="A",WORKDAY(Main[[#This Row],[Tech Start Date]],4),""))))</f>
        <v/>
      </c>
      <c r="O145" s="77" t="str">
        <f>IF(Main[[#This Row],[Tech Start Date]]&lt;1/1/1990,"",IF(Main[[#This Row],[Class]]="C",WORKDAY(Main[[#This Row],[Tech Start Date]],23),IF(Main[[#This Row],[Class]]="B", WORKDAY(Main[[#This Row],[Tech Start Date]],15),IF(Main[[#This Row],[Class]]="A",WORKDAY(Main[[#This Row],[Tech Start Date]],5),""))))</f>
        <v/>
      </c>
      <c r="P145" s="77" t="str">
        <f>IF(Main[[#This Row],[Tech Start Date]]&lt;1/1/1990,"",IF(Main[[#This Row],[Class]]="C",WORKDAY(Main[[#This Row],[Tech Start Date]],28),IF(Main[[#This Row],[Class]]="B", WORKDAY(Main[[#This Row],[Tech Start Date]],19),IF(Main[[#This Row],[Class]]="A",WORKDAY(Main[[#This Row],[Tech Start Date]],9),""))))</f>
        <v/>
      </c>
      <c r="Q145" s="74"/>
      <c r="R145" s="74"/>
      <c r="S145" s="72" t="s">
        <v>11</v>
      </c>
      <c r="T145" s="80" t="s">
        <v>4</v>
      </c>
      <c r="U145" s="72" t="s">
        <v>14</v>
      </c>
      <c r="V145" s="72" t="s">
        <v>1920</v>
      </c>
      <c r="W145" s="72" t="s">
        <v>1922</v>
      </c>
      <c r="X145" s="72" t="s">
        <v>2831</v>
      </c>
      <c r="Y145" s="72" t="s">
        <v>2951</v>
      </c>
      <c r="Z145" s="72" t="s">
        <v>4</v>
      </c>
      <c r="AA145" s="146" t="s">
        <v>2851</v>
      </c>
    </row>
    <row r="146" spans="1:27" ht="18.600000000000001" customHeight="1">
      <c r="A146" s="139" t="str">
        <f>IF(priority(Main[[#This Row],[Comments]])&lt;&gt;0, priority(Main[[#This Row],[Comments]]),"")</f>
        <v/>
      </c>
      <c r="B146" s="89" t="s">
        <v>1021</v>
      </c>
      <c r="C146" s="72" t="s">
        <v>33</v>
      </c>
      <c r="D146" s="73" t="s">
        <v>34</v>
      </c>
      <c r="E146" s="74"/>
      <c r="F146" s="74">
        <v>40764</v>
      </c>
      <c r="G146" s="75" t="str">
        <f>IF(stdProdLT(Main[[#This Row],[Comments]])=0.1,"N/A",IF(stdProdLT(Main[[#This Row],[Comments]])=0,"",stdProdLT(Main[[#This Row],[Comments]])))</f>
        <v/>
      </c>
      <c r="H146" s="76" t="str">
        <f>IF(AND(Main[[#This Row],[In Stock Date]]&lt;&gt;"",Main[[#This Row],[Revised Due Date]]&lt;&gt;""),Main[[#This Row],[In Stock Date]]-Main[[#This Row],[Revised Due Date]],"")</f>
        <v/>
      </c>
      <c r="I146" s="72" t="s">
        <v>4</v>
      </c>
      <c r="J146" s="72" t="s">
        <v>28</v>
      </c>
      <c r="K146" s="72" t="s">
        <v>1924</v>
      </c>
      <c r="L146" s="74"/>
      <c r="M146" s="77" t="str">
        <f>IF(Main[[#This Row],[Tech Start Date]]&lt;1/1/1990,"",IF(Main[[#This Row],[Class]]="C",WORKDAY(Main[[#This Row],[Tech Start Date]],9),IF(Main[[#This Row],[Class]]="B", WORKDAY(Main[[#This Row],[Tech Start Date]],6),IF(Main[[#This Row],[Class]]="A",WORKDAY(Main[[#This Row],[Tech Start Date]],2),""))))</f>
        <v/>
      </c>
      <c r="N146" s="77" t="str">
        <f>IF(Main[[#This Row],[Tech Start Date]]&lt;1/1/1990,"",IF(Main[[#This Row],[Class]]="C",WORKDAY(Main[[#This Row],[Tech Start Date]],19),IF(Main[[#This Row],[Class]]="B", WORKDAY(Main[[#This Row],[Tech Start Date]],12),IF(Main[[#This Row],[Class]]="A",WORKDAY(Main[[#This Row],[Tech Start Date]],4),""))))</f>
        <v/>
      </c>
      <c r="O146" s="77" t="str">
        <f>IF(Main[[#This Row],[Tech Start Date]]&lt;1/1/1990,"",IF(Main[[#This Row],[Class]]="C",WORKDAY(Main[[#This Row],[Tech Start Date]],23),IF(Main[[#This Row],[Class]]="B", WORKDAY(Main[[#This Row],[Tech Start Date]],15),IF(Main[[#This Row],[Class]]="A",WORKDAY(Main[[#This Row],[Tech Start Date]],5),""))))</f>
        <v/>
      </c>
      <c r="P146" s="77" t="str">
        <f>IF(Main[[#This Row],[Tech Start Date]]&lt;1/1/1990,"",IF(Main[[#This Row],[Class]]="C",WORKDAY(Main[[#This Row],[Tech Start Date]],28),IF(Main[[#This Row],[Class]]="B", WORKDAY(Main[[#This Row],[Tech Start Date]],19),IF(Main[[#This Row],[Class]]="A",WORKDAY(Main[[#This Row],[Tech Start Date]],9),""))))</f>
        <v/>
      </c>
      <c r="Q146" s="74">
        <v>40568</v>
      </c>
      <c r="R146" s="74"/>
      <c r="S146" s="72" t="s">
        <v>11</v>
      </c>
      <c r="T146" s="80" t="s">
        <v>4</v>
      </c>
      <c r="U146" s="72" t="s">
        <v>14</v>
      </c>
      <c r="V146" s="72" t="s">
        <v>1917</v>
      </c>
      <c r="W146" s="72" t="s">
        <v>1925</v>
      </c>
      <c r="X146" s="72" t="s">
        <v>2832</v>
      </c>
      <c r="Y146" s="72" t="s">
        <v>2952</v>
      </c>
      <c r="Z146" s="72" t="s">
        <v>129</v>
      </c>
      <c r="AA146" s="146" t="s">
        <v>2832</v>
      </c>
    </row>
    <row r="147" spans="1:27" ht="18.600000000000001" customHeight="1">
      <c r="A147" s="139" t="str">
        <f>IF(priority(Main[[#This Row],[Comments]])&lt;&gt;0, priority(Main[[#This Row],[Comments]]),"")</f>
        <v/>
      </c>
      <c r="B147" s="89" t="s">
        <v>1938</v>
      </c>
      <c r="C147" s="72" t="s">
        <v>4</v>
      </c>
      <c r="D147" s="73" t="s">
        <v>35</v>
      </c>
      <c r="E147" s="74"/>
      <c r="F147" s="74"/>
      <c r="G147" s="75" t="str">
        <f>IF(stdProdLT(Main[[#This Row],[Comments]])=0.1,"N/A",IF(stdProdLT(Main[[#This Row],[Comments]])=0,"",stdProdLT(Main[[#This Row],[Comments]])))</f>
        <v/>
      </c>
      <c r="H147" s="76" t="str">
        <f>IF(AND(Main[[#This Row],[In Stock Date]]&lt;&gt;"",Main[[#This Row],[Revised Due Date]]&lt;&gt;""),Main[[#This Row],[In Stock Date]]-Main[[#This Row],[Revised Due Date]],"")</f>
        <v/>
      </c>
      <c r="I147" s="72" t="s">
        <v>4</v>
      </c>
      <c r="J147" s="72" t="s">
        <v>4</v>
      </c>
      <c r="K147" s="72" t="s">
        <v>4</v>
      </c>
      <c r="L147" s="74"/>
      <c r="M147" s="77" t="str">
        <f>IF(Main[[#This Row],[Tech Start Date]]&lt;1/1/1990,"",IF(Main[[#This Row],[Class]]="C",WORKDAY(Main[[#This Row],[Tech Start Date]],9),IF(Main[[#This Row],[Class]]="B", WORKDAY(Main[[#This Row],[Tech Start Date]],6),IF(Main[[#This Row],[Class]]="A",WORKDAY(Main[[#This Row],[Tech Start Date]],2),""))))</f>
        <v/>
      </c>
      <c r="N147" s="77" t="str">
        <f>IF(Main[[#This Row],[Tech Start Date]]&lt;1/1/1990,"",IF(Main[[#This Row],[Class]]="C",WORKDAY(Main[[#This Row],[Tech Start Date]],19),IF(Main[[#This Row],[Class]]="B", WORKDAY(Main[[#This Row],[Tech Start Date]],12),IF(Main[[#This Row],[Class]]="A",WORKDAY(Main[[#This Row],[Tech Start Date]],4),""))))</f>
        <v/>
      </c>
      <c r="O147" s="77" t="str">
        <f>IF(Main[[#This Row],[Tech Start Date]]&lt;1/1/1990,"",IF(Main[[#This Row],[Class]]="C",WORKDAY(Main[[#This Row],[Tech Start Date]],23),IF(Main[[#This Row],[Class]]="B", WORKDAY(Main[[#This Row],[Tech Start Date]],15),IF(Main[[#This Row],[Class]]="A",WORKDAY(Main[[#This Row],[Tech Start Date]],5),""))))</f>
        <v/>
      </c>
      <c r="P147" s="77" t="str">
        <f>IF(Main[[#This Row],[Tech Start Date]]&lt;1/1/1990,"",IF(Main[[#This Row],[Class]]="C",WORKDAY(Main[[#This Row],[Tech Start Date]],28),IF(Main[[#This Row],[Class]]="B", WORKDAY(Main[[#This Row],[Tech Start Date]],19),IF(Main[[#This Row],[Class]]="A",WORKDAY(Main[[#This Row],[Tech Start Date]],9),""))))</f>
        <v/>
      </c>
      <c r="Q147" s="74"/>
      <c r="R147" s="74"/>
      <c r="S147" s="72" t="s">
        <v>23</v>
      </c>
      <c r="T147" s="80" t="s">
        <v>4</v>
      </c>
      <c r="U147" s="72" t="s">
        <v>14</v>
      </c>
      <c r="V147" s="72" t="s">
        <v>1927</v>
      </c>
      <c r="W147" s="72" t="s">
        <v>1921</v>
      </c>
      <c r="X147" s="72" t="s">
        <v>399</v>
      </c>
      <c r="Y147" s="72" t="s">
        <v>4</v>
      </c>
      <c r="Z147" s="72" t="s">
        <v>4</v>
      </c>
      <c r="AA147" s="146" t="s">
        <v>3386</v>
      </c>
    </row>
    <row r="148" spans="1:27" ht="18.600000000000001" customHeight="1">
      <c r="A148" s="139" t="str">
        <f>IF(priority(Main[[#This Row],[Comments]])&lt;&gt;0, priority(Main[[#This Row],[Comments]]),"")</f>
        <v/>
      </c>
      <c r="B148" s="89" t="s">
        <v>1022</v>
      </c>
      <c r="C148" s="72" t="s">
        <v>4</v>
      </c>
      <c r="D148" s="73" t="s">
        <v>36</v>
      </c>
      <c r="E148" s="74"/>
      <c r="F148" s="74"/>
      <c r="G148" s="75" t="str">
        <f>IF(stdProdLT(Main[[#This Row],[Comments]])=0.1,"N/A",IF(stdProdLT(Main[[#This Row],[Comments]])=0,"",stdProdLT(Main[[#This Row],[Comments]])))</f>
        <v/>
      </c>
      <c r="H148" s="76" t="str">
        <f>IF(AND(Main[[#This Row],[In Stock Date]]&lt;&gt;"",Main[[#This Row],[Revised Due Date]]&lt;&gt;""),Main[[#This Row],[In Stock Date]]-Main[[#This Row],[Revised Due Date]],"")</f>
        <v/>
      </c>
      <c r="I148" s="72" t="s">
        <v>4</v>
      </c>
      <c r="J148" s="72" t="s">
        <v>4</v>
      </c>
      <c r="K148" s="81" t="s">
        <v>4</v>
      </c>
      <c r="L148" s="74"/>
      <c r="M148" s="77" t="str">
        <f>IF(Main[[#This Row],[Tech Start Date]]&lt;1/1/1990,"",IF(Main[[#This Row],[Class]]="C",WORKDAY(Main[[#This Row],[Tech Start Date]],9),IF(Main[[#This Row],[Class]]="B", WORKDAY(Main[[#This Row],[Tech Start Date]],6),IF(Main[[#This Row],[Class]]="A",WORKDAY(Main[[#This Row],[Tech Start Date]],2),""))))</f>
        <v/>
      </c>
      <c r="N148" s="77" t="str">
        <f>IF(Main[[#This Row],[Tech Start Date]]&lt;1/1/1990,"",IF(Main[[#This Row],[Class]]="C",WORKDAY(Main[[#This Row],[Tech Start Date]],19),IF(Main[[#This Row],[Class]]="B", WORKDAY(Main[[#This Row],[Tech Start Date]],12),IF(Main[[#This Row],[Class]]="A",WORKDAY(Main[[#This Row],[Tech Start Date]],4),""))))</f>
        <v/>
      </c>
      <c r="O148" s="77" t="str">
        <f>IF(Main[[#This Row],[Tech Start Date]]&lt;1/1/1990,"",IF(Main[[#This Row],[Class]]="C",WORKDAY(Main[[#This Row],[Tech Start Date]],23),IF(Main[[#This Row],[Class]]="B", WORKDAY(Main[[#This Row],[Tech Start Date]],15),IF(Main[[#This Row],[Class]]="A",WORKDAY(Main[[#This Row],[Tech Start Date]],5),""))))</f>
        <v/>
      </c>
      <c r="P148" s="77" t="str">
        <f>IF(Main[[#This Row],[Tech Start Date]]&lt;1/1/1990,"",IF(Main[[#This Row],[Class]]="C",WORKDAY(Main[[#This Row],[Tech Start Date]],28),IF(Main[[#This Row],[Class]]="B", WORKDAY(Main[[#This Row],[Tech Start Date]],19),IF(Main[[#This Row],[Class]]="A",WORKDAY(Main[[#This Row],[Tech Start Date]],9),""))))</f>
        <v/>
      </c>
      <c r="Q148" s="74">
        <v>40781</v>
      </c>
      <c r="R148" s="74"/>
      <c r="S148" s="72" t="s">
        <v>11</v>
      </c>
      <c r="T148" s="80" t="s">
        <v>4</v>
      </c>
      <c r="U148" s="72" t="s">
        <v>14</v>
      </c>
      <c r="V148" s="72" t="s">
        <v>1917</v>
      </c>
      <c r="W148" s="72" t="s">
        <v>1921</v>
      </c>
      <c r="X148" s="72" t="s">
        <v>2827</v>
      </c>
      <c r="Y148" s="72" t="s">
        <v>2942</v>
      </c>
      <c r="Z148" s="72" t="s">
        <v>4</v>
      </c>
      <c r="AA148" s="146" t="s">
        <v>2827</v>
      </c>
    </row>
    <row r="149" spans="1:27" ht="18.600000000000001" customHeight="1">
      <c r="A149" s="139" t="str">
        <f>IF(priority(Main[[#This Row],[Comments]])&lt;&gt;0, priority(Main[[#This Row],[Comments]]),"")</f>
        <v/>
      </c>
      <c r="B149" s="89" t="s">
        <v>1023</v>
      </c>
      <c r="C149" s="72" t="s">
        <v>26</v>
      </c>
      <c r="D149" s="73" t="s">
        <v>38</v>
      </c>
      <c r="E149" s="74"/>
      <c r="F149" s="74">
        <v>40743</v>
      </c>
      <c r="G149" s="75" t="str">
        <f>IF(stdProdLT(Main[[#This Row],[Comments]])=0.1,"N/A",IF(stdProdLT(Main[[#This Row],[Comments]])=0,"",stdProdLT(Main[[#This Row],[Comments]])))</f>
        <v/>
      </c>
      <c r="H149" s="76" t="str">
        <f>IF(AND(Main[[#This Row],[In Stock Date]]&lt;&gt;"",Main[[#This Row],[Revised Due Date]]&lt;&gt;""),Main[[#This Row],[In Stock Date]]-Main[[#This Row],[Revised Due Date]],"")</f>
        <v/>
      </c>
      <c r="I149" s="72" t="s">
        <v>4</v>
      </c>
      <c r="J149" s="72" t="s">
        <v>28</v>
      </c>
      <c r="K149" s="81" t="s">
        <v>4</v>
      </c>
      <c r="L149" s="74"/>
      <c r="M149" s="77" t="str">
        <f>IF(Main[[#This Row],[Tech Start Date]]&lt;1/1/1990,"",IF(Main[[#This Row],[Class]]="C",WORKDAY(Main[[#This Row],[Tech Start Date]],9),IF(Main[[#This Row],[Class]]="B", WORKDAY(Main[[#This Row],[Tech Start Date]],6),IF(Main[[#This Row],[Class]]="A",WORKDAY(Main[[#This Row],[Tech Start Date]],2),""))))</f>
        <v/>
      </c>
      <c r="N149" s="77" t="str">
        <f>IF(Main[[#This Row],[Tech Start Date]]&lt;1/1/1990,"",IF(Main[[#This Row],[Class]]="C",WORKDAY(Main[[#This Row],[Tech Start Date]],19),IF(Main[[#This Row],[Class]]="B", WORKDAY(Main[[#This Row],[Tech Start Date]],12),IF(Main[[#This Row],[Class]]="A",WORKDAY(Main[[#This Row],[Tech Start Date]],4),""))))</f>
        <v/>
      </c>
      <c r="O149" s="77" t="str">
        <f>IF(Main[[#This Row],[Tech Start Date]]&lt;1/1/1990,"",IF(Main[[#This Row],[Class]]="C",WORKDAY(Main[[#This Row],[Tech Start Date]],23),IF(Main[[#This Row],[Class]]="B", WORKDAY(Main[[#This Row],[Tech Start Date]],15),IF(Main[[#This Row],[Class]]="A",WORKDAY(Main[[#This Row],[Tech Start Date]],5),""))))</f>
        <v/>
      </c>
      <c r="P149" s="77" t="str">
        <f>IF(Main[[#This Row],[Tech Start Date]]&lt;1/1/1990,"",IF(Main[[#This Row],[Class]]="C",WORKDAY(Main[[#This Row],[Tech Start Date]],28),IF(Main[[#This Row],[Class]]="B", WORKDAY(Main[[#This Row],[Tech Start Date]],19),IF(Main[[#This Row],[Class]]="A",WORKDAY(Main[[#This Row],[Tech Start Date]],9),""))))</f>
        <v/>
      </c>
      <c r="Q149" s="74">
        <v>40638</v>
      </c>
      <c r="R149" s="74"/>
      <c r="S149" s="72" t="s">
        <v>11</v>
      </c>
      <c r="T149" s="80" t="s">
        <v>4</v>
      </c>
      <c r="U149" s="72" t="s">
        <v>12</v>
      </c>
      <c r="V149" s="72" t="s">
        <v>1917</v>
      </c>
      <c r="W149" s="72" t="s">
        <v>1925</v>
      </c>
      <c r="X149" s="72" t="s">
        <v>129</v>
      </c>
      <c r="Y149" s="72" t="s">
        <v>4</v>
      </c>
      <c r="Z149" s="72" t="s">
        <v>129</v>
      </c>
      <c r="AA149" s="146" t="s">
        <v>3387</v>
      </c>
    </row>
    <row r="150" spans="1:27" ht="18.600000000000001" customHeight="1">
      <c r="A150" s="139" t="str">
        <f>IF(priority(Main[[#This Row],[Comments]])&lt;&gt;0, priority(Main[[#This Row],[Comments]]),"")</f>
        <v/>
      </c>
      <c r="B150" s="89" t="s">
        <v>1024</v>
      </c>
      <c r="C150" s="72" t="s">
        <v>4</v>
      </c>
      <c r="D150" s="73" t="s">
        <v>39</v>
      </c>
      <c r="E150" s="74"/>
      <c r="F150" s="74"/>
      <c r="G150" s="75" t="str">
        <f>IF(stdProdLT(Main[[#This Row],[Comments]])=0.1,"N/A",IF(stdProdLT(Main[[#This Row],[Comments]])=0,"",stdProdLT(Main[[#This Row],[Comments]])))</f>
        <v/>
      </c>
      <c r="H150" s="76" t="str">
        <f>IF(AND(Main[[#This Row],[In Stock Date]]&lt;&gt;"",Main[[#This Row],[Revised Due Date]]&lt;&gt;""),Main[[#This Row],[In Stock Date]]-Main[[#This Row],[Revised Due Date]],"")</f>
        <v/>
      </c>
      <c r="I150" s="72" t="s">
        <v>4</v>
      </c>
      <c r="J150" s="72" t="s">
        <v>4</v>
      </c>
      <c r="K150" s="72" t="s">
        <v>4</v>
      </c>
      <c r="L150" s="74"/>
      <c r="M150" s="77" t="str">
        <f>IF(Main[[#This Row],[Tech Start Date]]&lt;1/1/1990,"",IF(Main[[#This Row],[Class]]="C",WORKDAY(Main[[#This Row],[Tech Start Date]],9),IF(Main[[#This Row],[Class]]="B", WORKDAY(Main[[#This Row],[Tech Start Date]],6),IF(Main[[#This Row],[Class]]="A",WORKDAY(Main[[#This Row],[Tech Start Date]],2),""))))</f>
        <v/>
      </c>
      <c r="N150" s="77" t="str">
        <f>IF(Main[[#This Row],[Tech Start Date]]&lt;1/1/1990,"",IF(Main[[#This Row],[Class]]="C",WORKDAY(Main[[#This Row],[Tech Start Date]],19),IF(Main[[#This Row],[Class]]="B", WORKDAY(Main[[#This Row],[Tech Start Date]],12),IF(Main[[#This Row],[Class]]="A",WORKDAY(Main[[#This Row],[Tech Start Date]],4),""))))</f>
        <v/>
      </c>
      <c r="O150" s="77" t="str">
        <f>IF(Main[[#This Row],[Tech Start Date]]&lt;1/1/1990,"",IF(Main[[#This Row],[Class]]="C",WORKDAY(Main[[#This Row],[Tech Start Date]],23),IF(Main[[#This Row],[Class]]="B", WORKDAY(Main[[#This Row],[Tech Start Date]],15),IF(Main[[#This Row],[Class]]="A",WORKDAY(Main[[#This Row],[Tech Start Date]],5),""))))</f>
        <v/>
      </c>
      <c r="P150" s="77" t="str">
        <f>IF(Main[[#This Row],[Tech Start Date]]&lt;1/1/1990,"",IF(Main[[#This Row],[Class]]="C",WORKDAY(Main[[#This Row],[Tech Start Date]],28),IF(Main[[#This Row],[Class]]="B", WORKDAY(Main[[#This Row],[Tech Start Date]],19),IF(Main[[#This Row],[Class]]="A",WORKDAY(Main[[#This Row],[Tech Start Date]],9),""))))</f>
        <v/>
      </c>
      <c r="Q150" s="74">
        <v>40669</v>
      </c>
      <c r="R150" s="74"/>
      <c r="S150" s="72" t="s">
        <v>6</v>
      </c>
      <c r="T150" s="80" t="s">
        <v>4</v>
      </c>
      <c r="U150" s="72" t="s">
        <v>14</v>
      </c>
      <c r="V150" s="72" t="s">
        <v>1920</v>
      </c>
      <c r="W150" s="72" t="s">
        <v>4</v>
      </c>
      <c r="X150" s="72" t="s">
        <v>2824</v>
      </c>
      <c r="Y150" s="72" t="s">
        <v>2935</v>
      </c>
      <c r="Z150" s="72" t="s">
        <v>4</v>
      </c>
      <c r="AA150" s="146" t="s">
        <v>2824</v>
      </c>
    </row>
    <row r="151" spans="1:27" ht="18.600000000000001" customHeight="1">
      <c r="A151" s="155" t="str">
        <f>IF(priority(Main[[#This Row],[Comments]])&lt;&gt;0, priority(Main[[#This Row],[Comments]]),"")</f>
        <v/>
      </c>
      <c r="B151" s="156" t="s">
        <v>1025</v>
      </c>
      <c r="C151" s="157" t="s">
        <v>4</v>
      </c>
      <c r="D151" s="158" t="s">
        <v>40</v>
      </c>
      <c r="E151" s="160"/>
      <c r="F151" s="160"/>
      <c r="G151" s="162" t="str">
        <f>IF(stdProdLT(Main[[#This Row],[Comments]])=0.1,"N/A",IF(stdProdLT(Main[[#This Row],[Comments]])=0,"",stdProdLT(Main[[#This Row],[Comments]])))</f>
        <v/>
      </c>
      <c r="H151" s="164" t="str">
        <f>IF(AND(Main[[#This Row],[In Stock Date]]&lt;&gt;"",Main[[#This Row],[Revised Due Date]]&lt;&gt;""),Main[[#This Row],[In Stock Date]]-Main[[#This Row],[Revised Due Date]],"")</f>
        <v/>
      </c>
      <c r="I151" s="157" t="s">
        <v>4</v>
      </c>
      <c r="J151" s="157" t="s">
        <v>4</v>
      </c>
      <c r="K151" s="157" t="s">
        <v>4</v>
      </c>
      <c r="L151" s="160"/>
      <c r="M151" s="167" t="str">
        <f>IF(Main[[#This Row],[Tech Start Date]]&lt;1/1/1990,"",IF(Main[[#This Row],[Class]]="C",WORKDAY(Main[[#This Row],[Tech Start Date]],9),IF(Main[[#This Row],[Class]]="B", WORKDAY(Main[[#This Row],[Tech Start Date]],6),IF(Main[[#This Row],[Class]]="A",WORKDAY(Main[[#This Row],[Tech Start Date]],2),""))))</f>
        <v/>
      </c>
      <c r="N151" s="167" t="str">
        <f>IF(Main[[#This Row],[Tech Start Date]]&lt;1/1/1990,"",IF(Main[[#This Row],[Class]]="C",WORKDAY(Main[[#This Row],[Tech Start Date]],19),IF(Main[[#This Row],[Class]]="B", WORKDAY(Main[[#This Row],[Tech Start Date]],12),IF(Main[[#This Row],[Class]]="A",WORKDAY(Main[[#This Row],[Tech Start Date]],4),""))))</f>
        <v/>
      </c>
      <c r="O151" s="167" t="str">
        <f>IF(Main[[#This Row],[Tech Start Date]]&lt;1/1/1990,"",IF(Main[[#This Row],[Class]]="C",WORKDAY(Main[[#This Row],[Tech Start Date]],23),IF(Main[[#This Row],[Class]]="B", WORKDAY(Main[[#This Row],[Tech Start Date]],15),IF(Main[[#This Row],[Class]]="A",WORKDAY(Main[[#This Row],[Tech Start Date]],5),""))))</f>
        <v/>
      </c>
      <c r="P151" s="167" t="str">
        <f>IF(Main[[#This Row],[Tech Start Date]]&lt;1/1/1990,"",IF(Main[[#This Row],[Class]]="C",WORKDAY(Main[[#This Row],[Tech Start Date]],28),IF(Main[[#This Row],[Class]]="B", WORKDAY(Main[[#This Row],[Tech Start Date]],19),IF(Main[[#This Row],[Class]]="A",WORKDAY(Main[[#This Row],[Tech Start Date]],9),""))))</f>
        <v/>
      </c>
      <c r="Q151" s="160">
        <v>40368</v>
      </c>
      <c r="R151" s="160"/>
      <c r="S151" s="157" t="s">
        <v>6</v>
      </c>
      <c r="T151" s="171" t="s">
        <v>4</v>
      </c>
      <c r="U151" s="157" t="s">
        <v>14</v>
      </c>
      <c r="V151" s="157" t="s">
        <v>1927</v>
      </c>
      <c r="W151" s="157" t="s">
        <v>1919</v>
      </c>
      <c r="X151" s="157" t="s">
        <v>50</v>
      </c>
      <c r="Y151" s="157" t="s">
        <v>2953</v>
      </c>
      <c r="Z151" s="157" t="s">
        <v>4</v>
      </c>
      <c r="AA151" s="153" t="s">
        <v>973</v>
      </c>
    </row>
    <row r="152" spans="1:27" ht="18.600000000000001" customHeight="1">
      <c r="A152" s="139" t="str">
        <f>IF(priority(Main[[#This Row],[Comments]])&lt;&gt;0, priority(Main[[#This Row],[Comments]]),"")</f>
        <v/>
      </c>
      <c r="B152" s="89" t="s">
        <v>1026</v>
      </c>
      <c r="C152" s="72" t="s">
        <v>33</v>
      </c>
      <c r="D152" s="73" t="s">
        <v>41</v>
      </c>
      <c r="E152" s="74"/>
      <c r="F152" s="74"/>
      <c r="G152" s="75" t="str">
        <f>IF(stdProdLT(Main[[#This Row],[Comments]])=0.1,"N/A",IF(stdProdLT(Main[[#This Row],[Comments]])=0,"",stdProdLT(Main[[#This Row],[Comments]])))</f>
        <v/>
      </c>
      <c r="H152" s="76" t="str">
        <f>IF(AND(Main[[#This Row],[In Stock Date]]&lt;&gt;"",Main[[#This Row],[Revised Due Date]]&lt;&gt;""),Main[[#This Row],[In Stock Date]]-Main[[#This Row],[Revised Due Date]],"")</f>
        <v/>
      </c>
      <c r="I152" s="72" t="s">
        <v>4</v>
      </c>
      <c r="J152" s="72" t="s">
        <v>4</v>
      </c>
      <c r="K152" s="72" t="s">
        <v>4</v>
      </c>
      <c r="L152" s="74"/>
      <c r="M152" s="77" t="str">
        <f>IF(Main[[#This Row],[Tech Start Date]]&lt;1/1/1990,"",IF(Main[[#This Row],[Class]]="C",WORKDAY(Main[[#This Row],[Tech Start Date]],9),IF(Main[[#This Row],[Class]]="B", WORKDAY(Main[[#This Row],[Tech Start Date]],6),IF(Main[[#This Row],[Class]]="A",WORKDAY(Main[[#This Row],[Tech Start Date]],2),""))))</f>
        <v/>
      </c>
      <c r="N152" s="77" t="str">
        <f>IF(Main[[#This Row],[Tech Start Date]]&lt;1/1/1990,"",IF(Main[[#This Row],[Class]]="C",WORKDAY(Main[[#This Row],[Tech Start Date]],19),IF(Main[[#This Row],[Class]]="B", WORKDAY(Main[[#This Row],[Tech Start Date]],12),IF(Main[[#This Row],[Class]]="A",WORKDAY(Main[[#This Row],[Tech Start Date]],4),""))))</f>
        <v/>
      </c>
      <c r="O152" s="77" t="str">
        <f>IF(Main[[#This Row],[Tech Start Date]]&lt;1/1/1990,"",IF(Main[[#This Row],[Class]]="C",WORKDAY(Main[[#This Row],[Tech Start Date]],23),IF(Main[[#This Row],[Class]]="B", WORKDAY(Main[[#This Row],[Tech Start Date]],15),IF(Main[[#This Row],[Class]]="A",WORKDAY(Main[[#This Row],[Tech Start Date]],5),""))))</f>
        <v/>
      </c>
      <c r="P152" s="77" t="str">
        <f>IF(Main[[#This Row],[Tech Start Date]]&lt;1/1/1990,"",IF(Main[[#This Row],[Class]]="C",WORKDAY(Main[[#This Row],[Tech Start Date]],28),IF(Main[[#This Row],[Class]]="B", WORKDAY(Main[[#This Row],[Tech Start Date]],19),IF(Main[[#This Row],[Class]]="A",WORKDAY(Main[[#This Row],[Tech Start Date]],9),""))))</f>
        <v/>
      </c>
      <c r="Q152" s="74"/>
      <c r="R152" s="74"/>
      <c r="S152" s="72" t="s">
        <v>11</v>
      </c>
      <c r="T152" s="80" t="s">
        <v>4</v>
      </c>
      <c r="U152" s="72" t="s">
        <v>14</v>
      </c>
      <c r="V152" s="72" t="s">
        <v>1918</v>
      </c>
      <c r="W152" s="72" t="s">
        <v>1925</v>
      </c>
      <c r="X152" s="72" t="s">
        <v>2833</v>
      </c>
      <c r="Y152" s="72" t="s">
        <v>2954</v>
      </c>
      <c r="Z152" s="72" t="s">
        <v>4</v>
      </c>
      <c r="AA152" s="146" t="s">
        <v>2833</v>
      </c>
    </row>
    <row r="153" spans="1:27" ht="18.600000000000001" customHeight="1">
      <c r="A153" s="139" t="str">
        <f>IF(priority(Main[[#This Row],[Comments]])&lt;&gt;0, priority(Main[[#This Row],[Comments]]),"")</f>
        <v/>
      </c>
      <c r="B153" s="89" t="s">
        <v>1027</v>
      </c>
      <c r="C153" s="72" t="s">
        <v>4</v>
      </c>
      <c r="D153" s="73" t="s">
        <v>43</v>
      </c>
      <c r="E153" s="74">
        <v>40500.605023148149</v>
      </c>
      <c r="F153" s="74"/>
      <c r="G153" s="75" t="str">
        <f>IF(stdProdLT(Main[[#This Row],[Comments]])=0.1,"N/A",IF(stdProdLT(Main[[#This Row],[Comments]])=0,"",stdProdLT(Main[[#This Row],[Comments]])))</f>
        <v/>
      </c>
      <c r="H153" s="76" t="str">
        <f>IF(AND(Main[[#This Row],[In Stock Date]]&lt;&gt;"",Main[[#This Row],[Revised Due Date]]&lt;&gt;""),Main[[#This Row],[In Stock Date]]-Main[[#This Row],[Revised Due Date]],"")</f>
        <v/>
      </c>
      <c r="I153" s="72" t="s">
        <v>4</v>
      </c>
      <c r="J153" s="72" t="s">
        <v>4</v>
      </c>
      <c r="K153" s="72" t="s">
        <v>4</v>
      </c>
      <c r="L153" s="74"/>
      <c r="M153" s="77" t="str">
        <f>IF(Main[[#This Row],[Tech Start Date]]&lt;1/1/1990,"",IF(Main[[#This Row],[Class]]="C",WORKDAY(Main[[#This Row],[Tech Start Date]],9),IF(Main[[#This Row],[Class]]="B", WORKDAY(Main[[#This Row],[Tech Start Date]],6),IF(Main[[#This Row],[Class]]="A",WORKDAY(Main[[#This Row],[Tech Start Date]],2),""))))</f>
        <v/>
      </c>
      <c r="N153" s="77" t="str">
        <f>IF(Main[[#This Row],[Tech Start Date]]&lt;1/1/1990,"",IF(Main[[#This Row],[Class]]="C",WORKDAY(Main[[#This Row],[Tech Start Date]],19),IF(Main[[#This Row],[Class]]="B", WORKDAY(Main[[#This Row],[Tech Start Date]],12),IF(Main[[#This Row],[Class]]="A",WORKDAY(Main[[#This Row],[Tech Start Date]],4),""))))</f>
        <v/>
      </c>
      <c r="O153" s="77" t="str">
        <f>IF(Main[[#This Row],[Tech Start Date]]&lt;1/1/1990,"",IF(Main[[#This Row],[Class]]="C",WORKDAY(Main[[#This Row],[Tech Start Date]],23),IF(Main[[#This Row],[Class]]="B", WORKDAY(Main[[#This Row],[Tech Start Date]],15),IF(Main[[#This Row],[Class]]="A",WORKDAY(Main[[#This Row],[Tech Start Date]],5),""))))</f>
        <v/>
      </c>
      <c r="P153" s="77" t="str">
        <f>IF(Main[[#This Row],[Tech Start Date]]&lt;1/1/1990,"",IF(Main[[#This Row],[Class]]="C",WORKDAY(Main[[#This Row],[Tech Start Date]],28),IF(Main[[#This Row],[Class]]="B", WORKDAY(Main[[#This Row],[Tech Start Date]],19),IF(Main[[#This Row],[Class]]="A",WORKDAY(Main[[#This Row],[Tech Start Date]],9),""))))</f>
        <v/>
      </c>
      <c r="Q153" s="74">
        <v>40519</v>
      </c>
      <c r="R153" s="74"/>
      <c r="S153" s="72" t="s">
        <v>4</v>
      </c>
      <c r="T153" s="80" t="s">
        <v>4</v>
      </c>
      <c r="U153" s="72" t="s">
        <v>7</v>
      </c>
      <c r="V153" s="72" t="s">
        <v>1917</v>
      </c>
      <c r="W153" s="72" t="s">
        <v>4</v>
      </c>
      <c r="X153" s="72" t="s">
        <v>2827</v>
      </c>
      <c r="Y153" s="72" t="s">
        <v>2942</v>
      </c>
      <c r="Z153" s="72" t="s">
        <v>4</v>
      </c>
      <c r="AA153" s="146" t="s">
        <v>2827</v>
      </c>
    </row>
    <row r="154" spans="1:27" ht="18.600000000000001" customHeight="1">
      <c r="A154" s="139" t="str">
        <f>IF(priority(Main[[#This Row],[Comments]])&lt;&gt;0, priority(Main[[#This Row],[Comments]]),"")</f>
        <v/>
      </c>
      <c r="B154" s="89" t="s">
        <v>1029</v>
      </c>
      <c r="C154" s="72" t="s">
        <v>4</v>
      </c>
      <c r="D154" s="73" t="s">
        <v>45</v>
      </c>
      <c r="E154" s="74">
        <v>40486.407523148147</v>
      </c>
      <c r="F154" s="74"/>
      <c r="G154" s="75" t="str">
        <f>IF(stdProdLT(Main[[#This Row],[Comments]])=0.1,"N/A",IF(stdProdLT(Main[[#This Row],[Comments]])=0,"",stdProdLT(Main[[#This Row],[Comments]])))</f>
        <v/>
      </c>
      <c r="H154" s="76" t="str">
        <f>IF(AND(Main[[#This Row],[In Stock Date]]&lt;&gt;"",Main[[#This Row],[Revised Due Date]]&lt;&gt;""),Main[[#This Row],[In Stock Date]]-Main[[#This Row],[Revised Due Date]],"")</f>
        <v/>
      </c>
      <c r="I154" s="72" t="s">
        <v>4</v>
      </c>
      <c r="J154" s="72" t="s">
        <v>4</v>
      </c>
      <c r="K154" s="81" t="s">
        <v>4</v>
      </c>
      <c r="L154" s="74"/>
      <c r="M154" s="77" t="str">
        <f>IF(Main[[#This Row],[Tech Start Date]]&lt;1/1/1990,"",IF(Main[[#This Row],[Class]]="C",WORKDAY(Main[[#This Row],[Tech Start Date]],9),IF(Main[[#This Row],[Class]]="B", WORKDAY(Main[[#This Row],[Tech Start Date]],6),IF(Main[[#This Row],[Class]]="A",WORKDAY(Main[[#This Row],[Tech Start Date]],2),""))))</f>
        <v/>
      </c>
      <c r="N154" s="77" t="str">
        <f>IF(Main[[#This Row],[Tech Start Date]]&lt;1/1/1990,"",IF(Main[[#This Row],[Class]]="C",WORKDAY(Main[[#This Row],[Tech Start Date]],19),IF(Main[[#This Row],[Class]]="B", WORKDAY(Main[[#This Row],[Tech Start Date]],12),IF(Main[[#This Row],[Class]]="A",WORKDAY(Main[[#This Row],[Tech Start Date]],4),""))))</f>
        <v/>
      </c>
      <c r="O154" s="77" t="str">
        <f>IF(Main[[#This Row],[Tech Start Date]]&lt;1/1/1990,"",IF(Main[[#This Row],[Class]]="C",WORKDAY(Main[[#This Row],[Tech Start Date]],23),IF(Main[[#This Row],[Class]]="B", WORKDAY(Main[[#This Row],[Tech Start Date]],15),IF(Main[[#This Row],[Class]]="A",WORKDAY(Main[[#This Row],[Tech Start Date]],5),""))))</f>
        <v/>
      </c>
      <c r="P154" s="77" t="str">
        <f>IF(Main[[#This Row],[Tech Start Date]]&lt;1/1/1990,"",IF(Main[[#This Row],[Class]]="C",WORKDAY(Main[[#This Row],[Tech Start Date]],28),IF(Main[[#This Row],[Class]]="B", WORKDAY(Main[[#This Row],[Tech Start Date]],19),IF(Main[[#This Row],[Class]]="A",WORKDAY(Main[[#This Row],[Tech Start Date]],9),""))))</f>
        <v/>
      </c>
      <c r="Q154" s="74">
        <v>40522</v>
      </c>
      <c r="R154" s="74"/>
      <c r="S154" s="72" t="s">
        <v>6</v>
      </c>
      <c r="T154" s="80" t="s">
        <v>4</v>
      </c>
      <c r="U154" s="72" t="s">
        <v>7</v>
      </c>
      <c r="V154" s="72" t="s">
        <v>1917</v>
      </c>
      <c r="W154" s="72" t="s">
        <v>4</v>
      </c>
      <c r="X154" s="72" t="s">
        <v>2824</v>
      </c>
      <c r="Y154" s="72" t="s">
        <v>2935</v>
      </c>
      <c r="Z154" s="72" t="s">
        <v>4</v>
      </c>
      <c r="AA154" s="146" t="s">
        <v>2824</v>
      </c>
    </row>
    <row r="155" spans="1:27" ht="18.600000000000001" customHeight="1">
      <c r="A155" s="139" t="str">
        <f>IF(priority(Main[[#This Row],[Comments]])&lt;&gt;0, priority(Main[[#This Row],[Comments]]),"")</f>
        <v/>
      </c>
      <c r="B155" s="89" t="s">
        <v>1031</v>
      </c>
      <c r="C155" s="72" t="s">
        <v>47</v>
      </c>
      <c r="D155" s="73" t="s">
        <v>48</v>
      </c>
      <c r="E155" s="74"/>
      <c r="F155" s="74"/>
      <c r="G155" s="75" t="str">
        <f>IF(stdProdLT(Main[[#This Row],[Comments]])=0.1,"N/A",IF(stdProdLT(Main[[#This Row],[Comments]])=0,"",stdProdLT(Main[[#This Row],[Comments]])))</f>
        <v/>
      </c>
      <c r="H155" s="76" t="str">
        <f>IF(AND(Main[[#This Row],[In Stock Date]]&lt;&gt;"",Main[[#This Row],[Revised Due Date]]&lt;&gt;""),Main[[#This Row],[In Stock Date]]-Main[[#This Row],[Revised Due Date]],"")</f>
        <v/>
      </c>
      <c r="I155" s="72" t="s">
        <v>4</v>
      </c>
      <c r="J155" s="72" t="s">
        <v>4</v>
      </c>
      <c r="K155" s="72" t="s">
        <v>4</v>
      </c>
      <c r="L155" s="74"/>
      <c r="M155" s="77" t="str">
        <f>IF(Main[[#This Row],[Tech Start Date]]&lt;1/1/1990,"",IF(Main[[#This Row],[Class]]="C",WORKDAY(Main[[#This Row],[Tech Start Date]],9),IF(Main[[#This Row],[Class]]="B", WORKDAY(Main[[#This Row],[Tech Start Date]],6),IF(Main[[#This Row],[Class]]="A",WORKDAY(Main[[#This Row],[Tech Start Date]],2),""))))</f>
        <v/>
      </c>
      <c r="N155" s="77" t="str">
        <f>IF(Main[[#This Row],[Tech Start Date]]&lt;1/1/1990,"",IF(Main[[#This Row],[Class]]="C",WORKDAY(Main[[#This Row],[Tech Start Date]],19),IF(Main[[#This Row],[Class]]="B", WORKDAY(Main[[#This Row],[Tech Start Date]],12),IF(Main[[#This Row],[Class]]="A",WORKDAY(Main[[#This Row],[Tech Start Date]],4),""))))</f>
        <v/>
      </c>
      <c r="O155" s="77" t="str">
        <f>IF(Main[[#This Row],[Tech Start Date]]&lt;1/1/1990,"",IF(Main[[#This Row],[Class]]="C",WORKDAY(Main[[#This Row],[Tech Start Date]],23),IF(Main[[#This Row],[Class]]="B", WORKDAY(Main[[#This Row],[Tech Start Date]],15),IF(Main[[#This Row],[Class]]="A",WORKDAY(Main[[#This Row],[Tech Start Date]],5),""))))</f>
        <v/>
      </c>
      <c r="P155" s="77" t="str">
        <f>IF(Main[[#This Row],[Tech Start Date]]&lt;1/1/1990,"",IF(Main[[#This Row],[Class]]="C",WORKDAY(Main[[#This Row],[Tech Start Date]],28),IF(Main[[#This Row],[Class]]="B", WORKDAY(Main[[#This Row],[Tech Start Date]],19),IF(Main[[#This Row],[Class]]="A",WORKDAY(Main[[#This Row],[Tech Start Date]],9),""))))</f>
        <v/>
      </c>
      <c r="Q155" s="74"/>
      <c r="R155" s="74"/>
      <c r="S155" s="72" t="s">
        <v>49</v>
      </c>
      <c r="T155" s="80" t="s">
        <v>4</v>
      </c>
      <c r="U155" s="72" t="s">
        <v>14</v>
      </c>
      <c r="V155" s="72" t="s">
        <v>1920</v>
      </c>
      <c r="W155" s="72" t="s">
        <v>1921</v>
      </c>
      <c r="X155" s="72" t="s">
        <v>306</v>
      </c>
      <c r="Y155" s="72" t="s">
        <v>2947</v>
      </c>
      <c r="Z155" s="72" t="s">
        <v>4</v>
      </c>
      <c r="AA155" s="146" t="s">
        <v>3388</v>
      </c>
    </row>
    <row r="156" spans="1:27" ht="18.600000000000001" customHeight="1">
      <c r="A156" s="139" t="str">
        <f>IF(priority(Main[[#This Row],[Comments]])&lt;&gt;0, priority(Main[[#This Row],[Comments]]),"")</f>
        <v/>
      </c>
      <c r="B156" s="89" t="s">
        <v>1045</v>
      </c>
      <c r="C156" s="72" t="s">
        <v>67</v>
      </c>
      <c r="D156" s="73" t="s">
        <v>68</v>
      </c>
      <c r="E156" s="74"/>
      <c r="F156" s="74"/>
      <c r="G156" s="75" t="str">
        <f>IF(stdProdLT(Main[[#This Row],[Comments]])=0.1,"N/A",IF(stdProdLT(Main[[#This Row],[Comments]])=0,"",stdProdLT(Main[[#This Row],[Comments]])))</f>
        <v/>
      </c>
      <c r="H156" s="76" t="str">
        <f>IF(AND(Main[[#This Row],[In Stock Date]]&lt;&gt;"",Main[[#This Row],[Revised Due Date]]&lt;&gt;""),Main[[#This Row],[In Stock Date]]-Main[[#This Row],[Revised Due Date]],"")</f>
        <v/>
      </c>
      <c r="I156" s="72" t="s">
        <v>4</v>
      </c>
      <c r="J156" s="72" t="s">
        <v>4</v>
      </c>
      <c r="K156" s="81" t="s">
        <v>4</v>
      </c>
      <c r="L156" s="74"/>
      <c r="M156" s="77" t="str">
        <f>IF(Main[[#This Row],[Tech Start Date]]&lt;1/1/1990,"",IF(Main[[#This Row],[Class]]="C",WORKDAY(Main[[#This Row],[Tech Start Date]],9),IF(Main[[#This Row],[Class]]="B", WORKDAY(Main[[#This Row],[Tech Start Date]],6),IF(Main[[#This Row],[Class]]="A",WORKDAY(Main[[#This Row],[Tech Start Date]],2),""))))</f>
        <v/>
      </c>
      <c r="N156" s="77" t="str">
        <f>IF(Main[[#This Row],[Tech Start Date]]&lt;1/1/1990,"",IF(Main[[#This Row],[Class]]="C",WORKDAY(Main[[#This Row],[Tech Start Date]],19),IF(Main[[#This Row],[Class]]="B", WORKDAY(Main[[#This Row],[Tech Start Date]],12),IF(Main[[#This Row],[Class]]="A",WORKDAY(Main[[#This Row],[Tech Start Date]],4),""))))</f>
        <v/>
      </c>
      <c r="O156" s="77" t="str">
        <f>IF(Main[[#This Row],[Tech Start Date]]&lt;1/1/1990,"",IF(Main[[#This Row],[Class]]="C",WORKDAY(Main[[#This Row],[Tech Start Date]],23),IF(Main[[#This Row],[Class]]="B", WORKDAY(Main[[#This Row],[Tech Start Date]],15),IF(Main[[#This Row],[Class]]="A",WORKDAY(Main[[#This Row],[Tech Start Date]],5),""))))</f>
        <v/>
      </c>
      <c r="P156" s="77" t="str">
        <f>IF(Main[[#This Row],[Tech Start Date]]&lt;1/1/1990,"",IF(Main[[#This Row],[Class]]="C",WORKDAY(Main[[#This Row],[Tech Start Date]],28),IF(Main[[#This Row],[Class]]="B", WORKDAY(Main[[#This Row],[Tech Start Date]],19),IF(Main[[#This Row],[Class]]="A",WORKDAY(Main[[#This Row],[Tech Start Date]],9),""))))</f>
        <v/>
      </c>
      <c r="Q156" s="74">
        <v>40298</v>
      </c>
      <c r="R156" s="74"/>
      <c r="S156" s="72" t="s">
        <v>17</v>
      </c>
      <c r="T156" s="80" t="s">
        <v>4</v>
      </c>
      <c r="U156" s="72" t="s">
        <v>14</v>
      </c>
      <c r="V156" s="72" t="s">
        <v>1920</v>
      </c>
      <c r="W156" s="72" t="s">
        <v>1925</v>
      </c>
      <c r="X156" s="72" t="s">
        <v>306</v>
      </c>
      <c r="Y156" s="72" t="s">
        <v>2955</v>
      </c>
      <c r="Z156" s="72" t="s">
        <v>4</v>
      </c>
      <c r="AA156" s="146" t="s">
        <v>415</v>
      </c>
    </row>
    <row r="157" spans="1:27" ht="18.600000000000001" customHeight="1">
      <c r="A157" s="139" t="str">
        <f>IF(priority(Main[[#This Row],[Comments]])&lt;&gt;0, priority(Main[[#This Row],[Comments]]),"")</f>
        <v/>
      </c>
      <c r="B157" s="89" t="s">
        <v>1278</v>
      </c>
      <c r="C157" s="72" t="s">
        <v>4</v>
      </c>
      <c r="D157" s="73" t="s">
        <v>2331</v>
      </c>
      <c r="E157" s="74">
        <v>40578.5078587963</v>
      </c>
      <c r="F157" s="74"/>
      <c r="G157" s="75" t="str">
        <f>IF(stdProdLT(Main[[#This Row],[Comments]])=0.1,"N/A",IF(stdProdLT(Main[[#This Row],[Comments]])=0,"",stdProdLT(Main[[#This Row],[Comments]])))</f>
        <v/>
      </c>
      <c r="H157" s="76" t="str">
        <f>IF(AND(Main[[#This Row],[In Stock Date]]&lt;&gt;"",Main[[#This Row],[Revised Due Date]]&lt;&gt;""),Main[[#This Row],[In Stock Date]]-Main[[#This Row],[Revised Due Date]],"")</f>
        <v/>
      </c>
      <c r="I157" s="72" t="s">
        <v>914</v>
      </c>
      <c r="J157" s="72" t="s">
        <v>52</v>
      </c>
      <c r="K157" s="72" t="s">
        <v>4</v>
      </c>
      <c r="L157" s="74"/>
      <c r="M157" s="77" t="str">
        <f>IF(Main[[#This Row],[Tech Start Date]]&lt;1/1/1990,"",IF(Main[[#This Row],[Class]]="C",WORKDAY(Main[[#This Row],[Tech Start Date]],9),IF(Main[[#This Row],[Class]]="B", WORKDAY(Main[[#This Row],[Tech Start Date]],6),IF(Main[[#This Row],[Class]]="A",WORKDAY(Main[[#This Row],[Tech Start Date]],2),""))))</f>
        <v/>
      </c>
      <c r="N157" s="77" t="str">
        <f>IF(Main[[#This Row],[Tech Start Date]]&lt;1/1/1990,"",IF(Main[[#This Row],[Class]]="C",WORKDAY(Main[[#This Row],[Tech Start Date]],19),IF(Main[[#This Row],[Class]]="B", WORKDAY(Main[[#This Row],[Tech Start Date]],12),IF(Main[[#This Row],[Class]]="A",WORKDAY(Main[[#This Row],[Tech Start Date]],4),""))))</f>
        <v/>
      </c>
      <c r="O157" s="77" t="str">
        <f>IF(Main[[#This Row],[Tech Start Date]]&lt;1/1/1990,"",IF(Main[[#This Row],[Class]]="C",WORKDAY(Main[[#This Row],[Tech Start Date]],23),IF(Main[[#This Row],[Class]]="B", WORKDAY(Main[[#This Row],[Tech Start Date]],15),IF(Main[[#This Row],[Class]]="A",WORKDAY(Main[[#This Row],[Tech Start Date]],5),""))))</f>
        <v/>
      </c>
      <c r="P157" s="77" t="str">
        <f>IF(Main[[#This Row],[Tech Start Date]]&lt;1/1/1990,"",IF(Main[[#This Row],[Class]]="C",WORKDAY(Main[[#This Row],[Tech Start Date]],28),IF(Main[[#This Row],[Class]]="B", WORKDAY(Main[[#This Row],[Tech Start Date]],19),IF(Main[[#This Row],[Class]]="A",WORKDAY(Main[[#This Row],[Tech Start Date]],9),""))))</f>
        <v/>
      </c>
      <c r="Q157" s="74">
        <v>40592</v>
      </c>
      <c r="R157" s="74"/>
      <c r="S157" s="72" t="s">
        <v>6</v>
      </c>
      <c r="T157" s="80" t="s">
        <v>4</v>
      </c>
      <c r="U157" s="72" t="s">
        <v>29</v>
      </c>
      <c r="V157" s="72" t="s">
        <v>1917</v>
      </c>
      <c r="W157" s="72" t="s">
        <v>1921</v>
      </c>
      <c r="X157" s="72" t="s">
        <v>2834</v>
      </c>
      <c r="Y157" s="72" t="s">
        <v>2956</v>
      </c>
      <c r="Z157" s="72" t="s">
        <v>4</v>
      </c>
      <c r="AA157" s="146" t="s">
        <v>2834</v>
      </c>
    </row>
    <row r="158" spans="1:27" ht="18.600000000000001" customHeight="1">
      <c r="A158" s="139" t="str">
        <f>IF(priority(Main[[#This Row],[Comments]])&lt;&gt;0, priority(Main[[#This Row],[Comments]]),"")</f>
        <v/>
      </c>
      <c r="B158" s="89" t="s">
        <v>1046</v>
      </c>
      <c r="C158" s="72" t="s">
        <v>4</v>
      </c>
      <c r="D158" s="73" t="s">
        <v>71</v>
      </c>
      <c r="E158" s="74"/>
      <c r="F158" s="74"/>
      <c r="G158" s="75" t="str">
        <f>IF(stdProdLT(Main[[#This Row],[Comments]])=0.1,"N/A",IF(stdProdLT(Main[[#This Row],[Comments]])=0,"",stdProdLT(Main[[#This Row],[Comments]])))</f>
        <v/>
      </c>
      <c r="H158" s="76" t="str">
        <f>IF(AND(Main[[#This Row],[In Stock Date]]&lt;&gt;"",Main[[#This Row],[Revised Due Date]]&lt;&gt;""),Main[[#This Row],[In Stock Date]]-Main[[#This Row],[Revised Due Date]],"")</f>
        <v/>
      </c>
      <c r="I158" s="72" t="s">
        <v>4</v>
      </c>
      <c r="J158" s="72" t="s">
        <v>4</v>
      </c>
      <c r="K158" s="81" t="s">
        <v>4</v>
      </c>
      <c r="L158" s="74"/>
      <c r="M158" s="77" t="str">
        <f>IF(Main[[#This Row],[Tech Start Date]]&lt;1/1/1990,"",IF(Main[[#This Row],[Class]]="C",WORKDAY(Main[[#This Row],[Tech Start Date]],9),IF(Main[[#This Row],[Class]]="B", WORKDAY(Main[[#This Row],[Tech Start Date]],6),IF(Main[[#This Row],[Class]]="A",WORKDAY(Main[[#This Row],[Tech Start Date]],2),""))))</f>
        <v/>
      </c>
      <c r="N158" s="77" t="str">
        <f>IF(Main[[#This Row],[Tech Start Date]]&lt;1/1/1990,"",IF(Main[[#This Row],[Class]]="C",WORKDAY(Main[[#This Row],[Tech Start Date]],19),IF(Main[[#This Row],[Class]]="B", WORKDAY(Main[[#This Row],[Tech Start Date]],12),IF(Main[[#This Row],[Class]]="A",WORKDAY(Main[[#This Row],[Tech Start Date]],4),""))))</f>
        <v/>
      </c>
      <c r="O158" s="77" t="str">
        <f>IF(Main[[#This Row],[Tech Start Date]]&lt;1/1/1990,"",IF(Main[[#This Row],[Class]]="C",WORKDAY(Main[[#This Row],[Tech Start Date]],23),IF(Main[[#This Row],[Class]]="B", WORKDAY(Main[[#This Row],[Tech Start Date]],15),IF(Main[[#This Row],[Class]]="A",WORKDAY(Main[[#This Row],[Tech Start Date]],5),""))))</f>
        <v/>
      </c>
      <c r="P158" s="77" t="str">
        <f>IF(Main[[#This Row],[Tech Start Date]]&lt;1/1/1990,"",IF(Main[[#This Row],[Class]]="C",WORKDAY(Main[[#This Row],[Tech Start Date]],28),IF(Main[[#This Row],[Class]]="B", WORKDAY(Main[[#This Row],[Tech Start Date]],19),IF(Main[[#This Row],[Class]]="A",WORKDAY(Main[[#This Row],[Tech Start Date]],9),""))))</f>
        <v/>
      </c>
      <c r="Q158" s="74"/>
      <c r="R158" s="74"/>
      <c r="S158" s="72" t="s">
        <v>23</v>
      </c>
      <c r="T158" s="80" t="s">
        <v>4</v>
      </c>
      <c r="U158" s="72" t="s">
        <v>14</v>
      </c>
      <c r="V158" s="72" t="s">
        <v>1917</v>
      </c>
      <c r="W158" s="72" t="s">
        <v>1921</v>
      </c>
      <c r="X158" s="72" t="s">
        <v>399</v>
      </c>
      <c r="Y158" s="72" t="s">
        <v>4</v>
      </c>
      <c r="Z158" s="72" t="s">
        <v>4</v>
      </c>
      <c r="AA158" s="146" t="s">
        <v>3386</v>
      </c>
    </row>
    <row r="159" spans="1:27" ht="18.600000000000001" customHeight="1">
      <c r="A159" s="139" t="str">
        <f>IF(priority(Main[[#This Row],[Comments]])&lt;&gt;0, priority(Main[[#This Row],[Comments]]),"")</f>
        <v/>
      </c>
      <c r="B159" s="89" t="s">
        <v>1013</v>
      </c>
      <c r="C159" s="72" t="s">
        <v>15</v>
      </c>
      <c r="D159" s="73" t="s">
        <v>16</v>
      </c>
      <c r="E159" s="74">
        <v>40611.379872685182</v>
      </c>
      <c r="F159" s="74"/>
      <c r="G159" s="75" t="str">
        <f>IF(stdProdLT(Main[[#This Row],[Comments]])=0.1,"N/A",IF(stdProdLT(Main[[#This Row],[Comments]])=0,"",stdProdLT(Main[[#This Row],[Comments]])))</f>
        <v/>
      </c>
      <c r="H159" s="76" t="str">
        <f>IF(AND(Main[[#This Row],[In Stock Date]]&lt;&gt;"",Main[[#This Row],[Revised Due Date]]&lt;&gt;""),Main[[#This Row],[In Stock Date]]-Main[[#This Row],[Revised Due Date]],"")</f>
        <v/>
      </c>
      <c r="I159" s="72" t="s">
        <v>4</v>
      </c>
      <c r="J159" s="72" t="s">
        <v>4</v>
      </c>
      <c r="K159" s="72" t="s">
        <v>4</v>
      </c>
      <c r="L159" s="74"/>
      <c r="M159" s="77" t="str">
        <f>IF(Main[[#This Row],[Tech Start Date]]&lt;1/1/1990,"",IF(Main[[#This Row],[Class]]="C",WORKDAY(Main[[#This Row],[Tech Start Date]],9),IF(Main[[#This Row],[Class]]="B", WORKDAY(Main[[#This Row],[Tech Start Date]],6),IF(Main[[#This Row],[Class]]="A",WORKDAY(Main[[#This Row],[Tech Start Date]],2),""))))</f>
        <v/>
      </c>
      <c r="N159" s="77" t="str">
        <f>IF(Main[[#This Row],[Tech Start Date]]&lt;1/1/1990,"",IF(Main[[#This Row],[Class]]="C",WORKDAY(Main[[#This Row],[Tech Start Date]],19),IF(Main[[#This Row],[Class]]="B", WORKDAY(Main[[#This Row],[Tech Start Date]],12),IF(Main[[#This Row],[Class]]="A",WORKDAY(Main[[#This Row],[Tech Start Date]],4),""))))</f>
        <v/>
      </c>
      <c r="O159" s="77" t="str">
        <f>IF(Main[[#This Row],[Tech Start Date]]&lt;1/1/1990,"",IF(Main[[#This Row],[Class]]="C",WORKDAY(Main[[#This Row],[Tech Start Date]],23),IF(Main[[#This Row],[Class]]="B", WORKDAY(Main[[#This Row],[Tech Start Date]],15),IF(Main[[#This Row],[Class]]="A",WORKDAY(Main[[#This Row],[Tech Start Date]],5),""))))</f>
        <v/>
      </c>
      <c r="P159" s="77" t="str">
        <f>IF(Main[[#This Row],[Tech Start Date]]&lt;1/1/1990,"",IF(Main[[#This Row],[Class]]="C",WORKDAY(Main[[#This Row],[Tech Start Date]],28),IF(Main[[#This Row],[Class]]="B", WORKDAY(Main[[#This Row],[Tech Start Date]],19),IF(Main[[#This Row],[Class]]="A",WORKDAY(Main[[#This Row],[Tech Start Date]],9),""))))</f>
        <v/>
      </c>
      <c r="Q159" s="74">
        <v>40695</v>
      </c>
      <c r="R159" s="74"/>
      <c r="S159" s="72" t="s">
        <v>17</v>
      </c>
      <c r="T159" s="80" t="s">
        <v>4</v>
      </c>
      <c r="U159" s="72" t="s">
        <v>7</v>
      </c>
      <c r="V159" s="72" t="s">
        <v>1920</v>
      </c>
      <c r="W159" s="72" t="s">
        <v>1922</v>
      </c>
      <c r="X159" s="72" t="s">
        <v>554</v>
      </c>
      <c r="Y159" s="72" t="s">
        <v>2958</v>
      </c>
      <c r="Z159" s="72" t="s">
        <v>4</v>
      </c>
      <c r="AA159" s="146" t="s">
        <v>554</v>
      </c>
    </row>
    <row r="160" spans="1:27" ht="18.600000000000001" customHeight="1">
      <c r="A160" s="155" t="str">
        <f>IF(priority(Main[[#This Row],[Comments]])&lt;&gt;0, priority(Main[[#This Row],[Comments]]),"")</f>
        <v/>
      </c>
      <c r="B160" s="156" t="s">
        <v>2171</v>
      </c>
      <c r="C160" s="157" t="s">
        <v>2163</v>
      </c>
      <c r="D160" s="158" t="s">
        <v>3255</v>
      </c>
      <c r="E160" s="160">
        <v>40781.402488425927</v>
      </c>
      <c r="F160" s="160"/>
      <c r="G160" s="162" t="str">
        <f>IF(stdProdLT(Main[[#This Row],[Comments]])=0.1,"N/A",IF(stdProdLT(Main[[#This Row],[Comments]])=0,"",stdProdLT(Main[[#This Row],[Comments]])))</f>
        <v/>
      </c>
      <c r="H160" s="164" t="str">
        <f>IF(AND(Main[[#This Row],[In Stock Date]]&lt;&gt;"",Main[[#This Row],[Revised Due Date]]&lt;&gt;""),Main[[#This Row],[In Stock Date]]-Main[[#This Row],[Revised Due Date]],"")</f>
        <v/>
      </c>
      <c r="I160" s="157" t="s">
        <v>429</v>
      </c>
      <c r="J160" s="157" t="s">
        <v>70</v>
      </c>
      <c r="K160" s="157" t="s">
        <v>1926</v>
      </c>
      <c r="L160" s="160"/>
      <c r="M160" s="167" t="str">
        <f>IF(Main[[#This Row],[Tech Start Date]]&lt;1/1/1990,"",IF(Main[[#This Row],[Class]]="C",WORKDAY(Main[[#This Row],[Tech Start Date]],9),IF(Main[[#This Row],[Class]]="B", WORKDAY(Main[[#This Row],[Tech Start Date]],6),IF(Main[[#This Row],[Class]]="A",WORKDAY(Main[[#This Row],[Tech Start Date]],2),""))))</f>
        <v/>
      </c>
      <c r="N160" s="167" t="str">
        <f>IF(Main[[#This Row],[Tech Start Date]]&lt;1/1/1990,"",IF(Main[[#This Row],[Class]]="C",WORKDAY(Main[[#This Row],[Tech Start Date]],19),IF(Main[[#This Row],[Class]]="B", WORKDAY(Main[[#This Row],[Tech Start Date]],12),IF(Main[[#This Row],[Class]]="A",WORKDAY(Main[[#This Row],[Tech Start Date]],4),""))))</f>
        <v/>
      </c>
      <c r="O160" s="167" t="str">
        <f>IF(Main[[#This Row],[Tech Start Date]]&lt;1/1/1990,"",IF(Main[[#This Row],[Class]]="C",WORKDAY(Main[[#This Row],[Tech Start Date]],23),IF(Main[[#This Row],[Class]]="B", WORKDAY(Main[[#This Row],[Tech Start Date]],15),IF(Main[[#This Row],[Class]]="A",WORKDAY(Main[[#This Row],[Tech Start Date]],5),""))))</f>
        <v/>
      </c>
      <c r="P160" s="167" t="str">
        <f>IF(Main[[#This Row],[Tech Start Date]]&lt;1/1/1990,"",IF(Main[[#This Row],[Class]]="C",WORKDAY(Main[[#This Row],[Tech Start Date]],28),IF(Main[[#This Row],[Class]]="B", WORKDAY(Main[[#This Row],[Tech Start Date]],19),IF(Main[[#This Row],[Class]]="A",WORKDAY(Main[[#This Row],[Tech Start Date]],9),""))))</f>
        <v/>
      </c>
      <c r="Q160" s="160">
        <v>40836</v>
      </c>
      <c r="R160" s="160"/>
      <c r="S160" s="157" t="s">
        <v>6</v>
      </c>
      <c r="T160" s="171" t="s">
        <v>4</v>
      </c>
      <c r="U160" s="157" t="s">
        <v>29</v>
      </c>
      <c r="V160" s="157" t="s">
        <v>1920</v>
      </c>
      <c r="W160" s="157" t="s">
        <v>1921</v>
      </c>
      <c r="X160" s="157" t="s">
        <v>2842</v>
      </c>
      <c r="Y160" s="157" t="s">
        <v>2971</v>
      </c>
      <c r="Z160" s="157" t="s">
        <v>30</v>
      </c>
      <c r="AA160" s="153" t="s">
        <v>2842</v>
      </c>
    </row>
    <row r="161" spans="1:27" ht="18.600000000000001" customHeight="1">
      <c r="A161" s="139" t="str">
        <f>IF(priority(Main[[#This Row],[Comments]])&lt;&gt;0, priority(Main[[#This Row],[Comments]]),"")</f>
        <v/>
      </c>
      <c r="B161" s="89" t="s">
        <v>1048</v>
      </c>
      <c r="C161" s="72" t="s">
        <v>31</v>
      </c>
      <c r="D161" s="73" t="s">
        <v>77</v>
      </c>
      <c r="E161" s="74"/>
      <c r="F161" s="74">
        <v>40512</v>
      </c>
      <c r="G161" s="75" t="str">
        <f>IF(stdProdLT(Main[[#This Row],[Comments]])=0.1,"N/A",IF(stdProdLT(Main[[#This Row],[Comments]])=0,"",stdProdLT(Main[[#This Row],[Comments]])))</f>
        <v/>
      </c>
      <c r="H161" s="76" t="str">
        <f>IF(AND(Main[[#This Row],[In Stock Date]]&lt;&gt;"",Main[[#This Row],[Revised Due Date]]&lt;&gt;""),Main[[#This Row],[In Stock Date]]-Main[[#This Row],[Revised Due Date]],"")</f>
        <v/>
      </c>
      <c r="I161" s="72" t="s">
        <v>4</v>
      </c>
      <c r="J161" s="72" t="s">
        <v>4</v>
      </c>
      <c r="K161" s="72" t="s">
        <v>4</v>
      </c>
      <c r="L161" s="74"/>
      <c r="M161" s="77" t="str">
        <f>IF(Main[[#This Row],[Tech Start Date]]&lt;1/1/1990,"",IF(Main[[#This Row],[Class]]="C",WORKDAY(Main[[#This Row],[Tech Start Date]],9),IF(Main[[#This Row],[Class]]="B", WORKDAY(Main[[#This Row],[Tech Start Date]],6),IF(Main[[#This Row],[Class]]="A",WORKDAY(Main[[#This Row],[Tech Start Date]],2),""))))</f>
        <v/>
      </c>
      <c r="N161" s="77" t="str">
        <f>IF(Main[[#This Row],[Tech Start Date]]&lt;1/1/1990,"",IF(Main[[#This Row],[Class]]="C",WORKDAY(Main[[#This Row],[Tech Start Date]],19),IF(Main[[#This Row],[Class]]="B", WORKDAY(Main[[#This Row],[Tech Start Date]],12),IF(Main[[#This Row],[Class]]="A",WORKDAY(Main[[#This Row],[Tech Start Date]],4),""))))</f>
        <v/>
      </c>
      <c r="O161" s="77" t="str">
        <f>IF(Main[[#This Row],[Tech Start Date]]&lt;1/1/1990,"",IF(Main[[#This Row],[Class]]="C",WORKDAY(Main[[#This Row],[Tech Start Date]],23),IF(Main[[#This Row],[Class]]="B", WORKDAY(Main[[#This Row],[Tech Start Date]],15),IF(Main[[#This Row],[Class]]="A",WORKDAY(Main[[#This Row],[Tech Start Date]],5),""))))</f>
        <v/>
      </c>
      <c r="P161" s="77" t="str">
        <f>IF(Main[[#This Row],[Tech Start Date]]&lt;1/1/1990,"",IF(Main[[#This Row],[Class]]="C",WORKDAY(Main[[#This Row],[Tech Start Date]],28),IF(Main[[#This Row],[Class]]="B", WORKDAY(Main[[#This Row],[Tech Start Date]],19),IF(Main[[#This Row],[Class]]="A",WORKDAY(Main[[#This Row],[Tech Start Date]],9),""))))</f>
        <v/>
      </c>
      <c r="Q161" s="74">
        <v>40415</v>
      </c>
      <c r="R161" s="74"/>
      <c r="S161" s="72" t="s">
        <v>11</v>
      </c>
      <c r="T161" s="80" t="s">
        <v>4</v>
      </c>
      <c r="U161" s="72" t="s">
        <v>14</v>
      </c>
      <c r="V161" s="72" t="s">
        <v>1920</v>
      </c>
      <c r="W161" s="72" t="s">
        <v>1923</v>
      </c>
      <c r="X161" s="72" t="s">
        <v>2836</v>
      </c>
      <c r="Y161" s="72" t="s">
        <v>2959</v>
      </c>
      <c r="Z161" s="72" t="s">
        <v>4</v>
      </c>
      <c r="AA161" s="146" t="s">
        <v>2836</v>
      </c>
    </row>
    <row r="162" spans="1:27" ht="18.600000000000001" customHeight="1">
      <c r="A162" s="139" t="str">
        <f>IF(priority(Main[[#This Row],[Comments]])&lt;&gt;0, priority(Main[[#This Row],[Comments]]),"")</f>
        <v/>
      </c>
      <c r="B162" s="89" t="s">
        <v>1049</v>
      </c>
      <c r="C162" s="72" t="s">
        <v>4</v>
      </c>
      <c r="D162" s="73" t="s">
        <v>78</v>
      </c>
      <c r="E162" s="74"/>
      <c r="F162" s="74"/>
      <c r="G162" s="75" t="str">
        <f>IF(stdProdLT(Main[[#This Row],[Comments]])=0.1,"N/A",IF(stdProdLT(Main[[#This Row],[Comments]])=0,"",stdProdLT(Main[[#This Row],[Comments]])))</f>
        <v/>
      </c>
      <c r="H162" s="76" t="str">
        <f>IF(AND(Main[[#This Row],[In Stock Date]]&lt;&gt;"",Main[[#This Row],[Revised Due Date]]&lt;&gt;""),Main[[#This Row],[In Stock Date]]-Main[[#This Row],[Revised Due Date]],"")</f>
        <v/>
      </c>
      <c r="I162" s="72" t="s">
        <v>4</v>
      </c>
      <c r="J162" s="72" t="s">
        <v>4</v>
      </c>
      <c r="K162" s="81" t="s">
        <v>4</v>
      </c>
      <c r="L162" s="74"/>
      <c r="M162" s="77" t="str">
        <f>IF(Main[[#This Row],[Tech Start Date]]&lt;1/1/1990,"",IF(Main[[#This Row],[Class]]="C",WORKDAY(Main[[#This Row],[Tech Start Date]],9),IF(Main[[#This Row],[Class]]="B", WORKDAY(Main[[#This Row],[Tech Start Date]],6),IF(Main[[#This Row],[Class]]="A",WORKDAY(Main[[#This Row],[Tech Start Date]],2),""))))</f>
        <v/>
      </c>
      <c r="N162" s="77" t="str">
        <f>IF(Main[[#This Row],[Tech Start Date]]&lt;1/1/1990,"",IF(Main[[#This Row],[Class]]="C",WORKDAY(Main[[#This Row],[Tech Start Date]],19),IF(Main[[#This Row],[Class]]="B", WORKDAY(Main[[#This Row],[Tech Start Date]],12),IF(Main[[#This Row],[Class]]="A",WORKDAY(Main[[#This Row],[Tech Start Date]],4),""))))</f>
        <v/>
      </c>
      <c r="O162" s="77" t="str">
        <f>IF(Main[[#This Row],[Tech Start Date]]&lt;1/1/1990,"",IF(Main[[#This Row],[Class]]="C",WORKDAY(Main[[#This Row],[Tech Start Date]],23),IF(Main[[#This Row],[Class]]="B", WORKDAY(Main[[#This Row],[Tech Start Date]],15),IF(Main[[#This Row],[Class]]="A",WORKDAY(Main[[#This Row],[Tech Start Date]],5),""))))</f>
        <v/>
      </c>
      <c r="P162" s="77" t="str">
        <f>IF(Main[[#This Row],[Tech Start Date]]&lt;1/1/1990,"",IF(Main[[#This Row],[Class]]="C",WORKDAY(Main[[#This Row],[Tech Start Date]],28),IF(Main[[#This Row],[Class]]="B", WORKDAY(Main[[#This Row],[Tech Start Date]],19),IF(Main[[#This Row],[Class]]="A",WORKDAY(Main[[#This Row],[Tech Start Date]],9),""))))</f>
        <v/>
      </c>
      <c r="Q162" s="74"/>
      <c r="R162" s="74"/>
      <c r="S162" s="72" t="s">
        <v>49</v>
      </c>
      <c r="T162" s="80" t="s">
        <v>4</v>
      </c>
      <c r="U162" s="72" t="s">
        <v>14</v>
      </c>
      <c r="V162" s="72" t="s">
        <v>1917</v>
      </c>
      <c r="W162" s="72" t="s">
        <v>1921</v>
      </c>
      <c r="X162" s="72" t="s">
        <v>306</v>
      </c>
      <c r="Y162" s="72" t="s">
        <v>4</v>
      </c>
      <c r="Z162" s="72" t="s">
        <v>4</v>
      </c>
      <c r="AA162" s="146" t="s">
        <v>4</v>
      </c>
    </row>
    <row r="163" spans="1:27" ht="18.600000000000001" customHeight="1">
      <c r="A163" s="155" t="str">
        <f>IF(priority(Main[[#This Row],[Comments]])&lt;&gt;0, priority(Main[[#This Row],[Comments]]),"")</f>
        <v/>
      </c>
      <c r="B163" s="156" t="s">
        <v>2090</v>
      </c>
      <c r="C163" s="157" t="s">
        <v>2091</v>
      </c>
      <c r="D163" s="158" t="s">
        <v>2092</v>
      </c>
      <c r="E163" s="160"/>
      <c r="F163" s="160">
        <v>40831</v>
      </c>
      <c r="G163" s="162" t="str">
        <f>IF(stdProdLT(Main[[#This Row],[Comments]])=0.1,"N/A",IF(stdProdLT(Main[[#This Row],[Comments]])=0,"",stdProdLT(Main[[#This Row],[Comments]])))</f>
        <v/>
      </c>
      <c r="H163" s="164" t="str">
        <f>IF(AND(Main[[#This Row],[In Stock Date]]&lt;&gt;"",Main[[#This Row],[Revised Due Date]]&lt;&gt;""),Main[[#This Row],[In Stock Date]]-Main[[#This Row],[Revised Due Date]],"")</f>
        <v/>
      </c>
      <c r="I163" s="157" t="s">
        <v>4</v>
      </c>
      <c r="J163" s="157" t="s">
        <v>4</v>
      </c>
      <c r="K163" s="157" t="s">
        <v>4</v>
      </c>
      <c r="L163" s="160"/>
      <c r="M163" s="167" t="str">
        <f>IF(Main[[#This Row],[Tech Start Date]]&lt;1/1/1990,"",IF(Main[[#This Row],[Class]]="C",WORKDAY(Main[[#This Row],[Tech Start Date]],9),IF(Main[[#This Row],[Class]]="B", WORKDAY(Main[[#This Row],[Tech Start Date]],6),IF(Main[[#This Row],[Class]]="A",WORKDAY(Main[[#This Row],[Tech Start Date]],2),""))))</f>
        <v/>
      </c>
      <c r="N163" s="167" t="str">
        <f>IF(Main[[#This Row],[Tech Start Date]]&lt;1/1/1990,"",IF(Main[[#This Row],[Class]]="C",WORKDAY(Main[[#This Row],[Tech Start Date]],19),IF(Main[[#This Row],[Class]]="B", WORKDAY(Main[[#This Row],[Tech Start Date]],12),IF(Main[[#This Row],[Class]]="A",WORKDAY(Main[[#This Row],[Tech Start Date]],4),""))))</f>
        <v/>
      </c>
      <c r="O163" s="167" t="str">
        <f>IF(Main[[#This Row],[Tech Start Date]]&lt;1/1/1990,"",IF(Main[[#This Row],[Class]]="C",WORKDAY(Main[[#This Row],[Tech Start Date]],23),IF(Main[[#This Row],[Class]]="B", WORKDAY(Main[[#This Row],[Tech Start Date]],15),IF(Main[[#This Row],[Class]]="A",WORKDAY(Main[[#This Row],[Tech Start Date]],5),""))))</f>
        <v/>
      </c>
      <c r="P163" s="167" t="str">
        <f>IF(Main[[#This Row],[Tech Start Date]]&lt;1/1/1990,"",IF(Main[[#This Row],[Class]]="C",WORKDAY(Main[[#This Row],[Tech Start Date]],28),IF(Main[[#This Row],[Class]]="B", WORKDAY(Main[[#This Row],[Tech Start Date]],19),IF(Main[[#This Row],[Class]]="A",WORKDAY(Main[[#This Row],[Tech Start Date]],9),""))))</f>
        <v/>
      </c>
      <c r="Q163" s="160">
        <v>40786</v>
      </c>
      <c r="R163" s="160"/>
      <c r="S163" s="157" t="s">
        <v>11</v>
      </c>
      <c r="T163" s="171" t="s">
        <v>4</v>
      </c>
      <c r="U163" s="157" t="s">
        <v>12</v>
      </c>
      <c r="V163" s="157" t="s">
        <v>1920</v>
      </c>
      <c r="W163" s="157" t="s">
        <v>1925</v>
      </c>
      <c r="X163" s="157" t="s">
        <v>2837</v>
      </c>
      <c r="Y163" s="157" t="s">
        <v>2960</v>
      </c>
      <c r="Z163" s="157" t="s">
        <v>4</v>
      </c>
      <c r="AA163" s="153" t="s">
        <v>2837</v>
      </c>
    </row>
    <row r="164" spans="1:27" ht="18.600000000000001" customHeight="1">
      <c r="A164" s="139" t="str">
        <f>IF(priority(Main[[#This Row],[Comments]])&lt;&gt;0, priority(Main[[#This Row],[Comments]]),"")</f>
        <v/>
      </c>
      <c r="B164" s="89" t="s">
        <v>2216</v>
      </c>
      <c r="C164" s="72" t="s">
        <v>2217</v>
      </c>
      <c r="D164" s="73" t="s">
        <v>2218</v>
      </c>
      <c r="E164" s="74">
        <v>40798.585381944446</v>
      </c>
      <c r="F164" s="74">
        <v>40848</v>
      </c>
      <c r="G164" s="75" t="str">
        <f>IF(stdProdLT(Main[[#This Row],[Comments]])=0.1,"N/A",IF(stdProdLT(Main[[#This Row],[Comments]])=0,"",stdProdLT(Main[[#This Row],[Comments]])))</f>
        <v/>
      </c>
      <c r="H164" s="76" t="str">
        <f>IF(AND(Main[[#This Row],[In Stock Date]]&lt;&gt;"",Main[[#This Row],[Revised Due Date]]&lt;&gt;""),Main[[#This Row],[In Stock Date]]-Main[[#This Row],[Revised Due Date]],"")</f>
        <v/>
      </c>
      <c r="I164" s="72" t="s">
        <v>4</v>
      </c>
      <c r="J164" s="72" t="s">
        <v>4</v>
      </c>
      <c r="K164" s="72" t="s">
        <v>4</v>
      </c>
      <c r="L164" s="74"/>
      <c r="M164" s="77" t="str">
        <f>IF(Main[[#This Row],[Tech Start Date]]&lt;1/1/1990,"",IF(Main[[#This Row],[Class]]="C",WORKDAY(Main[[#This Row],[Tech Start Date]],9),IF(Main[[#This Row],[Class]]="B", WORKDAY(Main[[#This Row],[Tech Start Date]],6),IF(Main[[#This Row],[Class]]="A",WORKDAY(Main[[#This Row],[Tech Start Date]],2),""))))</f>
        <v/>
      </c>
      <c r="N164" s="77" t="str">
        <f>IF(Main[[#This Row],[Tech Start Date]]&lt;1/1/1990,"",IF(Main[[#This Row],[Class]]="C",WORKDAY(Main[[#This Row],[Tech Start Date]],19),IF(Main[[#This Row],[Class]]="B", WORKDAY(Main[[#This Row],[Tech Start Date]],12),IF(Main[[#This Row],[Class]]="A",WORKDAY(Main[[#This Row],[Tech Start Date]],4),""))))</f>
        <v/>
      </c>
      <c r="O164" s="77" t="str">
        <f>IF(Main[[#This Row],[Tech Start Date]]&lt;1/1/1990,"",IF(Main[[#This Row],[Class]]="C",WORKDAY(Main[[#This Row],[Tech Start Date]],23),IF(Main[[#This Row],[Class]]="B", WORKDAY(Main[[#This Row],[Tech Start Date]],15),IF(Main[[#This Row],[Class]]="A",WORKDAY(Main[[#This Row],[Tech Start Date]],5),""))))</f>
        <v/>
      </c>
      <c r="P164" s="77" t="str">
        <f>IF(Main[[#This Row],[Tech Start Date]]&lt;1/1/1990,"",IF(Main[[#This Row],[Class]]="C",WORKDAY(Main[[#This Row],[Tech Start Date]],28),IF(Main[[#This Row],[Class]]="B", WORKDAY(Main[[#This Row],[Tech Start Date]],19),IF(Main[[#This Row],[Class]]="A",WORKDAY(Main[[#This Row],[Tech Start Date]],9),""))))</f>
        <v/>
      </c>
      <c r="Q164" s="74"/>
      <c r="R164" s="74"/>
      <c r="S164" s="72" t="s">
        <v>49</v>
      </c>
      <c r="T164" s="80" t="s">
        <v>4</v>
      </c>
      <c r="U164" s="72" t="s">
        <v>7</v>
      </c>
      <c r="V164" s="72" t="s">
        <v>1917</v>
      </c>
      <c r="W164" s="72" t="s">
        <v>1922</v>
      </c>
      <c r="X164" s="72" t="s">
        <v>2838</v>
      </c>
      <c r="Y164" s="72" t="s">
        <v>2961</v>
      </c>
      <c r="Z164" s="72" t="s">
        <v>4</v>
      </c>
      <c r="AA164" s="146" t="s">
        <v>2838</v>
      </c>
    </row>
    <row r="165" spans="1:27" ht="18.600000000000001" customHeight="1">
      <c r="A165" s="139" t="str">
        <f>IF(priority(Main[[#This Row],[Comments]])&lt;&gt;0, priority(Main[[#This Row],[Comments]]),"")</f>
        <v/>
      </c>
      <c r="B165" s="89" t="s">
        <v>1050</v>
      </c>
      <c r="C165" s="72" t="s">
        <v>79</v>
      </c>
      <c r="D165" s="73" t="s">
        <v>80</v>
      </c>
      <c r="E165" s="74"/>
      <c r="F165" s="74"/>
      <c r="G165" s="75" t="str">
        <f>IF(stdProdLT(Main[[#This Row],[Comments]])=0.1,"N/A",IF(stdProdLT(Main[[#This Row],[Comments]])=0,"",stdProdLT(Main[[#This Row],[Comments]])))</f>
        <v/>
      </c>
      <c r="H165" s="76" t="str">
        <f>IF(AND(Main[[#This Row],[In Stock Date]]&lt;&gt;"",Main[[#This Row],[Revised Due Date]]&lt;&gt;""),Main[[#This Row],[In Stock Date]]-Main[[#This Row],[Revised Due Date]],"")</f>
        <v/>
      </c>
      <c r="I165" s="72" t="s">
        <v>81</v>
      </c>
      <c r="J165" s="72" t="s">
        <v>4</v>
      </c>
      <c r="K165" s="72" t="s">
        <v>4</v>
      </c>
      <c r="L165" s="74"/>
      <c r="M165" s="77" t="str">
        <f>IF(Main[[#This Row],[Tech Start Date]]&lt;1/1/1990,"",IF(Main[[#This Row],[Class]]="C",WORKDAY(Main[[#This Row],[Tech Start Date]],9),IF(Main[[#This Row],[Class]]="B", WORKDAY(Main[[#This Row],[Tech Start Date]],6),IF(Main[[#This Row],[Class]]="A",WORKDAY(Main[[#This Row],[Tech Start Date]],2),""))))</f>
        <v/>
      </c>
      <c r="N165" s="77" t="str">
        <f>IF(Main[[#This Row],[Tech Start Date]]&lt;1/1/1990,"",IF(Main[[#This Row],[Class]]="C",WORKDAY(Main[[#This Row],[Tech Start Date]],19),IF(Main[[#This Row],[Class]]="B", WORKDAY(Main[[#This Row],[Tech Start Date]],12),IF(Main[[#This Row],[Class]]="A",WORKDAY(Main[[#This Row],[Tech Start Date]],4),""))))</f>
        <v/>
      </c>
      <c r="O165" s="77" t="str">
        <f>IF(Main[[#This Row],[Tech Start Date]]&lt;1/1/1990,"",IF(Main[[#This Row],[Class]]="C",WORKDAY(Main[[#This Row],[Tech Start Date]],23),IF(Main[[#This Row],[Class]]="B", WORKDAY(Main[[#This Row],[Tech Start Date]],15),IF(Main[[#This Row],[Class]]="A",WORKDAY(Main[[#This Row],[Tech Start Date]],5),""))))</f>
        <v/>
      </c>
      <c r="P165" s="77" t="str">
        <f>IF(Main[[#This Row],[Tech Start Date]]&lt;1/1/1990,"",IF(Main[[#This Row],[Class]]="C",WORKDAY(Main[[#This Row],[Tech Start Date]],28),IF(Main[[#This Row],[Class]]="B", WORKDAY(Main[[#This Row],[Tech Start Date]],19),IF(Main[[#This Row],[Class]]="A",WORKDAY(Main[[#This Row],[Tech Start Date]],9),""))))</f>
        <v/>
      </c>
      <c r="Q165" s="74">
        <v>39986</v>
      </c>
      <c r="R165" s="74"/>
      <c r="S165" s="72" t="s">
        <v>11</v>
      </c>
      <c r="T165" s="80" t="s">
        <v>4</v>
      </c>
      <c r="U165" s="72" t="s">
        <v>14</v>
      </c>
      <c r="V165" s="72" t="s">
        <v>1920</v>
      </c>
      <c r="W165" s="72" t="s">
        <v>1928</v>
      </c>
      <c r="X165" s="72" t="s">
        <v>2826</v>
      </c>
      <c r="Y165" s="72" t="s">
        <v>2962</v>
      </c>
      <c r="Z165" s="72" t="s">
        <v>4</v>
      </c>
      <c r="AA165" s="146" t="s">
        <v>2867</v>
      </c>
    </row>
    <row r="166" spans="1:27" ht="18.600000000000001" customHeight="1">
      <c r="A166" s="139" t="str">
        <f>IF(priority(Main[[#This Row],[Comments]])&lt;&gt;0, priority(Main[[#This Row],[Comments]]),"")</f>
        <v/>
      </c>
      <c r="B166" s="89" t="s">
        <v>1051</v>
      </c>
      <c r="C166" s="72" t="s">
        <v>4</v>
      </c>
      <c r="D166" s="73" t="s">
        <v>82</v>
      </c>
      <c r="E166" s="74"/>
      <c r="F166" s="74"/>
      <c r="G166" s="75" t="str">
        <f>IF(stdProdLT(Main[[#This Row],[Comments]])=0.1,"N/A",IF(stdProdLT(Main[[#This Row],[Comments]])=0,"",stdProdLT(Main[[#This Row],[Comments]])))</f>
        <v/>
      </c>
      <c r="H166" s="76" t="str">
        <f>IF(AND(Main[[#This Row],[In Stock Date]]&lt;&gt;"",Main[[#This Row],[Revised Due Date]]&lt;&gt;""),Main[[#This Row],[In Stock Date]]-Main[[#This Row],[Revised Due Date]],"")</f>
        <v/>
      </c>
      <c r="I166" s="72" t="s">
        <v>4</v>
      </c>
      <c r="J166" s="72" t="s">
        <v>4</v>
      </c>
      <c r="K166" s="72" t="s">
        <v>4</v>
      </c>
      <c r="L166" s="74"/>
      <c r="M166" s="77" t="str">
        <f>IF(Main[[#This Row],[Tech Start Date]]&lt;1/1/1990,"",IF(Main[[#This Row],[Class]]="C",WORKDAY(Main[[#This Row],[Tech Start Date]],9),IF(Main[[#This Row],[Class]]="B", WORKDAY(Main[[#This Row],[Tech Start Date]],6),IF(Main[[#This Row],[Class]]="A",WORKDAY(Main[[#This Row],[Tech Start Date]],2),""))))</f>
        <v/>
      </c>
      <c r="N166" s="77" t="str">
        <f>IF(Main[[#This Row],[Tech Start Date]]&lt;1/1/1990,"",IF(Main[[#This Row],[Class]]="C",WORKDAY(Main[[#This Row],[Tech Start Date]],19),IF(Main[[#This Row],[Class]]="B", WORKDAY(Main[[#This Row],[Tech Start Date]],12),IF(Main[[#This Row],[Class]]="A",WORKDAY(Main[[#This Row],[Tech Start Date]],4),""))))</f>
        <v/>
      </c>
      <c r="O166" s="77" t="str">
        <f>IF(Main[[#This Row],[Tech Start Date]]&lt;1/1/1990,"",IF(Main[[#This Row],[Class]]="C",WORKDAY(Main[[#This Row],[Tech Start Date]],23),IF(Main[[#This Row],[Class]]="B", WORKDAY(Main[[#This Row],[Tech Start Date]],15),IF(Main[[#This Row],[Class]]="A",WORKDAY(Main[[#This Row],[Tech Start Date]],5),""))))</f>
        <v/>
      </c>
      <c r="P166" s="77" t="str">
        <f>IF(Main[[#This Row],[Tech Start Date]]&lt;1/1/1990,"",IF(Main[[#This Row],[Class]]="C",WORKDAY(Main[[#This Row],[Tech Start Date]],28),IF(Main[[#This Row],[Class]]="B", WORKDAY(Main[[#This Row],[Tech Start Date]],19),IF(Main[[#This Row],[Class]]="A",WORKDAY(Main[[#This Row],[Tech Start Date]],9),""))))</f>
        <v/>
      </c>
      <c r="Q166" s="74">
        <v>40602</v>
      </c>
      <c r="R166" s="74"/>
      <c r="S166" s="72" t="s">
        <v>6</v>
      </c>
      <c r="T166" s="80" t="s">
        <v>4</v>
      </c>
      <c r="U166" s="72" t="s">
        <v>14</v>
      </c>
      <c r="V166" s="72" t="s">
        <v>1927</v>
      </c>
      <c r="W166" s="72" t="s">
        <v>1921</v>
      </c>
      <c r="X166" s="72" t="s">
        <v>30</v>
      </c>
      <c r="Y166" s="72" t="s">
        <v>2963</v>
      </c>
      <c r="Z166" s="72" t="s">
        <v>4</v>
      </c>
      <c r="AA166" s="146" t="s">
        <v>30</v>
      </c>
    </row>
    <row r="167" spans="1:27" ht="18.600000000000001" customHeight="1">
      <c r="A167" s="139" t="str">
        <f>IF(priority(Main[[#This Row],[Comments]])&lt;&gt;0, priority(Main[[#This Row],[Comments]]),"")</f>
        <v/>
      </c>
      <c r="B167" s="89" t="s">
        <v>2688</v>
      </c>
      <c r="C167" s="72" t="s">
        <v>2689</v>
      </c>
      <c r="D167" s="73" t="s">
        <v>2690</v>
      </c>
      <c r="E167" s="74"/>
      <c r="F167" s="74"/>
      <c r="G167" s="75" t="str">
        <f>IF(stdProdLT(Main[[#This Row],[Comments]])=0.1,"N/A",IF(stdProdLT(Main[[#This Row],[Comments]])=0,"",stdProdLT(Main[[#This Row],[Comments]])))</f>
        <v/>
      </c>
      <c r="H167" s="76" t="str">
        <f>IF(AND(Main[[#This Row],[In Stock Date]]&lt;&gt;"",Main[[#This Row],[Revised Due Date]]&lt;&gt;""),Main[[#This Row],[In Stock Date]]-Main[[#This Row],[Revised Due Date]],"")</f>
        <v/>
      </c>
      <c r="I167" s="72" t="s">
        <v>4</v>
      </c>
      <c r="J167" s="72" t="s">
        <v>4</v>
      </c>
      <c r="K167" s="72" t="s">
        <v>4</v>
      </c>
      <c r="L167" s="74"/>
      <c r="M167" s="77" t="str">
        <f>IF(Main[[#This Row],[Tech Start Date]]&lt;1/1/1990,"",IF(Main[[#This Row],[Class]]="C",WORKDAY(Main[[#This Row],[Tech Start Date]],9),IF(Main[[#This Row],[Class]]="B", WORKDAY(Main[[#This Row],[Tech Start Date]],6),IF(Main[[#This Row],[Class]]="A",WORKDAY(Main[[#This Row],[Tech Start Date]],2),""))))</f>
        <v/>
      </c>
      <c r="N167" s="77" t="str">
        <f>IF(Main[[#This Row],[Tech Start Date]]&lt;1/1/1990,"",IF(Main[[#This Row],[Class]]="C",WORKDAY(Main[[#This Row],[Tech Start Date]],19),IF(Main[[#This Row],[Class]]="B", WORKDAY(Main[[#This Row],[Tech Start Date]],12),IF(Main[[#This Row],[Class]]="A",WORKDAY(Main[[#This Row],[Tech Start Date]],4),""))))</f>
        <v/>
      </c>
      <c r="O167" s="77" t="str">
        <f>IF(Main[[#This Row],[Tech Start Date]]&lt;1/1/1990,"",IF(Main[[#This Row],[Class]]="C",WORKDAY(Main[[#This Row],[Tech Start Date]],23),IF(Main[[#This Row],[Class]]="B", WORKDAY(Main[[#This Row],[Tech Start Date]],15),IF(Main[[#This Row],[Class]]="A",WORKDAY(Main[[#This Row],[Tech Start Date]],5),""))))</f>
        <v/>
      </c>
      <c r="P167" s="77" t="str">
        <f>IF(Main[[#This Row],[Tech Start Date]]&lt;1/1/1990,"",IF(Main[[#This Row],[Class]]="C",WORKDAY(Main[[#This Row],[Tech Start Date]],28),IF(Main[[#This Row],[Class]]="B", WORKDAY(Main[[#This Row],[Tech Start Date]],19),IF(Main[[#This Row],[Class]]="A",WORKDAY(Main[[#This Row],[Tech Start Date]],9),""))))</f>
        <v/>
      </c>
      <c r="Q167" s="74"/>
      <c r="R167" s="74"/>
      <c r="S167" s="72" t="s">
        <v>6</v>
      </c>
      <c r="T167" s="80" t="s">
        <v>4</v>
      </c>
      <c r="U167" s="72" t="s">
        <v>14</v>
      </c>
      <c r="V167" s="72" t="s">
        <v>1920</v>
      </c>
      <c r="W167" s="72" t="s">
        <v>1925</v>
      </c>
      <c r="X167" s="72" t="s">
        <v>885</v>
      </c>
      <c r="Y167" s="72" t="s">
        <v>2964</v>
      </c>
      <c r="Z167" s="72" t="s">
        <v>4</v>
      </c>
      <c r="AA167" s="146" t="s">
        <v>3389</v>
      </c>
    </row>
    <row r="168" spans="1:27" ht="18.600000000000001" customHeight="1">
      <c r="A168" s="139" t="str">
        <f>IF(priority(Main[[#This Row],[Comments]])&lt;&gt;0, priority(Main[[#This Row],[Comments]]),"")</f>
        <v/>
      </c>
      <c r="B168" s="89" t="s">
        <v>1052</v>
      </c>
      <c r="C168" s="72" t="s">
        <v>86</v>
      </c>
      <c r="D168" s="73" t="s">
        <v>87</v>
      </c>
      <c r="E168" s="74"/>
      <c r="F168" s="74">
        <v>40555</v>
      </c>
      <c r="G168" s="75" t="str">
        <f>IF(stdProdLT(Main[[#This Row],[Comments]])=0.1,"N/A",IF(stdProdLT(Main[[#This Row],[Comments]])=0,"",stdProdLT(Main[[#This Row],[Comments]])))</f>
        <v/>
      </c>
      <c r="H168" s="76" t="str">
        <f>IF(AND(Main[[#This Row],[In Stock Date]]&lt;&gt;"",Main[[#This Row],[Revised Due Date]]&lt;&gt;""),Main[[#This Row],[In Stock Date]]-Main[[#This Row],[Revised Due Date]],"")</f>
        <v/>
      </c>
      <c r="I168" s="72" t="s">
        <v>4</v>
      </c>
      <c r="J168" s="72" t="s">
        <v>75</v>
      </c>
      <c r="K168" s="72" t="s">
        <v>4</v>
      </c>
      <c r="L168" s="74"/>
      <c r="M168" s="77" t="str">
        <f>IF(Main[[#This Row],[Tech Start Date]]&lt;1/1/1990,"",IF(Main[[#This Row],[Class]]="C",WORKDAY(Main[[#This Row],[Tech Start Date]],9),IF(Main[[#This Row],[Class]]="B", WORKDAY(Main[[#This Row],[Tech Start Date]],6),IF(Main[[#This Row],[Class]]="A",WORKDAY(Main[[#This Row],[Tech Start Date]],2),""))))</f>
        <v/>
      </c>
      <c r="N168" s="77" t="str">
        <f>IF(Main[[#This Row],[Tech Start Date]]&lt;1/1/1990,"",IF(Main[[#This Row],[Class]]="C",WORKDAY(Main[[#This Row],[Tech Start Date]],19),IF(Main[[#This Row],[Class]]="B", WORKDAY(Main[[#This Row],[Tech Start Date]],12),IF(Main[[#This Row],[Class]]="A",WORKDAY(Main[[#This Row],[Tech Start Date]],4),""))))</f>
        <v/>
      </c>
      <c r="O168" s="77" t="str">
        <f>IF(Main[[#This Row],[Tech Start Date]]&lt;1/1/1990,"",IF(Main[[#This Row],[Class]]="C",WORKDAY(Main[[#This Row],[Tech Start Date]],23),IF(Main[[#This Row],[Class]]="B", WORKDAY(Main[[#This Row],[Tech Start Date]],15),IF(Main[[#This Row],[Class]]="A",WORKDAY(Main[[#This Row],[Tech Start Date]],5),""))))</f>
        <v/>
      </c>
      <c r="P168" s="77" t="str">
        <f>IF(Main[[#This Row],[Tech Start Date]]&lt;1/1/1990,"",IF(Main[[#This Row],[Class]]="C",WORKDAY(Main[[#This Row],[Tech Start Date]],28),IF(Main[[#This Row],[Class]]="B", WORKDAY(Main[[#This Row],[Tech Start Date]],19),IF(Main[[#This Row],[Class]]="A",WORKDAY(Main[[#This Row],[Tech Start Date]],9),""))))</f>
        <v/>
      </c>
      <c r="Q168" s="74">
        <v>40446</v>
      </c>
      <c r="R168" s="74"/>
      <c r="S168" s="72" t="s">
        <v>49</v>
      </c>
      <c r="T168" s="80" t="s">
        <v>4</v>
      </c>
      <c r="U168" s="72" t="s">
        <v>14</v>
      </c>
      <c r="V168" s="72" t="s">
        <v>1920</v>
      </c>
      <c r="W168" s="72" t="s">
        <v>1919</v>
      </c>
      <c r="X168" s="72" t="s">
        <v>306</v>
      </c>
      <c r="Y168" s="72" t="s">
        <v>2982</v>
      </c>
      <c r="Z168" s="72" t="s">
        <v>306</v>
      </c>
      <c r="AA168" s="146" t="s">
        <v>306</v>
      </c>
    </row>
    <row r="169" spans="1:27" ht="18.600000000000001" customHeight="1">
      <c r="A169" s="139" t="str">
        <f>IF(priority(Main[[#This Row],[Comments]])&lt;&gt;0, priority(Main[[#This Row],[Comments]]),"")</f>
        <v/>
      </c>
      <c r="B169" s="89" t="s">
        <v>2547</v>
      </c>
      <c r="C169" s="72" t="s">
        <v>2359</v>
      </c>
      <c r="D169" s="73" t="s">
        <v>2548</v>
      </c>
      <c r="E169" s="74"/>
      <c r="F169" s="74">
        <v>41008</v>
      </c>
      <c r="G169" s="75" t="str">
        <f>IF(stdProdLT(Main[[#This Row],[Comments]])=0.1,"N/A",IF(stdProdLT(Main[[#This Row],[Comments]])=0,"",stdProdLT(Main[[#This Row],[Comments]])))</f>
        <v/>
      </c>
      <c r="H169" s="76" t="str">
        <f>IF(AND(Main[[#This Row],[In Stock Date]]&lt;&gt;"",Main[[#This Row],[Revised Due Date]]&lt;&gt;""),Main[[#This Row],[In Stock Date]]-Main[[#This Row],[Revised Due Date]],"")</f>
        <v/>
      </c>
      <c r="I169" s="72" t="s">
        <v>4</v>
      </c>
      <c r="J169" s="72" t="s">
        <v>4</v>
      </c>
      <c r="K169" s="72" t="s">
        <v>4</v>
      </c>
      <c r="L169" s="74"/>
      <c r="M169" s="77" t="str">
        <f>IF(Main[[#This Row],[Tech Start Date]]&lt;1/1/1990,"",IF(Main[[#This Row],[Class]]="C",WORKDAY(Main[[#This Row],[Tech Start Date]],9),IF(Main[[#This Row],[Class]]="B", WORKDAY(Main[[#This Row],[Tech Start Date]],6),IF(Main[[#This Row],[Class]]="A",WORKDAY(Main[[#This Row],[Tech Start Date]],2),""))))</f>
        <v/>
      </c>
      <c r="N169" s="77" t="str">
        <f>IF(Main[[#This Row],[Tech Start Date]]&lt;1/1/1990,"",IF(Main[[#This Row],[Class]]="C",WORKDAY(Main[[#This Row],[Tech Start Date]],19),IF(Main[[#This Row],[Class]]="B", WORKDAY(Main[[#This Row],[Tech Start Date]],12),IF(Main[[#This Row],[Class]]="A",WORKDAY(Main[[#This Row],[Tech Start Date]],4),""))))</f>
        <v/>
      </c>
      <c r="O169" s="77" t="str">
        <f>IF(Main[[#This Row],[Tech Start Date]]&lt;1/1/1990,"",IF(Main[[#This Row],[Class]]="C",WORKDAY(Main[[#This Row],[Tech Start Date]],23),IF(Main[[#This Row],[Class]]="B", WORKDAY(Main[[#This Row],[Tech Start Date]],15),IF(Main[[#This Row],[Class]]="A",WORKDAY(Main[[#This Row],[Tech Start Date]],5),""))))</f>
        <v/>
      </c>
      <c r="P169" s="77" t="str">
        <f>IF(Main[[#This Row],[Tech Start Date]]&lt;1/1/1990,"",IF(Main[[#This Row],[Class]]="C",WORKDAY(Main[[#This Row],[Tech Start Date]],28),IF(Main[[#This Row],[Class]]="B", WORKDAY(Main[[#This Row],[Tech Start Date]],19),IF(Main[[#This Row],[Class]]="A",WORKDAY(Main[[#This Row],[Tech Start Date]],9),""))))</f>
        <v/>
      </c>
      <c r="Q169" s="74">
        <v>40826</v>
      </c>
      <c r="R169" s="74"/>
      <c r="S169" s="72" t="s">
        <v>11</v>
      </c>
      <c r="T169" s="80" t="s">
        <v>4</v>
      </c>
      <c r="U169" s="72" t="s">
        <v>12</v>
      </c>
      <c r="V169" s="72" t="s">
        <v>1920</v>
      </c>
      <c r="W169" s="72" t="s">
        <v>1923</v>
      </c>
      <c r="X169" s="72" t="s">
        <v>2849</v>
      </c>
      <c r="Y169" s="72" t="s">
        <v>4</v>
      </c>
      <c r="Z169" s="72" t="s">
        <v>4</v>
      </c>
      <c r="AA169" s="146" t="s">
        <v>2849</v>
      </c>
    </row>
    <row r="170" spans="1:27" ht="18.600000000000001" customHeight="1">
      <c r="A170" s="139" t="str">
        <f>IF(priority(Main[[#This Row],[Comments]])&lt;&gt;0, priority(Main[[#This Row],[Comments]]),"")</f>
        <v/>
      </c>
      <c r="B170" s="89" t="s">
        <v>1053</v>
      </c>
      <c r="C170" s="72" t="s">
        <v>88</v>
      </c>
      <c r="D170" s="73" t="s">
        <v>89</v>
      </c>
      <c r="E170" s="74"/>
      <c r="F170" s="74">
        <v>40709</v>
      </c>
      <c r="G170" s="75" t="str">
        <f>IF(stdProdLT(Main[[#This Row],[Comments]])=0.1,"N/A",IF(stdProdLT(Main[[#This Row],[Comments]])=0,"",stdProdLT(Main[[#This Row],[Comments]])))</f>
        <v/>
      </c>
      <c r="H170" s="76" t="str">
        <f>IF(AND(Main[[#This Row],[In Stock Date]]&lt;&gt;"",Main[[#This Row],[Revised Due Date]]&lt;&gt;""),Main[[#This Row],[In Stock Date]]-Main[[#This Row],[Revised Due Date]],"")</f>
        <v/>
      </c>
      <c r="I170" s="72" t="s">
        <v>4</v>
      </c>
      <c r="J170" s="72" t="s">
        <v>28</v>
      </c>
      <c r="K170" s="81" t="s">
        <v>1930</v>
      </c>
      <c r="L170" s="74"/>
      <c r="M170" s="77" t="str">
        <f>IF(Main[[#This Row],[Tech Start Date]]&lt;1/1/1990,"",IF(Main[[#This Row],[Class]]="C",WORKDAY(Main[[#This Row],[Tech Start Date]],9),IF(Main[[#This Row],[Class]]="B", WORKDAY(Main[[#This Row],[Tech Start Date]],6),IF(Main[[#This Row],[Class]]="A",WORKDAY(Main[[#This Row],[Tech Start Date]],2),""))))</f>
        <v/>
      </c>
      <c r="N170" s="77" t="str">
        <f>IF(Main[[#This Row],[Tech Start Date]]&lt;1/1/1990,"",IF(Main[[#This Row],[Class]]="C",WORKDAY(Main[[#This Row],[Tech Start Date]],19),IF(Main[[#This Row],[Class]]="B", WORKDAY(Main[[#This Row],[Tech Start Date]],12),IF(Main[[#This Row],[Class]]="A",WORKDAY(Main[[#This Row],[Tech Start Date]],4),""))))</f>
        <v/>
      </c>
      <c r="O170" s="77" t="str">
        <f>IF(Main[[#This Row],[Tech Start Date]]&lt;1/1/1990,"",IF(Main[[#This Row],[Class]]="C",WORKDAY(Main[[#This Row],[Tech Start Date]],23),IF(Main[[#This Row],[Class]]="B", WORKDAY(Main[[#This Row],[Tech Start Date]],15),IF(Main[[#This Row],[Class]]="A",WORKDAY(Main[[#This Row],[Tech Start Date]],5),""))))</f>
        <v/>
      </c>
      <c r="P170" s="77" t="str">
        <f>IF(Main[[#This Row],[Tech Start Date]]&lt;1/1/1990,"",IF(Main[[#This Row],[Class]]="C",WORKDAY(Main[[#This Row],[Tech Start Date]],28),IF(Main[[#This Row],[Class]]="B", WORKDAY(Main[[#This Row],[Tech Start Date]],19),IF(Main[[#This Row],[Class]]="A",WORKDAY(Main[[#This Row],[Tech Start Date]],9),""))))</f>
        <v/>
      </c>
      <c r="Q170" s="74">
        <v>40612</v>
      </c>
      <c r="R170" s="74"/>
      <c r="S170" s="72" t="s">
        <v>11</v>
      </c>
      <c r="T170" s="80" t="s">
        <v>4</v>
      </c>
      <c r="U170" s="72" t="s">
        <v>14</v>
      </c>
      <c r="V170" s="72" t="s">
        <v>1917</v>
      </c>
      <c r="W170" s="72" t="s">
        <v>1922</v>
      </c>
      <c r="X170" s="72" t="s">
        <v>2850</v>
      </c>
      <c r="Y170" s="72" t="s">
        <v>2983</v>
      </c>
      <c r="Z170" s="72" t="s">
        <v>129</v>
      </c>
      <c r="AA170" s="146" t="s">
        <v>2850</v>
      </c>
    </row>
    <row r="171" spans="1:27" ht="18.600000000000001" customHeight="1">
      <c r="A171" s="139" t="str">
        <f>IF(priority(Main[[#This Row],[Comments]])&lt;&gt;0, priority(Main[[#This Row],[Comments]]),"")</f>
        <v/>
      </c>
      <c r="B171" s="89" t="s">
        <v>1054</v>
      </c>
      <c r="C171" s="72" t="s">
        <v>4</v>
      </c>
      <c r="D171" s="73" t="s">
        <v>90</v>
      </c>
      <c r="E171" s="74"/>
      <c r="F171" s="74"/>
      <c r="G171" s="75" t="str">
        <f>IF(stdProdLT(Main[[#This Row],[Comments]])=0.1,"N/A",IF(stdProdLT(Main[[#This Row],[Comments]])=0,"",stdProdLT(Main[[#This Row],[Comments]])))</f>
        <v/>
      </c>
      <c r="H171" s="76" t="str">
        <f>IF(AND(Main[[#This Row],[In Stock Date]]&lt;&gt;"",Main[[#This Row],[Revised Due Date]]&lt;&gt;""),Main[[#This Row],[In Stock Date]]-Main[[#This Row],[Revised Due Date]],"")</f>
        <v/>
      </c>
      <c r="I171" s="72" t="s">
        <v>4</v>
      </c>
      <c r="J171" s="72" t="s">
        <v>4</v>
      </c>
      <c r="K171" s="72" t="s">
        <v>4</v>
      </c>
      <c r="L171" s="74"/>
      <c r="M171" s="77" t="str">
        <f>IF(Main[[#This Row],[Tech Start Date]]&lt;1/1/1990,"",IF(Main[[#This Row],[Class]]="C",WORKDAY(Main[[#This Row],[Tech Start Date]],9),IF(Main[[#This Row],[Class]]="B", WORKDAY(Main[[#This Row],[Tech Start Date]],6),IF(Main[[#This Row],[Class]]="A",WORKDAY(Main[[#This Row],[Tech Start Date]],2),""))))</f>
        <v/>
      </c>
      <c r="N171" s="77" t="str">
        <f>IF(Main[[#This Row],[Tech Start Date]]&lt;1/1/1990,"",IF(Main[[#This Row],[Class]]="C",WORKDAY(Main[[#This Row],[Tech Start Date]],19),IF(Main[[#This Row],[Class]]="B", WORKDAY(Main[[#This Row],[Tech Start Date]],12),IF(Main[[#This Row],[Class]]="A",WORKDAY(Main[[#This Row],[Tech Start Date]],4),""))))</f>
        <v/>
      </c>
      <c r="O171" s="77" t="str">
        <f>IF(Main[[#This Row],[Tech Start Date]]&lt;1/1/1990,"",IF(Main[[#This Row],[Class]]="C",WORKDAY(Main[[#This Row],[Tech Start Date]],23),IF(Main[[#This Row],[Class]]="B", WORKDAY(Main[[#This Row],[Tech Start Date]],15),IF(Main[[#This Row],[Class]]="A",WORKDAY(Main[[#This Row],[Tech Start Date]],5),""))))</f>
        <v/>
      </c>
      <c r="P171" s="77" t="str">
        <f>IF(Main[[#This Row],[Tech Start Date]]&lt;1/1/1990,"",IF(Main[[#This Row],[Class]]="C",WORKDAY(Main[[#This Row],[Tech Start Date]],28),IF(Main[[#This Row],[Class]]="B", WORKDAY(Main[[#This Row],[Tech Start Date]],19),IF(Main[[#This Row],[Class]]="A",WORKDAY(Main[[#This Row],[Tech Start Date]],9),""))))</f>
        <v/>
      </c>
      <c r="Q171" s="74"/>
      <c r="R171" s="74"/>
      <c r="S171" s="72" t="s">
        <v>23</v>
      </c>
      <c r="T171" s="80" t="s">
        <v>4</v>
      </c>
      <c r="U171" s="72" t="s">
        <v>14</v>
      </c>
      <c r="V171" s="72" t="s">
        <v>1917</v>
      </c>
      <c r="W171" s="72" t="s">
        <v>1921</v>
      </c>
      <c r="X171" s="72" t="s">
        <v>399</v>
      </c>
      <c r="Y171" s="72" t="s">
        <v>2964</v>
      </c>
      <c r="Z171" s="72" t="s">
        <v>4</v>
      </c>
      <c r="AA171" s="146" t="s">
        <v>3389</v>
      </c>
    </row>
    <row r="172" spans="1:27" ht="18.600000000000001" customHeight="1">
      <c r="A172" s="155" t="str">
        <f>IF(priority(Main[[#This Row],[Comments]])&lt;&gt;0, priority(Main[[#This Row],[Comments]]),"")</f>
        <v/>
      </c>
      <c r="B172" s="156" t="s">
        <v>1056</v>
      </c>
      <c r="C172" s="157" t="s">
        <v>93</v>
      </c>
      <c r="D172" s="158" t="s">
        <v>94</v>
      </c>
      <c r="E172" s="160"/>
      <c r="F172" s="160">
        <v>40299</v>
      </c>
      <c r="G172" s="162" t="str">
        <f>IF(stdProdLT(Main[[#This Row],[Comments]])=0.1,"N/A",IF(stdProdLT(Main[[#This Row],[Comments]])=0,"",stdProdLT(Main[[#This Row],[Comments]])))</f>
        <v/>
      </c>
      <c r="H172" s="164" t="str">
        <f>IF(AND(Main[[#This Row],[In Stock Date]]&lt;&gt;"",Main[[#This Row],[Revised Due Date]]&lt;&gt;""),Main[[#This Row],[In Stock Date]]-Main[[#This Row],[Revised Due Date]],"")</f>
        <v/>
      </c>
      <c r="I172" s="157" t="s">
        <v>4</v>
      </c>
      <c r="J172" s="157" t="s">
        <v>4</v>
      </c>
      <c r="K172" s="157" t="s">
        <v>4</v>
      </c>
      <c r="L172" s="160"/>
      <c r="M172" s="167" t="str">
        <f>IF(Main[[#This Row],[Tech Start Date]]&lt;1/1/1990,"",IF(Main[[#This Row],[Class]]="C",WORKDAY(Main[[#This Row],[Tech Start Date]],9),IF(Main[[#This Row],[Class]]="B", WORKDAY(Main[[#This Row],[Tech Start Date]],6),IF(Main[[#This Row],[Class]]="A",WORKDAY(Main[[#This Row],[Tech Start Date]],2),""))))</f>
        <v/>
      </c>
      <c r="N172" s="167" t="str">
        <f>IF(Main[[#This Row],[Tech Start Date]]&lt;1/1/1990,"",IF(Main[[#This Row],[Class]]="C",WORKDAY(Main[[#This Row],[Tech Start Date]],19),IF(Main[[#This Row],[Class]]="B", WORKDAY(Main[[#This Row],[Tech Start Date]],12),IF(Main[[#This Row],[Class]]="A",WORKDAY(Main[[#This Row],[Tech Start Date]],4),""))))</f>
        <v/>
      </c>
      <c r="O172" s="167" t="str">
        <f>IF(Main[[#This Row],[Tech Start Date]]&lt;1/1/1990,"",IF(Main[[#This Row],[Class]]="C",WORKDAY(Main[[#This Row],[Tech Start Date]],23),IF(Main[[#This Row],[Class]]="B", WORKDAY(Main[[#This Row],[Tech Start Date]],15),IF(Main[[#This Row],[Class]]="A",WORKDAY(Main[[#This Row],[Tech Start Date]],5),""))))</f>
        <v/>
      </c>
      <c r="P172" s="167" t="str">
        <f>IF(Main[[#This Row],[Tech Start Date]]&lt;1/1/1990,"",IF(Main[[#This Row],[Class]]="C",WORKDAY(Main[[#This Row],[Tech Start Date]],28),IF(Main[[#This Row],[Class]]="B", WORKDAY(Main[[#This Row],[Tech Start Date]],19),IF(Main[[#This Row],[Class]]="A",WORKDAY(Main[[#This Row],[Tech Start Date]],9),""))))</f>
        <v/>
      </c>
      <c r="Q172" s="160">
        <v>40209</v>
      </c>
      <c r="R172" s="160"/>
      <c r="S172" s="157" t="s">
        <v>11</v>
      </c>
      <c r="T172" s="171" t="s">
        <v>4</v>
      </c>
      <c r="U172" s="157" t="s">
        <v>14</v>
      </c>
      <c r="V172" s="157" t="s">
        <v>1917</v>
      </c>
      <c r="W172" s="157" t="s">
        <v>1928</v>
      </c>
      <c r="X172" s="157" t="s">
        <v>2851</v>
      </c>
      <c r="Y172" s="157" t="s">
        <v>4</v>
      </c>
      <c r="Z172" s="157" t="s">
        <v>4</v>
      </c>
      <c r="AA172" s="153" t="s">
        <v>2851</v>
      </c>
    </row>
    <row r="173" spans="1:27" ht="18.600000000000001" customHeight="1">
      <c r="A173" s="139" t="str">
        <f>IF(priority(Main[[#This Row],[Comments]])&lt;&gt;0, priority(Main[[#This Row],[Comments]]),"")</f>
        <v/>
      </c>
      <c r="B173" s="89" t="s">
        <v>1550</v>
      </c>
      <c r="C173" s="72" t="s">
        <v>4</v>
      </c>
      <c r="D173" s="73" t="s">
        <v>2694</v>
      </c>
      <c r="E173" s="74">
        <v>40718.447500000002</v>
      </c>
      <c r="F173" s="74"/>
      <c r="G173" s="75" t="str">
        <f>IF(stdProdLT(Main[[#This Row],[Comments]])=0.1,"N/A",IF(stdProdLT(Main[[#This Row],[Comments]])=0,"",stdProdLT(Main[[#This Row],[Comments]])))</f>
        <v/>
      </c>
      <c r="H173" s="76" t="str">
        <f>IF(AND(Main[[#This Row],[In Stock Date]]&lt;&gt;"",Main[[#This Row],[Revised Due Date]]&lt;&gt;""),Main[[#This Row],[In Stock Date]]-Main[[#This Row],[Revised Due Date]],"")</f>
        <v/>
      </c>
      <c r="I173" s="72" t="s">
        <v>530</v>
      </c>
      <c r="J173" s="72" t="s">
        <v>52</v>
      </c>
      <c r="K173" s="72" t="s">
        <v>1926</v>
      </c>
      <c r="L173" s="74"/>
      <c r="M173" s="77" t="str">
        <f>IF(Main[[#This Row],[Tech Start Date]]&lt;1/1/1990,"",IF(Main[[#This Row],[Class]]="C",WORKDAY(Main[[#This Row],[Tech Start Date]],9),IF(Main[[#This Row],[Class]]="B", WORKDAY(Main[[#This Row],[Tech Start Date]],6),IF(Main[[#This Row],[Class]]="A",WORKDAY(Main[[#This Row],[Tech Start Date]],2),""))))</f>
        <v/>
      </c>
      <c r="N173" s="77" t="str">
        <f>IF(Main[[#This Row],[Tech Start Date]]&lt;1/1/1990,"",IF(Main[[#This Row],[Class]]="C",WORKDAY(Main[[#This Row],[Tech Start Date]],19),IF(Main[[#This Row],[Class]]="B", WORKDAY(Main[[#This Row],[Tech Start Date]],12),IF(Main[[#This Row],[Class]]="A",WORKDAY(Main[[#This Row],[Tech Start Date]],4),""))))</f>
        <v/>
      </c>
      <c r="O173" s="77" t="str">
        <f>IF(Main[[#This Row],[Tech Start Date]]&lt;1/1/1990,"",IF(Main[[#This Row],[Class]]="C",WORKDAY(Main[[#This Row],[Tech Start Date]],23),IF(Main[[#This Row],[Class]]="B", WORKDAY(Main[[#This Row],[Tech Start Date]],15),IF(Main[[#This Row],[Class]]="A",WORKDAY(Main[[#This Row],[Tech Start Date]],5),""))))</f>
        <v/>
      </c>
      <c r="P173" s="77" t="str">
        <f>IF(Main[[#This Row],[Tech Start Date]]&lt;1/1/1990,"",IF(Main[[#This Row],[Class]]="C",WORKDAY(Main[[#This Row],[Tech Start Date]],28),IF(Main[[#This Row],[Class]]="B", WORKDAY(Main[[#This Row],[Tech Start Date]],19),IF(Main[[#This Row],[Class]]="A",WORKDAY(Main[[#This Row],[Tech Start Date]],9),""))))</f>
        <v/>
      </c>
      <c r="Q173" s="74">
        <v>40786</v>
      </c>
      <c r="R173" s="74"/>
      <c r="S173" s="72" t="s">
        <v>6</v>
      </c>
      <c r="T173" s="80" t="s">
        <v>4</v>
      </c>
      <c r="U173" s="72" t="s">
        <v>29</v>
      </c>
      <c r="V173" s="72" t="s">
        <v>1920</v>
      </c>
      <c r="W173" s="72" t="s">
        <v>1921</v>
      </c>
      <c r="X173" s="72" t="s">
        <v>306</v>
      </c>
      <c r="Y173" s="72" t="s">
        <v>2947</v>
      </c>
      <c r="Z173" s="72" t="s">
        <v>30</v>
      </c>
      <c r="AA173" s="146" t="s">
        <v>306</v>
      </c>
    </row>
    <row r="174" spans="1:27" ht="18.600000000000001" customHeight="1">
      <c r="A174" s="139" t="str">
        <f>IF(priority(Main[[#This Row],[Comments]])&lt;&gt;0, priority(Main[[#This Row],[Comments]]),"")</f>
        <v/>
      </c>
      <c r="B174" s="89" t="s">
        <v>1058</v>
      </c>
      <c r="C174" s="72" t="s">
        <v>4</v>
      </c>
      <c r="D174" s="73" t="s">
        <v>39</v>
      </c>
      <c r="E174" s="74"/>
      <c r="F174" s="74"/>
      <c r="G174" s="75" t="str">
        <f>IF(stdProdLT(Main[[#This Row],[Comments]])=0.1,"N/A",IF(stdProdLT(Main[[#This Row],[Comments]])=0,"",stdProdLT(Main[[#This Row],[Comments]])))</f>
        <v/>
      </c>
      <c r="H174" s="76" t="str">
        <f>IF(AND(Main[[#This Row],[In Stock Date]]&lt;&gt;"",Main[[#This Row],[Revised Due Date]]&lt;&gt;""),Main[[#This Row],[In Stock Date]]-Main[[#This Row],[Revised Due Date]],"")</f>
        <v/>
      </c>
      <c r="I174" s="72" t="s">
        <v>4</v>
      </c>
      <c r="J174" s="72" t="s">
        <v>4</v>
      </c>
      <c r="K174" s="81" t="s">
        <v>4</v>
      </c>
      <c r="L174" s="74"/>
      <c r="M174" s="77" t="str">
        <f>IF(Main[[#This Row],[Tech Start Date]]&lt;1/1/1990,"",IF(Main[[#This Row],[Class]]="C",WORKDAY(Main[[#This Row],[Tech Start Date]],9),IF(Main[[#This Row],[Class]]="B", WORKDAY(Main[[#This Row],[Tech Start Date]],6),IF(Main[[#This Row],[Class]]="A",WORKDAY(Main[[#This Row],[Tech Start Date]],2),""))))</f>
        <v/>
      </c>
      <c r="N174" s="77" t="str">
        <f>IF(Main[[#This Row],[Tech Start Date]]&lt;1/1/1990,"",IF(Main[[#This Row],[Class]]="C",WORKDAY(Main[[#This Row],[Tech Start Date]],19),IF(Main[[#This Row],[Class]]="B", WORKDAY(Main[[#This Row],[Tech Start Date]],12),IF(Main[[#This Row],[Class]]="A",WORKDAY(Main[[#This Row],[Tech Start Date]],4),""))))</f>
        <v/>
      </c>
      <c r="O174" s="77" t="str">
        <f>IF(Main[[#This Row],[Tech Start Date]]&lt;1/1/1990,"",IF(Main[[#This Row],[Class]]="C",WORKDAY(Main[[#This Row],[Tech Start Date]],23),IF(Main[[#This Row],[Class]]="B", WORKDAY(Main[[#This Row],[Tech Start Date]],15),IF(Main[[#This Row],[Class]]="A",WORKDAY(Main[[#This Row],[Tech Start Date]],5),""))))</f>
        <v/>
      </c>
      <c r="P174" s="77" t="str">
        <f>IF(Main[[#This Row],[Tech Start Date]]&lt;1/1/1990,"",IF(Main[[#This Row],[Class]]="C",WORKDAY(Main[[#This Row],[Tech Start Date]],28),IF(Main[[#This Row],[Class]]="B", WORKDAY(Main[[#This Row],[Tech Start Date]],19),IF(Main[[#This Row],[Class]]="A",WORKDAY(Main[[#This Row],[Tech Start Date]],9),""))))</f>
        <v/>
      </c>
      <c r="Q174" s="74">
        <v>40669</v>
      </c>
      <c r="R174" s="74"/>
      <c r="S174" s="72" t="s">
        <v>6</v>
      </c>
      <c r="T174" s="80" t="s">
        <v>4</v>
      </c>
      <c r="U174" s="72" t="s">
        <v>14</v>
      </c>
      <c r="V174" s="72" t="s">
        <v>1920</v>
      </c>
      <c r="W174" s="72" t="s">
        <v>4</v>
      </c>
      <c r="X174" s="72" t="s">
        <v>2824</v>
      </c>
      <c r="Y174" s="72" t="s">
        <v>2935</v>
      </c>
      <c r="Z174" s="72" t="s">
        <v>4</v>
      </c>
      <c r="AA174" s="146" t="s">
        <v>2824</v>
      </c>
    </row>
    <row r="175" spans="1:27" ht="18.600000000000001" customHeight="1">
      <c r="A175" s="139" t="str">
        <f>IF(priority(Main[[#This Row],[Comments]])&lt;&gt;0, priority(Main[[#This Row],[Comments]]),"")</f>
        <v/>
      </c>
      <c r="B175" s="89" t="s">
        <v>1059</v>
      </c>
      <c r="C175" s="72" t="s">
        <v>47</v>
      </c>
      <c r="D175" s="73" t="s">
        <v>91</v>
      </c>
      <c r="E175" s="74"/>
      <c r="F175" s="74"/>
      <c r="G175" s="75" t="str">
        <f>IF(stdProdLT(Main[[#This Row],[Comments]])=0.1,"N/A",IF(stdProdLT(Main[[#This Row],[Comments]])=0,"",stdProdLT(Main[[#This Row],[Comments]])))</f>
        <v/>
      </c>
      <c r="H175" s="76" t="str">
        <f>IF(AND(Main[[#This Row],[In Stock Date]]&lt;&gt;"",Main[[#This Row],[Revised Due Date]]&lt;&gt;""),Main[[#This Row],[In Stock Date]]-Main[[#This Row],[Revised Due Date]],"")</f>
        <v/>
      </c>
      <c r="I175" s="72" t="s">
        <v>4</v>
      </c>
      <c r="J175" s="72" t="s">
        <v>4</v>
      </c>
      <c r="K175" s="81" t="s">
        <v>4</v>
      </c>
      <c r="L175" s="74"/>
      <c r="M175" s="77" t="str">
        <f>IF(Main[[#This Row],[Tech Start Date]]&lt;1/1/1990,"",IF(Main[[#This Row],[Class]]="C",WORKDAY(Main[[#This Row],[Tech Start Date]],9),IF(Main[[#This Row],[Class]]="B", WORKDAY(Main[[#This Row],[Tech Start Date]],6),IF(Main[[#This Row],[Class]]="A",WORKDAY(Main[[#This Row],[Tech Start Date]],2),""))))</f>
        <v/>
      </c>
      <c r="N175" s="77" t="str">
        <f>IF(Main[[#This Row],[Tech Start Date]]&lt;1/1/1990,"",IF(Main[[#This Row],[Class]]="C",WORKDAY(Main[[#This Row],[Tech Start Date]],19),IF(Main[[#This Row],[Class]]="B", WORKDAY(Main[[#This Row],[Tech Start Date]],12),IF(Main[[#This Row],[Class]]="A",WORKDAY(Main[[#This Row],[Tech Start Date]],4),""))))</f>
        <v/>
      </c>
      <c r="O175" s="77" t="str">
        <f>IF(Main[[#This Row],[Tech Start Date]]&lt;1/1/1990,"",IF(Main[[#This Row],[Class]]="C",WORKDAY(Main[[#This Row],[Tech Start Date]],23),IF(Main[[#This Row],[Class]]="B", WORKDAY(Main[[#This Row],[Tech Start Date]],15),IF(Main[[#This Row],[Class]]="A",WORKDAY(Main[[#This Row],[Tech Start Date]],5),""))))</f>
        <v/>
      </c>
      <c r="P175" s="77" t="str">
        <f>IF(Main[[#This Row],[Tech Start Date]]&lt;1/1/1990,"",IF(Main[[#This Row],[Class]]="C",WORKDAY(Main[[#This Row],[Tech Start Date]],28),IF(Main[[#This Row],[Class]]="B", WORKDAY(Main[[#This Row],[Tech Start Date]],19),IF(Main[[#This Row],[Class]]="A",WORKDAY(Main[[#This Row],[Tech Start Date]],9),""))))</f>
        <v/>
      </c>
      <c r="Q175" s="74"/>
      <c r="R175" s="74"/>
      <c r="S175" s="72" t="s">
        <v>49</v>
      </c>
      <c r="T175" s="80" t="s">
        <v>4</v>
      </c>
      <c r="U175" s="72" t="s">
        <v>14</v>
      </c>
      <c r="V175" s="72" t="s">
        <v>1920</v>
      </c>
      <c r="W175" s="72" t="s">
        <v>1921</v>
      </c>
      <c r="X175" s="72" t="s">
        <v>306</v>
      </c>
      <c r="Y175" s="72" t="s">
        <v>2947</v>
      </c>
      <c r="Z175" s="72" t="s">
        <v>4</v>
      </c>
      <c r="AA175" s="146" t="s">
        <v>3388</v>
      </c>
    </row>
    <row r="176" spans="1:27" ht="18.600000000000001" customHeight="1">
      <c r="A176" s="139" t="str">
        <f>IF(priority(Main[[#This Row],[Comments]])&lt;&gt;0, priority(Main[[#This Row],[Comments]]),"")</f>
        <v/>
      </c>
      <c r="B176" s="89" t="s">
        <v>1060</v>
      </c>
      <c r="C176" s="72" t="s">
        <v>4</v>
      </c>
      <c r="D176" s="73" t="s">
        <v>92</v>
      </c>
      <c r="E176" s="74"/>
      <c r="F176" s="74"/>
      <c r="G176" s="75" t="str">
        <f>IF(stdProdLT(Main[[#This Row],[Comments]])=0.1,"N/A",IF(stdProdLT(Main[[#This Row],[Comments]])=0,"",stdProdLT(Main[[#This Row],[Comments]])))</f>
        <v/>
      </c>
      <c r="H176" s="76" t="str">
        <f>IF(AND(Main[[#This Row],[In Stock Date]]&lt;&gt;"",Main[[#This Row],[Revised Due Date]]&lt;&gt;""),Main[[#This Row],[In Stock Date]]-Main[[#This Row],[Revised Due Date]],"")</f>
        <v/>
      </c>
      <c r="I176" s="72" t="s">
        <v>4</v>
      </c>
      <c r="J176" s="72" t="s">
        <v>4</v>
      </c>
      <c r="K176" s="72" t="s">
        <v>4</v>
      </c>
      <c r="L176" s="74"/>
      <c r="M176" s="77" t="str">
        <f>IF(Main[[#This Row],[Tech Start Date]]&lt;1/1/1990,"",IF(Main[[#This Row],[Class]]="C",WORKDAY(Main[[#This Row],[Tech Start Date]],9),IF(Main[[#This Row],[Class]]="B", WORKDAY(Main[[#This Row],[Tech Start Date]],6),IF(Main[[#This Row],[Class]]="A",WORKDAY(Main[[#This Row],[Tech Start Date]],2),""))))</f>
        <v/>
      </c>
      <c r="N176" s="77" t="str">
        <f>IF(Main[[#This Row],[Tech Start Date]]&lt;1/1/1990,"",IF(Main[[#This Row],[Class]]="C",WORKDAY(Main[[#This Row],[Tech Start Date]],19),IF(Main[[#This Row],[Class]]="B", WORKDAY(Main[[#This Row],[Tech Start Date]],12),IF(Main[[#This Row],[Class]]="A",WORKDAY(Main[[#This Row],[Tech Start Date]],4),""))))</f>
        <v/>
      </c>
      <c r="O176" s="77" t="str">
        <f>IF(Main[[#This Row],[Tech Start Date]]&lt;1/1/1990,"",IF(Main[[#This Row],[Class]]="C",WORKDAY(Main[[#This Row],[Tech Start Date]],23),IF(Main[[#This Row],[Class]]="B", WORKDAY(Main[[#This Row],[Tech Start Date]],15),IF(Main[[#This Row],[Class]]="A",WORKDAY(Main[[#This Row],[Tech Start Date]],5),""))))</f>
        <v/>
      </c>
      <c r="P176" s="77" t="str">
        <f>IF(Main[[#This Row],[Tech Start Date]]&lt;1/1/1990,"",IF(Main[[#This Row],[Class]]="C",WORKDAY(Main[[#This Row],[Tech Start Date]],28),IF(Main[[#This Row],[Class]]="B", WORKDAY(Main[[#This Row],[Tech Start Date]],19),IF(Main[[#This Row],[Class]]="A",WORKDAY(Main[[#This Row],[Tech Start Date]],9),""))))</f>
        <v/>
      </c>
      <c r="Q176" s="74">
        <v>40289</v>
      </c>
      <c r="R176" s="74"/>
      <c r="S176" s="72" t="s">
        <v>11</v>
      </c>
      <c r="T176" s="80" t="s">
        <v>4</v>
      </c>
      <c r="U176" s="72" t="s">
        <v>14</v>
      </c>
      <c r="V176" s="72" t="s">
        <v>1917</v>
      </c>
      <c r="W176" s="72" t="s">
        <v>1919</v>
      </c>
      <c r="X176" s="72" t="s">
        <v>2827</v>
      </c>
      <c r="Y176" s="72" t="s">
        <v>2942</v>
      </c>
      <c r="Z176" s="72" t="s">
        <v>4</v>
      </c>
      <c r="AA176" s="146" t="s">
        <v>2827</v>
      </c>
    </row>
    <row r="177" spans="1:27" ht="18.600000000000001" customHeight="1">
      <c r="A177" s="139" t="str">
        <f>IF(priority(Main[[#This Row],[Comments]])&lt;&gt;0, priority(Main[[#This Row],[Comments]]),"")</f>
        <v/>
      </c>
      <c r="B177" s="89" t="s">
        <v>1061</v>
      </c>
      <c r="C177" s="72" t="s">
        <v>95</v>
      </c>
      <c r="D177" s="73" t="s">
        <v>96</v>
      </c>
      <c r="E177" s="74"/>
      <c r="F177" s="74"/>
      <c r="G177" s="75" t="str">
        <f>IF(stdProdLT(Main[[#This Row],[Comments]])=0.1,"N/A",IF(stdProdLT(Main[[#This Row],[Comments]])=0,"",stdProdLT(Main[[#This Row],[Comments]])))</f>
        <v/>
      </c>
      <c r="H177" s="76" t="str">
        <f>IF(AND(Main[[#This Row],[In Stock Date]]&lt;&gt;"",Main[[#This Row],[Revised Due Date]]&lt;&gt;""),Main[[#This Row],[In Stock Date]]-Main[[#This Row],[Revised Due Date]],"")</f>
        <v/>
      </c>
      <c r="I177" s="72" t="s">
        <v>4</v>
      </c>
      <c r="J177" s="72" t="s">
        <v>4</v>
      </c>
      <c r="K177" s="72" t="s">
        <v>4</v>
      </c>
      <c r="L177" s="74"/>
      <c r="M177" s="77" t="str">
        <f>IF(Main[[#This Row],[Tech Start Date]]&lt;1/1/1990,"",IF(Main[[#This Row],[Class]]="C",WORKDAY(Main[[#This Row],[Tech Start Date]],9),IF(Main[[#This Row],[Class]]="B", WORKDAY(Main[[#This Row],[Tech Start Date]],6),IF(Main[[#This Row],[Class]]="A",WORKDAY(Main[[#This Row],[Tech Start Date]],2),""))))</f>
        <v/>
      </c>
      <c r="N177" s="77" t="str">
        <f>IF(Main[[#This Row],[Tech Start Date]]&lt;1/1/1990,"",IF(Main[[#This Row],[Class]]="C",WORKDAY(Main[[#This Row],[Tech Start Date]],19),IF(Main[[#This Row],[Class]]="B", WORKDAY(Main[[#This Row],[Tech Start Date]],12),IF(Main[[#This Row],[Class]]="A",WORKDAY(Main[[#This Row],[Tech Start Date]],4),""))))</f>
        <v/>
      </c>
      <c r="O177" s="77" t="str">
        <f>IF(Main[[#This Row],[Tech Start Date]]&lt;1/1/1990,"",IF(Main[[#This Row],[Class]]="C",WORKDAY(Main[[#This Row],[Tech Start Date]],23),IF(Main[[#This Row],[Class]]="B", WORKDAY(Main[[#This Row],[Tech Start Date]],15),IF(Main[[#This Row],[Class]]="A",WORKDAY(Main[[#This Row],[Tech Start Date]],5),""))))</f>
        <v/>
      </c>
      <c r="P177" s="77" t="str">
        <f>IF(Main[[#This Row],[Tech Start Date]]&lt;1/1/1990,"",IF(Main[[#This Row],[Class]]="C",WORKDAY(Main[[#This Row],[Tech Start Date]],28),IF(Main[[#This Row],[Class]]="B", WORKDAY(Main[[#This Row],[Tech Start Date]],19),IF(Main[[#This Row],[Class]]="A",WORKDAY(Main[[#This Row],[Tech Start Date]],9),""))))</f>
        <v/>
      </c>
      <c r="Q177" s="74">
        <v>40302</v>
      </c>
      <c r="R177" s="74"/>
      <c r="S177" s="72" t="s">
        <v>6</v>
      </c>
      <c r="T177" s="80" t="s">
        <v>4</v>
      </c>
      <c r="U177" s="72" t="s">
        <v>14</v>
      </c>
      <c r="V177" s="72" t="s">
        <v>1917</v>
      </c>
      <c r="W177" s="72" t="s">
        <v>1923</v>
      </c>
      <c r="X177" s="72" t="s">
        <v>129</v>
      </c>
      <c r="Y177" s="72" t="s">
        <v>4</v>
      </c>
      <c r="Z177" s="72" t="s">
        <v>4</v>
      </c>
      <c r="AA177" s="146" t="s">
        <v>885</v>
      </c>
    </row>
    <row r="178" spans="1:27" ht="18.600000000000001" customHeight="1">
      <c r="A178" s="139" t="str">
        <f>IF(priority(Main[[#This Row],[Comments]])&lt;&gt;0, priority(Main[[#This Row],[Comments]]),"")</f>
        <v/>
      </c>
      <c r="B178" s="89" t="s">
        <v>1062</v>
      </c>
      <c r="C178" s="72" t="s">
        <v>4</v>
      </c>
      <c r="D178" s="73" t="s">
        <v>105</v>
      </c>
      <c r="E178" s="74"/>
      <c r="F178" s="74"/>
      <c r="G178" s="75" t="str">
        <f>IF(stdProdLT(Main[[#This Row],[Comments]])=0.1,"N/A",IF(stdProdLT(Main[[#This Row],[Comments]])=0,"",stdProdLT(Main[[#This Row],[Comments]])))</f>
        <v/>
      </c>
      <c r="H178" s="76" t="str">
        <f>IF(AND(Main[[#This Row],[In Stock Date]]&lt;&gt;"",Main[[#This Row],[Revised Due Date]]&lt;&gt;""),Main[[#This Row],[In Stock Date]]-Main[[#This Row],[Revised Due Date]],"")</f>
        <v/>
      </c>
      <c r="I178" s="72" t="s">
        <v>44</v>
      </c>
      <c r="J178" s="72" t="s">
        <v>28</v>
      </c>
      <c r="K178" s="72" t="s">
        <v>1926</v>
      </c>
      <c r="L178" s="74"/>
      <c r="M178" s="77" t="str">
        <f>IF(Main[[#This Row],[Tech Start Date]]&lt;1/1/1990,"",IF(Main[[#This Row],[Class]]="C",WORKDAY(Main[[#This Row],[Tech Start Date]],9),IF(Main[[#This Row],[Class]]="B", WORKDAY(Main[[#This Row],[Tech Start Date]],6),IF(Main[[#This Row],[Class]]="A",WORKDAY(Main[[#This Row],[Tech Start Date]],2),""))))</f>
        <v/>
      </c>
      <c r="N178" s="77" t="str">
        <f>IF(Main[[#This Row],[Tech Start Date]]&lt;1/1/1990,"",IF(Main[[#This Row],[Class]]="C",WORKDAY(Main[[#This Row],[Tech Start Date]],19),IF(Main[[#This Row],[Class]]="B", WORKDAY(Main[[#This Row],[Tech Start Date]],12),IF(Main[[#This Row],[Class]]="A",WORKDAY(Main[[#This Row],[Tech Start Date]],4),""))))</f>
        <v/>
      </c>
      <c r="O178" s="77" t="str">
        <f>IF(Main[[#This Row],[Tech Start Date]]&lt;1/1/1990,"",IF(Main[[#This Row],[Class]]="C",WORKDAY(Main[[#This Row],[Tech Start Date]],23),IF(Main[[#This Row],[Class]]="B", WORKDAY(Main[[#This Row],[Tech Start Date]],15),IF(Main[[#This Row],[Class]]="A",WORKDAY(Main[[#This Row],[Tech Start Date]],5),""))))</f>
        <v/>
      </c>
      <c r="P178" s="77" t="str">
        <f>IF(Main[[#This Row],[Tech Start Date]]&lt;1/1/1990,"",IF(Main[[#This Row],[Class]]="C",WORKDAY(Main[[#This Row],[Tech Start Date]],28),IF(Main[[#This Row],[Class]]="B", WORKDAY(Main[[#This Row],[Tech Start Date]],19),IF(Main[[#This Row],[Class]]="A",WORKDAY(Main[[#This Row],[Tech Start Date]],9),""))))</f>
        <v/>
      </c>
      <c r="Q178" s="74">
        <v>40725</v>
      </c>
      <c r="R178" s="74"/>
      <c r="S178" s="72" t="s">
        <v>6</v>
      </c>
      <c r="T178" s="80" t="s">
        <v>4</v>
      </c>
      <c r="U178" s="72" t="s">
        <v>14</v>
      </c>
      <c r="V178" s="72" t="s">
        <v>1920</v>
      </c>
      <c r="W178" s="72" t="s">
        <v>1921</v>
      </c>
      <c r="X178" s="72" t="s">
        <v>2825</v>
      </c>
      <c r="Y178" s="72" t="s">
        <v>2938</v>
      </c>
      <c r="Z178" s="72" t="s">
        <v>44</v>
      </c>
      <c r="AA178" s="146" t="s">
        <v>2825</v>
      </c>
    </row>
    <row r="179" spans="1:27" ht="18.600000000000001" customHeight="1">
      <c r="A179" s="139" t="str">
        <f>IF(priority(Main[[#This Row],[Comments]])&lt;&gt;0, priority(Main[[#This Row],[Comments]]),"")</f>
        <v/>
      </c>
      <c r="B179" s="89" t="s">
        <v>1063</v>
      </c>
      <c r="C179" s="72" t="s">
        <v>106</v>
      </c>
      <c r="D179" s="73" t="s">
        <v>107</v>
      </c>
      <c r="E179" s="74"/>
      <c r="F179" s="74"/>
      <c r="G179" s="75" t="str">
        <f>IF(stdProdLT(Main[[#This Row],[Comments]])=0.1,"N/A",IF(stdProdLT(Main[[#This Row],[Comments]])=0,"",stdProdLT(Main[[#This Row],[Comments]])))</f>
        <v/>
      </c>
      <c r="H179" s="76" t="str">
        <f>IF(AND(Main[[#This Row],[In Stock Date]]&lt;&gt;"",Main[[#This Row],[Revised Due Date]]&lt;&gt;""),Main[[#This Row],[In Stock Date]]-Main[[#This Row],[Revised Due Date]],"")</f>
        <v/>
      </c>
      <c r="I179" s="72" t="s">
        <v>108</v>
      </c>
      <c r="J179" s="72" t="s">
        <v>28</v>
      </c>
      <c r="K179" s="81" t="s">
        <v>1930</v>
      </c>
      <c r="L179" s="74"/>
      <c r="M179" s="77" t="str">
        <f>IF(Main[[#This Row],[Tech Start Date]]&lt;1/1/1990,"",IF(Main[[#This Row],[Class]]="C",WORKDAY(Main[[#This Row],[Tech Start Date]],9),IF(Main[[#This Row],[Class]]="B", WORKDAY(Main[[#This Row],[Tech Start Date]],6),IF(Main[[#This Row],[Class]]="A",WORKDAY(Main[[#This Row],[Tech Start Date]],2),""))))</f>
        <v/>
      </c>
      <c r="N179" s="77" t="str">
        <f>IF(Main[[#This Row],[Tech Start Date]]&lt;1/1/1990,"",IF(Main[[#This Row],[Class]]="C",WORKDAY(Main[[#This Row],[Tech Start Date]],19),IF(Main[[#This Row],[Class]]="B", WORKDAY(Main[[#This Row],[Tech Start Date]],12),IF(Main[[#This Row],[Class]]="A",WORKDAY(Main[[#This Row],[Tech Start Date]],4),""))))</f>
        <v/>
      </c>
      <c r="O179" s="77" t="str">
        <f>IF(Main[[#This Row],[Tech Start Date]]&lt;1/1/1990,"",IF(Main[[#This Row],[Class]]="C",WORKDAY(Main[[#This Row],[Tech Start Date]],23),IF(Main[[#This Row],[Class]]="B", WORKDAY(Main[[#This Row],[Tech Start Date]],15),IF(Main[[#This Row],[Class]]="A",WORKDAY(Main[[#This Row],[Tech Start Date]],5),""))))</f>
        <v/>
      </c>
      <c r="P179" s="77" t="str">
        <f>IF(Main[[#This Row],[Tech Start Date]]&lt;1/1/1990,"",IF(Main[[#This Row],[Class]]="C",WORKDAY(Main[[#This Row],[Tech Start Date]],28),IF(Main[[#This Row],[Class]]="B", WORKDAY(Main[[#This Row],[Tech Start Date]],19),IF(Main[[#This Row],[Class]]="A",WORKDAY(Main[[#This Row],[Tech Start Date]],9),""))))</f>
        <v/>
      </c>
      <c r="Q179" s="74">
        <v>40626</v>
      </c>
      <c r="R179" s="74"/>
      <c r="S179" s="72" t="s">
        <v>11</v>
      </c>
      <c r="T179" s="80" t="s">
        <v>4</v>
      </c>
      <c r="U179" s="72" t="s">
        <v>14</v>
      </c>
      <c r="V179" s="72" t="s">
        <v>1918</v>
      </c>
      <c r="W179" s="72" t="s">
        <v>1919</v>
      </c>
      <c r="X179" s="72" t="s">
        <v>2822</v>
      </c>
      <c r="Y179" s="72" t="s">
        <v>2934</v>
      </c>
      <c r="Z179" s="72" t="s">
        <v>108</v>
      </c>
      <c r="AA179" s="146" t="s">
        <v>2822</v>
      </c>
    </row>
    <row r="180" spans="1:27" ht="18.600000000000001" customHeight="1">
      <c r="A180" s="139" t="str">
        <f>IF(priority(Main[[#This Row],[Comments]])&lt;&gt;0, priority(Main[[#This Row],[Comments]]),"")</f>
        <v/>
      </c>
      <c r="B180" s="89" t="s">
        <v>1070</v>
      </c>
      <c r="C180" s="72" t="s">
        <v>31</v>
      </c>
      <c r="D180" s="73" t="s">
        <v>109</v>
      </c>
      <c r="E180" s="74"/>
      <c r="F180" s="74"/>
      <c r="G180" s="75" t="str">
        <f>IF(stdProdLT(Main[[#This Row],[Comments]])=0.1,"N/A",IF(stdProdLT(Main[[#This Row],[Comments]])=0,"",stdProdLT(Main[[#This Row],[Comments]])))</f>
        <v/>
      </c>
      <c r="H180" s="76" t="str">
        <f>IF(AND(Main[[#This Row],[In Stock Date]]&lt;&gt;"",Main[[#This Row],[Revised Due Date]]&lt;&gt;""),Main[[#This Row],[In Stock Date]]-Main[[#This Row],[Revised Due Date]],"")</f>
        <v/>
      </c>
      <c r="I180" s="72" t="s">
        <v>4</v>
      </c>
      <c r="J180" s="72" t="s">
        <v>4</v>
      </c>
      <c r="K180" s="72" t="s">
        <v>4</v>
      </c>
      <c r="L180" s="74"/>
      <c r="M180" s="77" t="str">
        <f>IF(Main[[#This Row],[Tech Start Date]]&lt;1/1/1990,"",IF(Main[[#This Row],[Class]]="C",WORKDAY(Main[[#This Row],[Tech Start Date]],9),IF(Main[[#This Row],[Class]]="B", WORKDAY(Main[[#This Row],[Tech Start Date]],6),IF(Main[[#This Row],[Class]]="A",WORKDAY(Main[[#This Row],[Tech Start Date]],2),""))))</f>
        <v/>
      </c>
      <c r="N180" s="77" t="str">
        <f>IF(Main[[#This Row],[Tech Start Date]]&lt;1/1/1990,"",IF(Main[[#This Row],[Class]]="C",WORKDAY(Main[[#This Row],[Tech Start Date]],19),IF(Main[[#This Row],[Class]]="B", WORKDAY(Main[[#This Row],[Tech Start Date]],12),IF(Main[[#This Row],[Class]]="A",WORKDAY(Main[[#This Row],[Tech Start Date]],4),""))))</f>
        <v/>
      </c>
      <c r="O180" s="77" t="str">
        <f>IF(Main[[#This Row],[Tech Start Date]]&lt;1/1/1990,"",IF(Main[[#This Row],[Class]]="C",WORKDAY(Main[[#This Row],[Tech Start Date]],23),IF(Main[[#This Row],[Class]]="B", WORKDAY(Main[[#This Row],[Tech Start Date]],15),IF(Main[[#This Row],[Class]]="A",WORKDAY(Main[[#This Row],[Tech Start Date]],5),""))))</f>
        <v/>
      </c>
      <c r="P180" s="77" t="str">
        <f>IF(Main[[#This Row],[Tech Start Date]]&lt;1/1/1990,"",IF(Main[[#This Row],[Class]]="C",WORKDAY(Main[[#This Row],[Tech Start Date]],28),IF(Main[[#This Row],[Class]]="B", WORKDAY(Main[[#This Row],[Tech Start Date]],19),IF(Main[[#This Row],[Class]]="A",WORKDAY(Main[[#This Row],[Tech Start Date]],9),""))))</f>
        <v/>
      </c>
      <c r="Q180" s="74">
        <v>40318</v>
      </c>
      <c r="R180" s="74"/>
      <c r="S180" s="72" t="s">
        <v>11</v>
      </c>
      <c r="T180" s="80" t="s">
        <v>4</v>
      </c>
      <c r="U180" s="72" t="s">
        <v>14</v>
      </c>
      <c r="V180" s="72" t="s">
        <v>1920</v>
      </c>
      <c r="W180" s="72" t="s">
        <v>1919</v>
      </c>
      <c r="X180" s="72" t="s">
        <v>2836</v>
      </c>
      <c r="Y180" s="72" t="s">
        <v>4</v>
      </c>
      <c r="Z180" s="72" t="s">
        <v>4</v>
      </c>
      <c r="AA180" s="146" t="s">
        <v>2836</v>
      </c>
    </row>
    <row r="181" spans="1:27" ht="18.600000000000001" customHeight="1">
      <c r="A181" s="139" t="str">
        <f>IF(priority(Main[[#This Row],[Comments]])&lt;&gt;0, priority(Main[[#This Row],[Comments]]),"")</f>
        <v/>
      </c>
      <c r="B181" s="89" t="s">
        <v>2045</v>
      </c>
      <c r="C181" s="72" t="s">
        <v>4</v>
      </c>
      <c r="D181" s="73" t="s">
        <v>2044</v>
      </c>
      <c r="E181" s="74"/>
      <c r="F181" s="74"/>
      <c r="G181" s="75" t="str">
        <f>IF(stdProdLT(Main[[#This Row],[Comments]])=0.1,"N/A",IF(stdProdLT(Main[[#This Row],[Comments]])=0,"",stdProdLT(Main[[#This Row],[Comments]])))</f>
        <v/>
      </c>
      <c r="H181" s="76" t="str">
        <f>IF(AND(Main[[#This Row],[In Stock Date]]&lt;&gt;"",Main[[#This Row],[Revised Due Date]]&lt;&gt;""),Main[[#This Row],[In Stock Date]]-Main[[#This Row],[Revised Due Date]],"")</f>
        <v/>
      </c>
      <c r="I181" s="72" t="s">
        <v>4</v>
      </c>
      <c r="J181" s="72" t="s">
        <v>4</v>
      </c>
      <c r="K181" s="72" t="s">
        <v>4</v>
      </c>
      <c r="L181" s="74"/>
      <c r="M181" s="77" t="str">
        <f>IF(Main[[#This Row],[Tech Start Date]]&lt;1/1/1990,"",IF(Main[[#This Row],[Class]]="C",WORKDAY(Main[[#This Row],[Tech Start Date]],9),IF(Main[[#This Row],[Class]]="B", WORKDAY(Main[[#This Row],[Tech Start Date]],6),IF(Main[[#This Row],[Class]]="A",WORKDAY(Main[[#This Row],[Tech Start Date]],2),""))))</f>
        <v/>
      </c>
      <c r="N181" s="77" t="str">
        <f>IF(Main[[#This Row],[Tech Start Date]]&lt;1/1/1990,"",IF(Main[[#This Row],[Class]]="C",WORKDAY(Main[[#This Row],[Tech Start Date]],19),IF(Main[[#This Row],[Class]]="B", WORKDAY(Main[[#This Row],[Tech Start Date]],12),IF(Main[[#This Row],[Class]]="A",WORKDAY(Main[[#This Row],[Tech Start Date]],4),""))))</f>
        <v/>
      </c>
      <c r="O181" s="77" t="str">
        <f>IF(Main[[#This Row],[Tech Start Date]]&lt;1/1/1990,"",IF(Main[[#This Row],[Class]]="C",WORKDAY(Main[[#This Row],[Tech Start Date]],23),IF(Main[[#This Row],[Class]]="B", WORKDAY(Main[[#This Row],[Tech Start Date]],15),IF(Main[[#This Row],[Class]]="A",WORKDAY(Main[[#This Row],[Tech Start Date]],5),""))))</f>
        <v/>
      </c>
      <c r="P181" s="77" t="str">
        <f>IF(Main[[#This Row],[Tech Start Date]]&lt;1/1/1990,"",IF(Main[[#This Row],[Class]]="C",WORKDAY(Main[[#This Row],[Tech Start Date]],28),IF(Main[[#This Row],[Class]]="B", WORKDAY(Main[[#This Row],[Tech Start Date]],19),IF(Main[[#This Row],[Class]]="A",WORKDAY(Main[[#This Row],[Tech Start Date]],9),""))))</f>
        <v/>
      </c>
      <c r="Q181" s="74"/>
      <c r="R181" s="74"/>
      <c r="S181" s="72" t="s">
        <v>6</v>
      </c>
      <c r="T181" s="80" t="s">
        <v>4</v>
      </c>
      <c r="U181" s="72" t="s">
        <v>14</v>
      </c>
      <c r="V181" s="72" t="s">
        <v>1918</v>
      </c>
      <c r="W181" s="72" t="s">
        <v>1921</v>
      </c>
      <c r="X181" s="72" t="s">
        <v>306</v>
      </c>
      <c r="Y181" s="72" t="s">
        <v>4</v>
      </c>
      <c r="Z181" s="72" t="s">
        <v>4</v>
      </c>
      <c r="AA181" s="146" t="s">
        <v>4</v>
      </c>
    </row>
    <row r="182" spans="1:27" ht="18.600000000000001" customHeight="1">
      <c r="A182" s="155" t="str">
        <f>IF(priority(Main[[#This Row],[Comments]])&lt;&gt;0, priority(Main[[#This Row],[Comments]]),"")</f>
        <v/>
      </c>
      <c r="B182" s="156" t="s">
        <v>1071</v>
      </c>
      <c r="C182" s="157" t="s">
        <v>19</v>
      </c>
      <c r="D182" s="158" t="s">
        <v>110</v>
      </c>
      <c r="E182" s="160"/>
      <c r="F182" s="160">
        <v>40548</v>
      </c>
      <c r="G182" s="162" t="str">
        <f>IF(stdProdLT(Main[[#This Row],[Comments]])=0.1,"N/A",IF(stdProdLT(Main[[#This Row],[Comments]])=0,"",stdProdLT(Main[[#This Row],[Comments]])))</f>
        <v/>
      </c>
      <c r="H182" s="164" t="str">
        <f>IF(AND(Main[[#This Row],[In Stock Date]]&lt;&gt;"",Main[[#This Row],[Revised Due Date]]&lt;&gt;""),Main[[#This Row],[In Stock Date]]-Main[[#This Row],[Revised Due Date]],"")</f>
        <v/>
      </c>
      <c r="I182" s="157" t="s">
        <v>4</v>
      </c>
      <c r="J182" s="157" t="s">
        <v>4</v>
      </c>
      <c r="K182" s="157" t="s">
        <v>4</v>
      </c>
      <c r="L182" s="160"/>
      <c r="M182" s="167" t="str">
        <f>IF(Main[[#This Row],[Tech Start Date]]&lt;1/1/1990,"",IF(Main[[#This Row],[Class]]="C",WORKDAY(Main[[#This Row],[Tech Start Date]],9),IF(Main[[#This Row],[Class]]="B", WORKDAY(Main[[#This Row],[Tech Start Date]],6),IF(Main[[#This Row],[Class]]="A",WORKDAY(Main[[#This Row],[Tech Start Date]],2),""))))</f>
        <v/>
      </c>
      <c r="N182" s="167" t="str">
        <f>IF(Main[[#This Row],[Tech Start Date]]&lt;1/1/1990,"",IF(Main[[#This Row],[Class]]="C",WORKDAY(Main[[#This Row],[Tech Start Date]],19),IF(Main[[#This Row],[Class]]="B", WORKDAY(Main[[#This Row],[Tech Start Date]],12),IF(Main[[#This Row],[Class]]="A",WORKDAY(Main[[#This Row],[Tech Start Date]],4),""))))</f>
        <v/>
      </c>
      <c r="O182" s="167" t="str">
        <f>IF(Main[[#This Row],[Tech Start Date]]&lt;1/1/1990,"",IF(Main[[#This Row],[Class]]="C",WORKDAY(Main[[#This Row],[Tech Start Date]],23),IF(Main[[#This Row],[Class]]="B", WORKDAY(Main[[#This Row],[Tech Start Date]],15),IF(Main[[#This Row],[Class]]="A",WORKDAY(Main[[#This Row],[Tech Start Date]],5),""))))</f>
        <v/>
      </c>
      <c r="P182" s="167" t="str">
        <f>IF(Main[[#This Row],[Tech Start Date]]&lt;1/1/1990,"",IF(Main[[#This Row],[Class]]="C",WORKDAY(Main[[#This Row],[Tech Start Date]],28),IF(Main[[#This Row],[Class]]="B", WORKDAY(Main[[#This Row],[Tech Start Date]],19),IF(Main[[#This Row],[Class]]="A",WORKDAY(Main[[#This Row],[Tech Start Date]],9),""))))</f>
        <v/>
      </c>
      <c r="Q182" s="160">
        <v>40415</v>
      </c>
      <c r="R182" s="160"/>
      <c r="S182" s="157" t="s">
        <v>17</v>
      </c>
      <c r="T182" s="171" t="s">
        <v>4</v>
      </c>
      <c r="U182" s="157" t="s">
        <v>12</v>
      </c>
      <c r="V182" s="157" t="s">
        <v>1920</v>
      </c>
      <c r="W182" s="157" t="s">
        <v>1925</v>
      </c>
      <c r="X182" s="157" t="s">
        <v>2839</v>
      </c>
      <c r="Y182" s="157" t="s">
        <v>2945</v>
      </c>
      <c r="Z182" s="157" t="s">
        <v>4</v>
      </c>
      <c r="AA182" s="153" t="s">
        <v>2839</v>
      </c>
    </row>
    <row r="183" spans="1:27" ht="18.600000000000001" customHeight="1">
      <c r="A183" s="155" t="str">
        <f>IF(priority(Main[[#This Row],[Comments]])&lt;&gt;0, priority(Main[[#This Row],[Comments]]),"")</f>
        <v/>
      </c>
      <c r="B183" s="156" t="s">
        <v>1064</v>
      </c>
      <c r="C183" s="157" t="s">
        <v>4</v>
      </c>
      <c r="D183" s="158" t="s">
        <v>97</v>
      </c>
      <c r="E183" s="160"/>
      <c r="F183" s="160"/>
      <c r="G183" s="162" t="str">
        <f>IF(stdProdLT(Main[[#This Row],[Comments]])=0.1,"N/A",IF(stdProdLT(Main[[#This Row],[Comments]])=0,"",stdProdLT(Main[[#This Row],[Comments]])))</f>
        <v/>
      </c>
      <c r="H183" s="164" t="str">
        <f>IF(AND(Main[[#This Row],[In Stock Date]]&lt;&gt;"",Main[[#This Row],[Revised Due Date]]&lt;&gt;""),Main[[#This Row],[In Stock Date]]-Main[[#This Row],[Revised Due Date]],"")</f>
        <v/>
      </c>
      <c r="I183" s="157" t="s">
        <v>4</v>
      </c>
      <c r="J183" s="157" t="s">
        <v>4</v>
      </c>
      <c r="K183" s="157" t="s">
        <v>4</v>
      </c>
      <c r="L183" s="160"/>
      <c r="M183" s="167" t="str">
        <f>IF(Main[[#This Row],[Tech Start Date]]&lt;1/1/1990,"",IF(Main[[#This Row],[Class]]="C",WORKDAY(Main[[#This Row],[Tech Start Date]],9),IF(Main[[#This Row],[Class]]="B", WORKDAY(Main[[#This Row],[Tech Start Date]],6),IF(Main[[#This Row],[Class]]="A",WORKDAY(Main[[#This Row],[Tech Start Date]],2),""))))</f>
        <v/>
      </c>
      <c r="N183" s="167" t="str">
        <f>IF(Main[[#This Row],[Tech Start Date]]&lt;1/1/1990,"",IF(Main[[#This Row],[Class]]="C",WORKDAY(Main[[#This Row],[Tech Start Date]],19),IF(Main[[#This Row],[Class]]="B", WORKDAY(Main[[#This Row],[Tech Start Date]],12),IF(Main[[#This Row],[Class]]="A",WORKDAY(Main[[#This Row],[Tech Start Date]],4),""))))</f>
        <v/>
      </c>
      <c r="O183" s="167" t="str">
        <f>IF(Main[[#This Row],[Tech Start Date]]&lt;1/1/1990,"",IF(Main[[#This Row],[Class]]="C",WORKDAY(Main[[#This Row],[Tech Start Date]],23),IF(Main[[#This Row],[Class]]="B", WORKDAY(Main[[#This Row],[Tech Start Date]],15),IF(Main[[#This Row],[Class]]="A",WORKDAY(Main[[#This Row],[Tech Start Date]],5),""))))</f>
        <v/>
      </c>
      <c r="P183" s="167" t="str">
        <f>IF(Main[[#This Row],[Tech Start Date]]&lt;1/1/1990,"",IF(Main[[#This Row],[Class]]="C",WORKDAY(Main[[#This Row],[Tech Start Date]],28),IF(Main[[#This Row],[Class]]="B", WORKDAY(Main[[#This Row],[Tech Start Date]],19),IF(Main[[#This Row],[Class]]="A",WORKDAY(Main[[#This Row],[Tech Start Date]],9),""))))</f>
        <v/>
      </c>
      <c r="Q183" s="160">
        <v>40858</v>
      </c>
      <c r="R183" s="160"/>
      <c r="S183" s="157" t="s">
        <v>17</v>
      </c>
      <c r="T183" s="171" t="s">
        <v>4</v>
      </c>
      <c r="U183" s="157" t="s">
        <v>14</v>
      </c>
      <c r="V183" s="157" t="s">
        <v>1917</v>
      </c>
      <c r="W183" s="157" t="s">
        <v>1922</v>
      </c>
      <c r="X183" s="157" t="s">
        <v>50</v>
      </c>
      <c r="Y183" s="157" t="s">
        <v>2965</v>
      </c>
      <c r="Z183" s="157" t="s">
        <v>4</v>
      </c>
      <c r="AA183" s="153" t="s">
        <v>2834</v>
      </c>
    </row>
    <row r="184" spans="1:27" ht="18.600000000000001" customHeight="1">
      <c r="A184" s="155" t="str">
        <f>IF(priority(Main[[#This Row],[Comments]])&lt;&gt;0, priority(Main[[#This Row],[Comments]]),"")</f>
        <v/>
      </c>
      <c r="B184" s="156" t="s">
        <v>1065</v>
      </c>
      <c r="C184" s="157" t="s">
        <v>4</v>
      </c>
      <c r="D184" s="158" t="s">
        <v>98</v>
      </c>
      <c r="E184" s="160">
        <v>40373.607708333337</v>
      </c>
      <c r="F184" s="160"/>
      <c r="G184" s="162" t="str">
        <f>IF(stdProdLT(Main[[#This Row],[Comments]])=0.1,"N/A",IF(stdProdLT(Main[[#This Row],[Comments]])=0,"",stdProdLT(Main[[#This Row],[Comments]])))</f>
        <v/>
      </c>
      <c r="H184" s="164" t="str">
        <f>IF(AND(Main[[#This Row],[In Stock Date]]&lt;&gt;"",Main[[#This Row],[Revised Due Date]]&lt;&gt;""),Main[[#This Row],[In Stock Date]]-Main[[#This Row],[Revised Due Date]],"")</f>
        <v/>
      </c>
      <c r="I184" s="157" t="s">
        <v>4</v>
      </c>
      <c r="J184" s="157" t="s">
        <v>4</v>
      </c>
      <c r="K184" s="157" t="s">
        <v>4</v>
      </c>
      <c r="L184" s="160"/>
      <c r="M184" s="167" t="str">
        <f>IF(Main[[#This Row],[Tech Start Date]]&lt;1/1/1990,"",IF(Main[[#This Row],[Class]]="C",WORKDAY(Main[[#This Row],[Tech Start Date]],9),IF(Main[[#This Row],[Class]]="B", WORKDAY(Main[[#This Row],[Tech Start Date]],6),IF(Main[[#This Row],[Class]]="A",WORKDAY(Main[[#This Row],[Tech Start Date]],2),""))))</f>
        <v/>
      </c>
      <c r="N184" s="167" t="str">
        <f>IF(Main[[#This Row],[Tech Start Date]]&lt;1/1/1990,"",IF(Main[[#This Row],[Class]]="C",WORKDAY(Main[[#This Row],[Tech Start Date]],19),IF(Main[[#This Row],[Class]]="B", WORKDAY(Main[[#This Row],[Tech Start Date]],12),IF(Main[[#This Row],[Class]]="A",WORKDAY(Main[[#This Row],[Tech Start Date]],4),""))))</f>
        <v/>
      </c>
      <c r="O184" s="167" t="str">
        <f>IF(Main[[#This Row],[Tech Start Date]]&lt;1/1/1990,"",IF(Main[[#This Row],[Class]]="C",WORKDAY(Main[[#This Row],[Tech Start Date]],23),IF(Main[[#This Row],[Class]]="B", WORKDAY(Main[[#This Row],[Tech Start Date]],15),IF(Main[[#This Row],[Class]]="A",WORKDAY(Main[[#This Row],[Tech Start Date]],5),""))))</f>
        <v/>
      </c>
      <c r="P184" s="167" t="str">
        <f>IF(Main[[#This Row],[Tech Start Date]]&lt;1/1/1990,"",IF(Main[[#This Row],[Class]]="C",WORKDAY(Main[[#This Row],[Tech Start Date]],28),IF(Main[[#This Row],[Class]]="B", WORKDAY(Main[[#This Row],[Tech Start Date]],19),IF(Main[[#This Row],[Class]]="A",WORKDAY(Main[[#This Row],[Tech Start Date]],9),""))))</f>
        <v/>
      </c>
      <c r="Q184" s="160">
        <v>40382</v>
      </c>
      <c r="R184" s="160"/>
      <c r="S184" s="157" t="s">
        <v>6</v>
      </c>
      <c r="T184" s="171" t="s">
        <v>4</v>
      </c>
      <c r="U184" s="157" t="s">
        <v>7</v>
      </c>
      <c r="V184" s="157" t="s">
        <v>1917</v>
      </c>
      <c r="W184" s="157" t="s">
        <v>1921</v>
      </c>
      <c r="X184" s="157" t="s">
        <v>399</v>
      </c>
      <c r="Y184" s="157" t="s">
        <v>4</v>
      </c>
      <c r="Z184" s="157" t="s">
        <v>4</v>
      </c>
      <c r="AA184" s="153" t="s">
        <v>3395</v>
      </c>
    </row>
    <row r="185" spans="1:27" ht="18.600000000000001" customHeight="1">
      <c r="A185" s="139" t="str">
        <f>IF(priority(Main[[#This Row],[Comments]])&lt;&gt;0, priority(Main[[#This Row],[Comments]]),"")</f>
        <v/>
      </c>
      <c r="B185" s="89" t="s">
        <v>1066</v>
      </c>
      <c r="C185" s="72" t="s">
        <v>99</v>
      </c>
      <c r="D185" s="73" t="s">
        <v>100</v>
      </c>
      <c r="E185" s="74"/>
      <c r="F185" s="74"/>
      <c r="G185" s="75" t="str">
        <f>IF(stdProdLT(Main[[#This Row],[Comments]])=0.1,"N/A",IF(stdProdLT(Main[[#This Row],[Comments]])=0,"",stdProdLT(Main[[#This Row],[Comments]])))</f>
        <v/>
      </c>
      <c r="H185" s="76" t="str">
        <f>IF(AND(Main[[#This Row],[In Stock Date]]&lt;&gt;"",Main[[#This Row],[Revised Due Date]]&lt;&gt;""),Main[[#This Row],[In Stock Date]]-Main[[#This Row],[Revised Due Date]],"")</f>
        <v/>
      </c>
      <c r="I185" s="72" t="s">
        <v>4</v>
      </c>
      <c r="J185" s="72" t="s">
        <v>4</v>
      </c>
      <c r="K185" s="72" t="s">
        <v>4</v>
      </c>
      <c r="L185" s="74"/>
      <c r="M185" s="77" t="str">
        <f>IF(Main[[#This Row],[Tech Start Date]]&lt;1/1/1990,"",IF(Main[[#This Row],[Class]]="C",WORKDAY(Main[[#This Row],[Tech Start Date]],9),IF(Main[[#This Row],[Class]]="B", WORKDAY(Main[[#This Row],[Tech Start Date]],6),IF(Main[[#This Row],[Class]]="A",WORKDAY(Main[[#This Row],[Tech Start Date]],2),""))))</f>
        <v/>
      </c>
      <c r="N185" s="77" t="str">
        <f>IF(Main[[#This Row],[Tech Start Date]]&lt;1/1/1990,"",IF(Main[[#This Row],[Class]]="C",WORKDAY(Main[[#This Row],[Tech Start Date]],19),IF(Main[[#This Row],[Class]]="B", WORKDAY(Main[[#This Row],[Tech Start Date]],12),IF(Main[[#This Row],[Class]]="A",WORKDAY(Main[[#This Row],[Tech Start Date]],4),""))))</f>
        <v/>
      </c>
      <c r="O185" s="77" t="str">
        <f>IF(Main[[#This Row],[Tech Start Date]]&lt;1/1/1990,"",IF(Main[[#This Row],[Class]]="C",WORKDAY(Main[[#This Row],[Tech Start Date]],23),IF(Main[[#This Row],[Class]]="B", WORKDAY(Main[[#This Row],[Tech Start Date]],15),IF(Main[[#This Row],[Class]]="A",WORKDAY(Main[[#This Row],[Tech Start Date]],5),""))))</f>
        <v/>
      </c>
      <c r="P185" s="77" t="str">
        <f>IF(Main[[#This Row],[Tech Start Date]]&lt;1/1/1990,"",IF(Main[[#This Row],[Class]]="C",WORKDAY(Main[[#This Row],[Tech Start Date]],28),IF(Main[[#This Row],[Class]]="B", WORKDAY(Main[[#This Row],[Tech Start Date]],19),IF(Main[[#This Row],[Class]]="A",WORKDAY(Main[[#This Row],[Tech Start Date]],9),""))))</f>
        <v/>
      </c>
      <c r="Q185" s="74"/>
      <c r="R185" s="74"/>
      <c r="S185" s="72" t="s">
        <v>49</v>
      </c>
      <c r="T185" s="80" t="s">
        <v>4</v>
      </c>
      <c r="U185" s="72" t="s">
        <v>12</v>
      </c>
      <c r="V185" s="72" t="s">
        <v>1918</v>
      </c>
      <c r="W185" s="72" t="s">
        <v>1919</v>
      </c>
      <c r="X185" s="72" t="s">
        <v>2840</v>
      </c>
      <c r="Y185" s="72" t="s">
        <v>2966</v>
      </c>
      <c r="Z185" s="72" t="s">
        <v>4</v>
      </c>
      <c r="AA185" s="146" t="s">
        <v>3396</v>
      </c>
    </row>
    <row r="186" spans="1:27" ht="18.600000000000001" customHeight="1">
      <c r="A186" s="139" t="str">
        <f>IF(priority(Main[[#This Row],[Comments]])&lt;&gt;0, priority(Main[[#This Row],[Comments]]),"")</f>
        <v/>
      </c>
      <c r="B186" s="89" t="s">
        <v>1067</v>
      </c>
      <c r="C186" s="72" t="s">
        <v>67</v>
      </c>
      <c r="D186" s="73" t="s">
        <v>101</v>
      </c>
      <c r="E186" s="74"/>
      <c r="F186" s="74">
        <v>40664</v>
      </c>
      <c r="G186" s="75" t="str">
        <f>IF(stdProdLT(Main[[#This Row],[Comments]])=0.1,"N/A",IF(stdProdLT(Main[[#This Row],[Comments]])=0,"",stdProdLT(Main[[#This Row],[Comments]])))</f>
        <v/>
      </c>
      <c r="H186" s="76" t="str">
        <f>IF(AND(Main[[#This Row],[In Stock Date]]&lt;&gt;"",Main[[#This Row],[Revised Due Date]]&lt;&gt;""),Main[[#This Row],[In Stock Date]]-Main[[#This Row],[Revised Due Date]],"")</f>
        <v/>
      </c>
      <c r="I186" s="72" t="s">
        <v>102</v>
      </c>
      <c r="J186" s="72" t="s">
        <v>51</v>
      </c>
      <c r="K186" s="72" t="s">
        <v>1926</v>
      </c>
      <c r="L186" s="74"/>
      <c r="M186" s="77" t="str">
        <f>IF(Main[[#This Row],[Tech Start Date]]&lt;1/1/1990,"",IF(Main[[#This Row],[Class]]="C",WORKDAY(Main[[#This Row],[Tech Start Date]],9),IF(Main[[#This Row],[Class]]="B", WORKDAY(Main[[#This Row],[Tech Start Date]],6),IF(Main[[#This Row],[Class]]="A",WORKDAY(Main[[#This Row],[Tech Start Date]],2),""))))</f>
        <v/>
      </c>
      <c r="N186" s="77" t="str">
        <f>IF(Main[[#This Row],[Tech Start Date]]&lt;1/1/1990,"",IF(Main[[#This Row],[Class]]="C",WORKDAY(Main[[#This Row],[Tech Start Date]],19),IF(Main[[#This Row],[Class]]="B", WORKDAY(Main[[#This Row],[Tech Start Date]],12),IF(Main[[#This Row],[Class]]="A",WORKDAY(Main[[#This Row],[Tech Start Date]],4),""))))</f>
        <v/>
      </c>
      <c r="O186" s="77" t="str">
        <f>IF(Main[[#This Row],[Tech Start Date]]&lt;1/1/1990,"",IF(Main[[#This Row],[Class]]="C",WORKDAY(Main[[#This Row],[Tech Start Date]],23),IF(Main[[#This Row],[Class]]="B", WORKDAY(Main[[#This Row],[Tech Start Date]],15),IF(Main[[#This Row],[Class]]="A",WORKDAY(Main[[#This Row],[Tech Start Date]],5),""))))</f>
        <v/>
      </c>
      <c r="P186" s="77" t="str">
        <f>IF(Main[[#This Row],[Tech Start Date]]&lt;1/1/1990,"",IF(Main[[#This Row],[Class]]="C",WORKDAY(Main[[#This Row],[Tech Start Date]],28),IF(Main[[#This Row],[Class]]="B", WORKDAY(Main[[#This Row],[Tech Start Date]],19),IF(Main[[#This Row],[Class]]="A",WORKDAY(Main[[#This Row],[Tech Start Date]],9),""))))</f>
        <v/>
      </c>
      <c r="Q186" s="74">
        <v>40585</v>
      </c>
      <c r="R186" s="74"/>
      <c r="S186" s="72" t="s">
        <v>11</v>
      </c>
      <c r="T186" s="80" t="s">
        <v>4</v>
      </c>
      <c r="U186" s="72" t="s">
        <v>14</v>
      </c>
      <c r="V186" s="72" t="s">
        <v>1917</v>
      </c>
      <c r="W186" s="72" t="s">
        <v>1923</v>
      </c>
      <c r="X186" s="72" t="s">
        <v>50</v>
      </c>
      <c r="Y186" s="72" t="s">
        <v>2967</v>
      </c>
      <c r="Z186" s="72" t="s">
        <v>129</v>
      </c>
      <c r="AA186" s="146" t="s">
        <v>50</v>
      </c>
    </row>
    <row r="187" spans="1:27" ht="18.600000000000001" customHeight="1">
      <c r="A187" s="139" t="str">
        <f>IF(priority(Main[[#This Row],[Comments]])&lt;&gt;0, priority(Main[[#This Row],[Comments]]),"")</f>
        <v/>
      </c>
      <c r="B187" s="89" t="s">
        <v>2451</v>
      </c>
      <c r="C187" s="72" t="s">
        <v>4</v>
      </c>
      <c r="D187" s="73" t="s">
        <v>2695</v>
      </c>
      <c r="E187" s="74">
        <v>40869.337650462963</v>
      </c>
      <c r="F187" s="74"/>
      <c r="G187" s="75" t="str">
        <f>IF(stdProdLT(Main[[#This Row],[Comments]])=0.1,"N/A",IF(stdProdLT(Main[[#This Row],[Comments]])=0,"",stdProdLT(Main[[#This Row],[Comments]])))</f>
        <v/>
      </c>
      <c r="H187" s="76" t="str">
        <f>IF(AND(Main[[#This Row],[In Stock Date]]&lt;&gt;"",Main[[#This Row],[Revised Due Date]]&lt;&gt;""),Main[[#This Row],[In Stock Date]]-Main[[#This Row],[Revised Due Date]],"")</f>
        <v/>
      </c>
      <c r="I187" s="72" t="s">
        <v>4</v>
      </c>
      <c r="J187" s="72" t="s">
        <v>4</v>
      </c>
      <c r="K187" s="72" t="s">
        <v>4</v>
      </c>
      <c r="L187" s="74"/>
      <c r="M187" s="77" t="str">
        <f>IF(Main[[#This Row],[Tech Start Date]]&lt;1/1/1990,"",IF(Main[[#This Row],[Class]]="C",WORKDAY(Main[[#This Row],[Tech Start Date]],9),IF(Main[[#This Row],[Class]]="B", WORKDAY(Main[[#This Row],[Tech Start Date]],6),IF(Main[[#This Row],[Class]]="A",WORKDAY(Main[[#This Row],[Tech Start Date]],2),""))))</f>
        <v/>
      </c>
      <c r="N187" s="77" t="str">
        <f>IF(Main[[#This Row],[Tech Start Date]]&lt;1/1/1990,"",IF(Main[[#This Row],[Class]]="C",WORKDAY(Main[[#This Row],[Tech Start Date]],19),IF(Main[[#This Row],[Class]]="B", WORKDAY(Main[[#This Row],[Tech Start Date]],12),IF(Main[[#This Row],[Class]]="A",WORKDAY(Main[[#This Row],[Tech Start Date]],4),""))))</f>
        <v/>
      </c>
      <c r="O187" s="77" t="str">
        <f>IF(Main[[#This Row],[Tech Start Date]]&lt;1/1/1990,"",IF(Main[[#This Row],[Class]]="C",WORKDAY(Main[[#This Row],[Tech Start Date]],23),IF(Main[[#This Row],[Class]]="B", WORKDAY(Main[[#This Row],[Tech Start Date]],15),IF(Main[[#This Row],[Class]]="A",WORKDAY(Main[[#This Row],[Tech Start Date]],5),""))))</f>
        <v/>
      </c>
      <c r="P187" s="77" t="str">
        <f>IF(Main[[#This Row],[Tech Start Date]]&lt;1/1/1990,"",IF(Main[[#This Row],[Class]]="C",WORKDAY(Main[[#This Row],[Tech Start Date]],28),IF(Main[[#This Row],[Class]]="B", WORKDAY(Main[[#This Row],[Tech Start Date]],19),IF(Main[[#This Row],[Class]]="A",WORKDAY(Main[[#This Row],[Tech Start Date]],9),""))))</f>
        <v/>
      </c>
      <c r="Q187" s="74"/>
      <c r="R187" s="74"/>
      <c r="S187" s="72" t="s">
        <v>6</v>
      </c>
      <c r="T187" s="80" t="s">
        <v>2696</v>
      </c>
      <c r="U187" s="72" t="s">
        <v>29</v>
      </c>
      <c r="V187" s="72" t="s">
        <v>1917</v>
      </c>
      <c r="W187" s="72" t="s">
        <v>1921</v>
      </c>
      <c r="X187" s="72" t="s">
        <v>102</v>
      </c>
      <c r="Y187" s="72" t="s">
        <v>2968</v>
      </c>
      <c r="Z187" s="72" t="s">
        <v>4</v>
      </c>
      <c r="AA187" s="146" t="s">
        <v>3397</v>
      </c>
    </row>
    <row r="188" spans="1:27" ht="18.600000000000001" customHeight="1">
      <c r="A188" s="139" t="str">
        <f>IF(priority(Main[[#This Row],[Comments]])&lt;&gt;0, priority(Main[[#This Row],[Comments]]),"")</f>
        <v/>
      </c>
      <c r="B188" s="89" t="s">
        <v>1069</v>
      </c>
      <c r="C188" s="72" t="s">
        <v>31</v>
      </c>
      <c r="D188" s="73" t="s">
        <v>104</v>
      </c>
      <c r="E188" s="74"/>
      <c r="F188" s="74"/>
      <c r="G188" s="75" t="str">
        <f>IF(stdProdLT(Main[[#This Row],[Comments]])=0.1,"N/A",IF(stdProdLT(Main[[#This Row],[Comments]])=0,"",stdProdLT(Main[[#This Row],[Comments]])))</f>
        <v/>
      </c>
      <c r="H188" s="76" t="str">
        <f>IF(AND(Main[[#This Row],[In Stock Date]]&lt;&gt;"",Main[[#This Row],[Revised Due Date]]&lt;&gt;""),Main[[#This Row],[In Stock Date]]-Main[[#This Row],[Revised Due Date]],"")</f>
        <v/>
      </c>
      <c r="I188" s="72" t="s">
        <v>4</v>
      </c>
      <c r="J188" s="72" t="s">
        <v>4</v>
      </c>
      <c r="K188" s="72" t="s">
        <v>4</v>
      </c>
      <c r="L188" s="74"/>
      <c r="M188" s="77" t="str">
        <f>IF(Main[[#This Row],[Tech Start Date]]&lt;1/1/1990,"",IF(Main[[#This Row],[Class]]="C",WORKDAY(Main[[#This Row],[Tech Start Date]],9),IF(Main[[#This Row],[Class]]="B", WORKDAY(Main[[#This Row],[Tech Start Date]],6),IF(Main[[#This Row],[Class]]="A",WORKDAY(Main[[#This Row],[Tech Start Date]],2),""))))</f>
        <v/>
      </c>
      <c r="N188" s="77" t="str">
        <f>IF(Main[[#This Row],[Tech Start Date]]&lt;1/1/1990,"",IF(Main[[#This Row],[Class]]="C",WORKDAY(Main[[#This Row],[Tech Start Date]],19),IF(Main[[#This Row],[Class]]="B", WORKDAY(Main[[#This Row],[Tech Start Date]],12),IF(Main[[#This Row],[Class]]="A",WORKDAY(Main[[#This Row],[Tech Start Date]],4),""))))</f>
        <v/>
      </c>
      <c r="O188" s="77" t="str">
        <f>IF(Main[[#This Row],[Tech Start Date]]&lt;1/1/1990,"",IF(Main[[#This Row],[Class]]="C",WORKDAY(Main[[#This Row],[Tech Start Date]],23),IF(Main[[#This Row],[Class]]="B", WORKDAY(Main[[#This Row],[Tech Start Date]],15),IF(Main[[#This Row],[Class]]="A",WORKDAY(Main[[#This Row],[Tech Start Date]],5),""))))</f>
        <v/>
      </c>
      <c r="P188" s="77" t="str">
        <f>IF(Main[[#This Row],[Tech Start Date]]&lt;1/1/1990,"",IF(Main[[#This Row],[Class]]="C",WORKDAY(Main[[#This Row],[Tech Start Date]],28),IF(Main[[#This Row],[Class]]="B", WORKDAY(Main[[#This Row],[Tech Start Date]],19),IF(Main[[#This Row],[Class]]="A",WORKDAY(Main[[#This Row],[Tech Start Date]],9),""))))</f>
        <v/>
      </c>
      <c r="Q188" s="74">
        <v>40318</v>
      </c>
      <c r="R188" s="74"/>
      <c r="S188" s="72" t="s">
        <v>11</v>
      </c>
      <c r="T188" s="80" t="s">
        <v>4</v>
      </c>
      <c r="U188" s="72" t="s">
        <v>14</v>
      </c>
      <c r="V188" s="72" t="s">
        <v>1927</v>
      </c>
      <c r="W188" s="72" t="s">
        <v>1919</v>
      </c>
      <c r="X188" s="72" t="s">
        <v>2836</v>
      </c>
      <c r="Y188" s="72" t="s">
        <v>4</v>
      </c>
      <c r="Z188" s="72" t="s">
        <v>4</v>
      </c>
      <c r="AA188" s="146" t="s">
        <v>2836</v>
      </c>
    </row>
    <row r="189" spans="1:27" ht="18.600000000000001" customHeight="1">
      <c r="A189" s="155" t="str">
        <f>IF(priority(Main[[#This Row],[Comments]])&lt;&gt;0, priority(Main[[#This Row],[Comments]]),"")</f>
        <v/>
      </c>
      <c r="B189" s="156" t="s">
        <v>2699</v>
      </c>
      <c r="C189" s="157" t="s">
        <v>2700</v>
      </c>
      <c r="D189" s="158" t="s">
        <v>2701</v>
      </c>
      <c r="E189" s="160"/>
      <c r="F189" s="160"/>
      <c r="G189" s="162" t="str">
        <f>IF(stdProdLT(Main[[#This Row],[Comments]])=0.1,"N/A",IF(stdProdLT(Main[[#This Row],[Comments]])=0,"",stdProdLT(Main[[#This Row],[Comments]])))</f>
        <v/>
      </c>
      <c r="H189" s="164" t="str">
        <f>IF(AND(Main[[#This Row],[In Stock Date]]&lt;&gt;"",Main[[#This Row],[Revised Due Date]]&lt;&gt;""),Main[[#This Row],[In Stock Date]]-Main[[#This Row],[Revised Due Date]],"")</f>
        <v/>
      </c>
      <c r="I189" s="157" t="s">
        <v>4</v>
      </c>
      <c r="J189" s="157" t="s">
        <v>4</v>
      </c>
      <c r="K189" s="157" t="s">
        <v>4</v>
      </c>
      <c r="L189" s="160"/>
      <c r="M189" s="167" t="str">
        <f>IF(Main[[#This Row],[Tech Start Date]]&lt;1/1/1990,"",IF(Main[[#This Row],[Class]]="C",WORKDAY(Main[[#This Row],[Tech Start Date]],9),IF(Main[[#This Row],[Class]]="B", WORKDAY(Main[[#This Row],[Tech Start Date]],6),IF(Main[[#This Row],[Class]]="A",WORKDAY(Main[[#This Row],[Tech Start Date]],2),""))))</f>
        <v/>
      </c>
      <c r="N189" s="167" t="str">
        <f>IF(Main[[#This Row],[Tech Start Date]]&lt;1/1/1990,"",IF(Main[[#This Row],[Class]]="C",WORKDAY(Main[[#This Row],[Tech Start Date]],19),IF(Main[[#This Row],[Class]]="B", WORKDAY(Main[[#This Row],[Tech Start Date]],12),IF(Main[[#This Row],[Class]]="A",WORKDAY(Main[[#This Row],[Tech Start Date]],4),""))))</f>
        <v/>
      </c>
      <c r="O189" s="167" t="str">
        <f>IF(Main[[#This Row],[Tech Start Date]]&lt;1/1/1990,"",IF(Main[[#This Row],[Class]]="C",WORKDAY(Main[[#This Row],[Tech Start Date]],23),IF(Main[[#This Row],[Class]]="B", WORKDAY(Main[[#This Row],[Tech Start Date]],15),IF(Main[[#This Row],[Class]]="A",WORKDAY(Main[[#This Row],[Tech Start Date]],5),""))))</f>
        <v/>
      </c>
      <c r="P189" s="167" t="str">
        <f>IF(Main[[#This Row],[Tech Start Date]]&lt;1/1/1990,"",IF(Main[[#This Row],[Class]]="C",WORKDAY(Main[[#This Row],[Tech Start Date]],28),IF(Main[[#This Row],[Class]]="B", WORKDAY(Main[[#This Row],[Tech Start Date]],19),IF(Main[[#This Row],[Class]]="A",WORKDAY(Main[[#This Row],[Tech Start Date]],9),""))))</f>
        <v/>
      </c>
      <c r="Q189" s="160">
        <v>40921</v>
      </c>
      <c r="R189" s="160"/>
      <c r="S189" s="157" t="s">
        <v>11</v>
      </c>
      <c r="T189" s="171" t="s">
        <v>4</v>
      </c>
      <c r="U189" s="157" t="s">
        <v>12</v>
      </c>
      <c r="V189" s="157" t="s">
        <v>1918</v>
      </c>
      <c r="W189" s="157" t="s">
        <v>1919</v>
      </c>
      <c r="X189" s="157" t="s">
        <v>2822</v>
      </c>
      <c r="Y189" s="157" t="s">
        <v>4</v>
      </c>
      <c r="Z189" s="157" t="s">
        <v>4</v>
      </c>
      <c r="AA189" s="153" t="s">
        <v>2822</v>
      </c>
    </row>
    <row r="190" spans="1:27" ht="18.600000000000001" customHeight="1">
      <c r="A190" s="139" t="str">
        <f>IF(priority(Main[[#This Row],[Comments]])&lt;&gt;0, priority(Main[[#This Row],[Comments]]),"")</f>
        <v/>
      </c>
      <c r="B190" s="89" t="s">
        <v>3594</v>
      </c>
      <c r="C190" s="72" t="s">
        <v>275</v>
      </c>
      <c r="D190" s="73" t="s">
        <v>3595</v>
      </c>
      <c r="E190" s="74">
        <v>40962.69332175926</v>
      </c>
      <c r="F190" s="74">
        <v>41091</v>
      </c>
      <c r="G190" s="75" t="str">
        <f>IF(stdProdLT(Main[[#This Row],[Comments]])=0.1,"N/A",IF(stdProdLT(Main[[#This Row],[Comments]])=0,"",stdProdLT(Main[[#This Row],[Comments]])))</f>
        <v>N/A</v>
      </c>
      <c r="H190" s="76" t="str">
        <f>IF(AND(Main[[#This Row],[In Stock Date]]&lt;&gt;"",Main[[#This Row],[Revised Due Date]]&lt;&gt;""),Main[[#This Row],[In Stock Date]]-Main[[#This Row],[Revised Due Date]],"")</f>
        <v/>
      </c>
      <c r="I190" s="72" t="s">
        <v>4</v>
      </c>
      <c r="J190" s="72" t="s">
        <v>4</v>
      </c>
      <c r="K190" s="72" t="s">
        <v>4</v>
      </c>
      <c r="L190" s="74"/>
      <c r="M190" s="77" t="str">
        <f>IF(Main[[#This Row],[Tech Start Date]]&lt;1/1/1990,"",IF(Main[[#This Row],[Class]]="C",WORKDAY(Main[[#This Row],[Tech Start Date]],9),IF(Main[[#This Row],[Class]]="B", WORKDAY(Main[[#This Row],[Tech Start Date]],6),IF(Main[[#This Row],[Class]]="A",WORKDAY(Main[[#This Row],[Tech Start Date]],2),""))))</f>
        <v/>
      </c>
      <c r="N190" s="77" t="str">
        <f>IF(Main[[#This Row],[Tech Start Date]]&lt;1/1/1990,"",IF(Main[[#This Row],[Class]]="C",WORKDAY(Main[[#This Row],[Tech Start Date]],19),IF(Main[[#This Row],[Class]]="B", WORKDAY(Main[[#This Row],[Tech Start Date]],12),IF(Main[[#This Row],[Class]]="A",WORKDAY(Main[[#This Row],[Tech Start Date]],4),""))))</f>
        <v/>
      </c>
      <c r="O190" s="77" t="str">
        <f>IF(Main[[#This Row],[Tech Start Date]]&lt;1/1/1990,"",IF(Main[[#This Row],[Class]]="C",WORKDAY(Main[[#This Row],[Tech Start Date]],23),IF(Main[[#This Row],[Class]]="B", WORKDAY(Main[[#This Row],[Tech Start Date]],15),IF(Main[[#This Row],[Class]]="A",WORKDAY(Main[[#This Row],[Tech Start Date]],5),""))))</f>
        <v/>
      </c>
      <c r="P190" s="77" t="str">
        <f>IF(Main[[#This Row],[Tech Start Date]]&lt;1/1/1990,"",IF(Main[[#This Row],[Class]]="C",WORKDAY(Main[[#This Row],[Tech Start Date]],28),IF(Main[[#This Row],[Class]]="B", WORKDAY(Main[[#This Row],[Tech Start Date]],19),IF(Main[[#This Row],[Class]]="A",WORKDAY(Main[[#This Row],[Tech Start Date]],9),""))))</f>
        <v/>
      </c>
      <c r="Q190" s="74"/>
      <c r="R190" s="74"/>
      <c r="S190" s="72" t="s">
        <v>17</v>
      </c>
      <c r="T190" s="80" t="s">
        <v>3596</v>
      </c>
      <c r="U190" s="72" t="s">
        <v>7</v>
      </c>
      <c r="V190" s="72" t="s">
        <v>1920</v>
      </c>
      <c r="W190" s="72" t="s">
        <v>1922</v>
      </c>
      <c r="X190" s="72" t="s">
        <v>50</v>
      </c>
      <c r="Y190" s="72" t="s">
        <v>3597</v>
      </c>
      <c r="Z190" s="72" t="s">
        <v>4</v>
      </c>
      <c r="AA190" s="146" t="s">
        <v>65</v>
      </c>
    </row>
    <row r="191" spans="1:27" ht="18.600000000000001" customHeight="1">
      <c r="A191" s="139" t="str">
        <f>IF(priority(Main[[#This Row],[Comments]])&lt;&gt;0, priority(Main[[#This Row],[Comments]]),"")</f>
        <v/>
      </c>
      <c r="B191" s="89" t="s">
        <v>2562</v>
      </c>
      <c r="C191" s="72" t="s">
        <v>4</v>
      </c>
      <c r="D191" s="73" t="s">
        <v>2563</v>
      </c>
      <c r="E191" s="74"/>
      <c r="F191" s="74"/>
      <c r="G191" s="75" t="str">
        <f>IF(stdProdLT(Main[[#This Row],[Comments]])=0.1,"N/A",IF(stdProdLT(Main[[#This Row],[Comments]])=0,"",stdProdLT(Main[[#This Row],[Comments]])))</f>
        <v/>
      </c>
      <c r="H191" s="76" t="str">
        <f>IF(AND(Main[[#This Row],[In Stock Date]]&lt;&gt;"",Main[[#This Row],[Revised Due Date]]&lt;&gt;""),Main[[#This Row],[In Stock Date]]-Main[[#This Row],[Revised Due Date]],"")</f>
        <v/>
      </c>
      <c r="I191" s="72" t="s">
        <v>30</v>
      </c>
      <c r="J191" s="72" t="s">
        <v>21</v>
      </c>
      <c r="K191" s="72" t="s">
        <v>4</v>
      </c>
      <c r="L191" s="74"/>
      <c r="M191" s="77" t="str">
        <f>IF(Main[[#This Row],[Tech Start Date]]&lt;1/1/1990,"",IF(Main[[#This Row],[Class]]="C",WORKDAY(Main[[#This Row],[Tech Start Date]],9),IF(Main[[#This Row],[Class]]="B", WORKDAY(Main[[#This Row],[Tech Start Date]],6),IF(Main[[#This Row],[Class]]="A",WORKDAY(Main[[#This Row],[Tech Start Date]],2),""))))</f>
        <v/>
      </c>
      <c r="N191" s="77" t="str">
        <f>IF(Main[[#This Row],[Tech Start Date]]&lt;1/1/1990,"",IF(Main[[#This Row],[Class]]="C",WORKDAY(Main[[#This Row],[Tech Start Date]],19),IF(Main[[#This Row],[Class]]="B", WORKDAY(Main[[#This Row],[Tech Start Date]],12),IF(Main[[#This Row],[Class]]="A",WORKDAY(Main[[#This Row],[Tech Start Date]],4),""))))</f>
        <v/>
      </c>
      <c r="O191" s="77" t="str">
        <f>IF(Main[[#This Row],[Tech Start Date]]&lt;1/1/1990,"",IF(Main[[#This Row],[Class]]="C",WORKDAY(Main[[#This Row],[Tech Start Date]],23),IF(Main[[#This Row],[Class]]="B", WORKDAY(Main[[#This Row],[Tech Start Date]],15),IF(Main[[#This Row],[Class]]="A",WORKDAY(Main[[#This Row],[Tech Start Date]],5),""))))</f>
        <v/>
      </c>
      <c r="P191" s="77" t="str">
        <f>IF(Main[[#This Row],[Tech Start Date]]&lt;1/1/1990,"",IF(Main[[#This Row],[Class]]="C",WORKDAY(Main[[#This Row],[Tech Start Date]],28),IF(Main[[#This Row],[Class]]="B", WORKDAY(Main[[#This Row],[Tech Start Date]],19),IF(Main[[#This Row],[Class]]="A",WORKDAY(Main[[#This Row],[Tech Start Date]],9),""))))</f>
        <v/>
      </c>
      <c r="Q191" s="74"/>
      <c r="R191" s="74"/>
      <c r="S191" s="72" t="s">
        <v>6</v>
      </c>
      <c r="T191" s="80" t="s">
        <v>4</v>
      </c>
      <c r="U191" s="72" t="s">
        <v>14</v>
      </c>
      <c r="V191" s="72" t="s">
        <v>1920</v>
      </c>
      <c r="W191" s="72" t="s">
        <v>1919</v>
      </c>
      <c r="X191" s="72" t="s">
        <v>306</v>
      </c>
      <c r="Y191" s="72" t="s">
        <v>4</v>
      </c>
      <c r="Z191" s="72" t="s">
        <v>30</v>
      </c>
      <c r="AA191" s="146" t="s">
        <v>3398</v>
      </c>
    </row>
    <row r="192" spans="1:27" ht="18.600000000000001" customHeight="1">
      <c r="A192" s="139" t="str">
        <f>IF(priority(Main[[#This Row],[Comments]])&lt;&gt;0, priority(Main[[#This Row],[Comments]]),"")</f>
        <v/>
      </c>
      <c r="B192" s="89" t="s">
        <v>1072</v>
      </c>
      <c r="C192" s="72" t="s">
        <v>4</v>
      </c>
      <c r="D192" s="73" t="s">
        <v>111</v>
      </c>
      <c r="E192" s="74"/>
      <c r="F192" s="74"/>
      <c r="G192" s="75" t="str">
        <f>IF(stdProdLT(Main[[#This Row],[Comments]])=0.1,"N/A",IF(stdProdLT(Main[[#This Row],[Comments]])=0,"",stdProdLT(Main[[#This Row],[Comments]])))</f>
        <v/>
      </c>
      <c r="H192" s="76" t="str">
        <f>IF(AND(Main[[#This Row],[In Stock Date]]&lt;&gt;"",Main[[#This Row],[Revised Due Date]]&lt;&gt;""),Main[[#This Row],[In Stock Date]]-Main[[#This Row],[Revised Due Date]],"")</f>
        <v/>
      </c>
      <c r="I192" s="72" t="s">
        <v>306</v>
      </c>
      <c r="J192" s="72" t="s">
        <v>75</v>
      </c>
      <c r="K192" s="72" t="s">
        <v>1926</v>
      </c>
      <c r="L192" s="74"/>
      <c r="M192" s="77" t="str">
        <f>IF(Main[[#This Row],[Tech Start Date]]&lt;1/1/1990,"",IF(Main[[#This Row],[Class]]="C",WORKDAY(Main[[#This Row],[Tech Start Date]],9),IF(Main[[#This Row],[Class]]="B", WORKDAY(Main[[#This Row],[Tech Start Date]],6),IF(Main[[#This Row],[Class]]="A",WORKDAY(Main[[#This Row],[Tech Start Date]],2),""))))</f>
        <v/>
      </c>
      <c r="N192" s="77" t="str">
        <f>IF(Main[[#This Row],[Tech Start Date]]&lt;1/1/1990,"",IF(Main[[#This Row],[Class]]="C",WORKDAY(Main[[#This Row],[Tech Start Date]],19),IF(Main[[#This Row],[Class]]="B", WORKDAY(Main[[#This Row],[Tech Start Date]],12),IF(Main[[#This Row],[Class]]="A",WORKDAY(Main[[#This Row],[Tech Start Date]],4),""))))</f>
        <v/>
      </c>
      <c r="O192" s="77" t="str">
        <f>IF(Main[[#This Row],[Tech Start Date]]&lt;1/1/1990,"",IF(Main[[#This Row],[Class]]="C",WORKDAY(Main[[#This Row],[Tech Start Date]],23),IF(Main[[#This Row],[Class]]="B", WORKDAY(Main[[#This Row],[Tech Start Date]],15),IF(Main[[#This Row],[Class]]="A",WORKDAY(Main[[#This Row],[Tech Start Date]],5),""))))</f>
        <v/>
      </c>
      <c r="P192" s="77" t="str">
        <f>IF(Main[[#This Row],[Tech Start Date]]&lt;1/1/1990,"",IF(Main[[#This Row],[Class]]="C",WORKDAY(Main[[#This Row],[Tech Start Date]],28),IF(Main[[#This Row],[Class]]="B", WORKDAY(Main[[#This Row],[Tech Start Date]],19),IF(Main[[#This Row],[Class]]="A",WORKDAY(Main[[#This Row],[Tech Start Date]],9),""))))</f>
        <v/>
      </c>
      <c r="Q192" s="74">
        <v>40336</v>
      </c>
      <c r="R192" s="74"/>
      <c r="S192" s="72" t="s">
        <v>6</v>
      </c>
      <c r="T192" s="80" t="s">
        <v>4</v>
      </c>
      <c r="U192" s="72" t="s">
        <v>14</v>
      </c>
      <c r="V192" s="72" t="s">
        <v>1920</v>
      </c>
      <c r="W192" s="72" t="s">
        <v>1919</v>
      </c>
      <c r="X192" s="72" t="s">
        <v>885</v>
      </c>
      <c r="Y192" s="72" t="s">
        <v>2969</v>
      </c>
      <c r="Z192" s="72" t="s">
        <v>30</v>
      </c>
      <c r="AA192" s="146" t="s">
        <v>885</v>
      </c>
    </row>
    <row r="193" spans="1:27" ht="18.600000000000001" customHeight="1">
      <c r="A193" s="155" t="str">
        <f>IF(priority(Main[[#This Row],[Comments]])&lt;&gt;0, priority(Main[[#This Row],[Comments]]),"")</f>
        <v/>
      </c>
      <c r="B193" s="156" t="s">
        <v>2159</v>
      </c>
      <c r="C193" s="157" t="s">
        <v>2160</v>
      </c>
      <c r="D193" s="158" t="s">
        <v>2161</v>
      </c>
      <c r="E193" s="160"/>
      <c r="F193" s="160">
        <v>40920</v>
      </c>
      <c r="G193" s="162" t="str">
        <f>IF(stdProdLT(Main[[#This Row],[Comments]])=0.1,"N/A",IF(stdProdLT(Main[[#This Row],[Comments]])=0,"",stdProdLT(Main[[#This Row],[Comments]])))</f>
        <v/>
      </c>
      <c r="H193" s="164" t="str">
        <f>IF(AND(Main[[#This Row],[In Stock Date]]&lt;&gt;"",Main[[#This Row],[Revised Due Date]]&lt;&gt;""),Main[[#This Row],[In Stock Date]]-Main[[#This Row],[Revised Due Date]],"")</f>
        <v/>
      </c>
      <c r="I193" s="157" t="s">
        <v>4</v>
      </c>
      <c r="J193" s="157" t="s">
        <v>28</v>
      </c>
      <c r="K193" s="157" t="s">
        <v>1926</v>
      </c>
      <c r="L193" s="160"/>
      <c r="M193" s="167" t="str">
        <f>IF(Main[[#This Row],[Tech Start Date]]&lt;1/1/1990,"",IF(Main[[#This Row],[Class]]="C",WORKDAY(Main[[#This Row],[Tech Start Date]],9),IF(Main[[#This Row],[Class]]="B", WORKDAY(Main[[#This Row],[Tech Start Date]],6),IF(Main[[#This Row],[Class]]="A",WORKDAY(Main[[#This Row],[Tech Start Date]],2),""))))</f>
        <v/>
      </c>
      <c r="N193" s="167" t="str">
        <f>IF(Main[[#This Row],[Tech Start Date]]&lt;1/1/1990,"",IF(Main[[#This Row],[Class]]="C",WORKDAY(Main[[#This Row],[Tech Start Date]],19),IF(Main[[#This Row],[Class]]="B", WORKDAY(Main[[#This Row],[Tech Start Date]],12),IF(Main[[#This Row],[Class]]="A",WORKDAY(Main[[#This Row],[Tech Start Date]],4),""))))</f>
        <v/>
      </c>
      <c r="O193" s="167" t="str">
        <f>IF(Main[[#This Row],[Tech Start Date]]&lt;1/1/1990,"",IF(Main[[#This Row],[Class]]="C",WORKDAY(Main[[#This Row],[Tech Start Date]],23),IF(Main[[#This Row],[Class]]="B", WORKDAY(Main[[#This Row],[Tech Start Date]],15),IF(Main[[#This Row],[Class]]="A",WORKDAY(Main[[#This Row],[Tech Start Date]],5),""))))</f>
        <v/>
      </c>
      <c r="P193" s="167" t="str">
        <f>IF(Main[[#This Row],[Tech Start Date]]&lt;1/1/1990,"",IF(Main[[#This Row],[Class]]="C",WORKDAY(Main[[#This Row],[Tech Start Date]],28),IF(Main[[#This Row],[Class]]="B", WORKDAY(Main[[#This Row],[Tech Start Date]],19),IF(Main[[#This Row],[Class]]="A",WORKDAY(Main[[#This Row],[Tech Start Date]],9),""))))</f>
        <v/>
      </c>
      <c r="Q193" s="160"/>
      <c r="R193" s="160"/>
      <c r="S193" s="157" t="s">
        <v>11</v>
      </c>
      <c r="T193" s="171" t="s">
        <v>4</v>
      </c>
      <c r="U193" s="157" t="s">
        <v>14</v>
      </c>
      <c r="V193" s="157" t="s">
        <v>1920</v>
      </c>
      <c r="W193" s="157" t="s">
        <v>1925</v>
      </c>
      <c r="X193" s="157" t="s">
        <v>50</v>
      </c>
      <c r="Y193" s="157" t="s">
        <v>2970</v>
      </c>
      <c r="Z193" s="157" t="s">
        <v>530</v>
      </c>
      <c r="AA193" s="153" t="s">
        <v>3399</v>
      </c>
    </row>
    <row r="194" spans="1:27" ht="18.600000000000001" customHeight="1">
      <c r="A194" s="139" t="str">
        <f>IF(priority(Main[[#This Row],[Comments]])&lt;&gt;0, priority(Main[[#This Row],[Comments]]),"")</f>
        <v/>
      </c>
      <c r="B194" s="89" t="s">
        <v>1850</v>
      </c>
      <c r="C194" s="72" t="s">
        <v>95</v>
      </c>
      <c r="D194" s="73" t="s">
        <v>905</v>
      </c>
      <c r="E194" s="74">
        <v>40428.41710648148</v>
      </c>
      <c r="F194" s="74"/>
      <c r="G194" s="75" t="str">
        <f>IF(stdProdLT(Main[[#This Row],[Comments]])=0.1,"N/A",IF(stdProdLT(Main[[#This Row],[Comments]])=0,"",stdProdLT(Main[[#This Row],[Comments]])))</f>
        <v/>
      </c>
      <c r="H194" s="76" t="str">
        <f>IF(AND(Main[[#This Row],[In Stock Date]]&lt;&gt;"",Main[[#This Row],[Revised Due Date]]&lt;&gt;""),Main[[#This Row],[In Stock Date]]-Main[[#This Row],[Revised Due Date]],"")</f>
        <v/>
      </c>
      <c r="I194" s="72" t="s">
        <v>415</v>
      </c>
      <c r="J194" s="72" t="s">
        <v>28</v>
      </c>
      <c r="K194" s="72" t="s">
        <v>1929</v>
      </c>
      <c r="L194" s="74"/>
      <c r="M194" s="77" t="str">
        <f>IF(Main[[#This Row],[Tech Start Date]]&lt;1/1/1990,"",IF(Main[[#This Row],[Class]]="C",WORKDAY(Main[[#This Row],[Tech Start Date]],9),IF(Main[[#This Row],[Class]]="B", WORKDAY(Main[[#This Row],[Tech Start Date]],6),IF(Main[[#This Row],[Class]]="A",WORKDAY(Main[[#This Row],[Tech Start Date]],2),""))))</f>
        <v/>
      </c>
      <c r="N194" s="77" t="str">
        <f>IF(Main[[#This Row],[Tech Start Date]]&lt;1/1/1990,"",IF(Main[[#This Row],[Class]]="C",WORKDAY(Main[[#This Row],[Tech Start Date]],19),IF(Main[[#This Row],[Class]]="B", WORKDAY(Main[[#This Row],[Tech Start Date]],12),IF(Main[[#This Row],[Class]]="A",WORKDAY(Main[[#This Row],[Tech Start Date]],4),""))))</f>
        <v/>
      </c>
      <c r="O194" s="77" t="str">
        <f>IF(Main[[#This Row],[Tech Start Date]]&lt;1/1/1990,"",IF(Main[[#This Row],[Class]]="C",WORKDAY(Main[[#This Row],[Tech Start Date]],23),IF(Main[[#This Row],[Class]]="B", WORKDAY(Main[[#This Row],[Tech Start Date]],15),IF(Main[[#This Row],[Class]]="A",WORKDAY(Main[[#This Row],[Tech Start Date]],5),""))))</f>
        <v/>
      </c>
      <c r="P194" s="77" t="str">
        <f>IF(Main[[#This Row],[Tech Start Date]]&lt;1/1/1990,"",IF(Main[[#This Row],[Class]]="C",WORKDAY(Main[[#This Row],[Tech Start Date]],28),IF(Main[[#This Row],[Class]]="B", WORKDAY(Main[[#This Row],[Tech Start Date]],19),IF(Main[[#This Row],[Class]]="A",WORKDAY(Main[[#This Row],[Tech Start Date]],9),""))))</f>
        <v/>
      </c>
      <c r="Q194" s="74">
        <v>40512</v>
      </c>
      <c r="R194" s="74">
        <v>40918</v>
      </c>
      <c r="S194" s="72" t="s">
        <v>17</v>
      </c>
      <c r="T194" s="80" t="s">
        <v>4</v>
      </c>
      <c r="U194" s="72" t="s">
        <v>29</v>
      </c>
      <c r="V194" s="72" t="s">
        <v>1920</v>
      </c>
      <c r="W194" s="72" t="s">
        <v>1923</v>
      </c>
      <c r="X194" s="72" t="s">
        <v>415</v>
      </c>
      <c r="Y194" s="72" t="s">
        <v>2981</v>
      </c>
      <c r="Z194" s="72" t="s">
        <v>970</v>
      </c>
      <c r="AA194" s="146" t="s">
        <v>415</v>
      </c>
    </row>
    <row r="195" spans="1:27" ht="18.600000000000001" customHeight="1">
      <c r="A195" s="139" t="str">
        <f>IF(priority(Main[[#This Row],[Comments]])&lt;&gt;0, priority(Main[[#This Row],[Comments]]),"")</f>
        <v/>
      </c>
      <c r="B195" s="89" t="s">
        <v>1073</v>
      </c>
      <c r="C195" s="72" t="s">
        <v>4</v>
      </c>
      <c r="D195" s="73" t="s">
        <v>112</v>
      </c>
      <c r="E195" s="74"/>
      <c r="F195" s="74"/>
      <c r="G195" s="75" t="str">
        <f>IF(stdProdLT(Main[[#This Row],[Comments]])=0.1,"N/A",IF(stdProdLT(Main[[#This Row],[Comments]])=0,"",stdProdLT(Main[[#This Row],[Comments]])))</f>
        <v/>
      </c>
      <c r="H195" s="76" t="str">
        <f>IF(AND(Main[[#This Row],[In Stock Date]]&lt;&gt;"",Main[[#This Row],[Revised Due Date]]&lt;&gt;""),Main[[#This Row],[In Stock Date]]-Main[[#This Row],[Revised Due Date]],"")</f>
        <v/>
      </c>
      <c r="I195" s="72" t="s">
        <v>4</v>
      </c>
      <c r="J195" s="72" t="s">
        <v>4</v>
      </c>
      <c r="K195" s="81" t="s">
        <v>4</v>
      </c>
      <c r="L195" s="74"/>
      <c r="M195" s="77" t="str">
        <f>IF(Main[[#This Row],[Tech Start Date]]&lt;1/1/1990,"",IF(Main[[#This Row],[Class]]="C",WORKDAY(Main[[#This Row],[Tech Start Date]],9),IF(Main[[#This Row],[Class]]="B", WORKDAY(Main[[#This Row],[Tech Start Date]],6),IF(Main[[#This Row],[Class]]="A",WORKDAY(Main[[#This Row],[Tech Start Date]],2),""))))</f>
        <v/>
      </c>
      <c r="N195" s="77" t="str">
        <f>IF(Main[[#This Row],[Tech Start Date]]&lt;1/1/1990,"",IF(Main[[#This Row],[Class]]="C",WORKDAY(Main[[#This Row],[Tech Start Date]],19),IF(Main[[#This Row],[Class]]="B", WORKDAY(Main[[#This Row],[Tech Start Date]],12),IF(Main[[#This Row],[Class]]="A",WORKDAY(Main[[#This Row],[Tech Start Date]],4),""))))</f>
        <v/>
      </c>
      <c r="O195" s="77" t="str">
        <f>IF(Main[[#This Row],[Tech Start Date]]&lt;1/1/1990,"",IF(Main[[#This Row],[Class]]="C",WORKDAY(Main[[#This Row],[Tech Start Date]],23),IF(Main[[#This Row],[Class]]="B", WORKDAY(Main[[#This Row],[Tech Start Date]],15),IF(Main[[#This Row],[Class]]="A",WORKDAY(Main[[#This Row],[Tech Start Date]],5),""))))</f>
        <v/>
      </c>
      <c r="P195" s="77" t="str">
        <f>IF(Main[[#This Row],[Tech Start Date]]&lt;1/1/1990,"",IF(Main[[#This Row],[Class]]="C",WORKDAY(Main[[#This Row],[Tech Start Date]],28),IF(Main[[#This Row],[Class]]="B", WORKDAY(Main[[#This Row],[Tech Start Date]],19),IF(Main[[#This Row],[Class]]="A",WORKDAY(Main[[#This Row],[Tech Start Date]],9),""))))</f>
        <v/>
      </c>
      <c r="Q195" s="74"/>
      <c r="R195" s="74"/>
      <c r="S195" s="72" t="s">
        <v>23</v>
      </c>
      <c r="T195" s="80" t="s">
        <v>4</v>
      </c>
      <c r="U195" s="72" t="s">
        <v>14</v>
      </c>
      <c r="V195" s="72" t="s">
        <v>1917</v>
      </c>
      <c r="W195" s="72" t="s">
        <v>1925</v>
      </c>
      <c r="X195" s="72" t="s">
        <v>306</v>
      </c>
      <c r="Y195" s="72" t="s">
        <v>4</v>
      </c>
      <c r="Z195" s="72" t="s">
        <v>4</v>
      </c>
      <c r="AA195" s="146" t="s">
        <v>3395</v>
      </c>
    </row>
    <row r="196" spans="1:27" ht="18.600000000000001" customHeight="1">
      <c r="A196" s="155" t="str">
        <f>IF(priority(Main[[#This Row],[Comments]])&lt;&gt;0, priority(Main[[#This Row],[Comments]]),"")</f>
        <v/>
      </c>
      <c r="B196" s="156" t="s">
        <v>1074</v>
      </c>
      <c r="C196" s="157" t="s">
        <v>113</v>
      </c>
      <c r="D196" s="158" t="s">
        <v>114</v>
      </c>
      <c r="E196" s="160"/>
      <c r="F196" s="160"/>
      <c r="G196" s="162" t="str">
        <f>IF(stdProdLT(Main[[#This Row],[Comments]])=0.1,"N/A",IF(stdProdLT(Main[[#This Row],[Comments]])=0,"",stdProdLT(Main[[#This Row],[Comments]])))</f>
        <v/>
      </c>
      <c r="H196" s="164" t="str">
        <f>IF(AND(Main[[#This Row],[In Stock Date]]&lt;&gt;"",Main[[#This Row],[Revised Due Date]]&lt;&gt;""),Main[[#This Row],[In Stock Date]]-Main[[#This Row],[Revised Due Date]],"")</f>
        <v/>
      </c>
      <c r="I196" s="157" t="s">
        <v>4</v>
      </c>
      <c r="J196" s="157" t="s">
        <v>28</v>
      </c>
      <c r="K196" s="157" t="s">
        <v>4</v>
      </c>
      <c r="L196" s="160"/>
      <c r="M196" s="167" t="str">
        <f>IF(Main[[#This Row],[Tech Start Date]]&lt;1/1/1990,"",IF(Main[[#This Row],[Class]]="C",WORKDAY(Main[[#This Row],[Tech Start Date]],9),IF(Main[[#This Row],[Class]]="B", WORKDAY(Main[[#This Row],[Tech Start Date]],6),IF(Main[[#This Row],[Class]]="A",WORKDAY(Main[[#This Row],[Tech Start Date]],2),""))))</f>
        <v/>
      </c>
      <c r="N196" s="167" t="str">
        <f>IF(Main[[#This Row],[Tech Start Date]]&lt;1/1/1990,"",IF(Main[[#This Row],[Class]]="C",WORKDAY(Main[[#This Row],[Tech Start Date]],19),IF(Main[[#This Row],[Class]]="B", WORKDAY(Main[[#This Row],[Tech Start Date]],12),IF(Main[[#This Row],[Class]]="A",WORKDAY(Main[[#This Row],[Tech Start Date]],4),""))))</f>
        <v/>
      </c>
      <c r="O196" s="167" t="str">
        <f>IF(Main[[#This Row],[Tech Start Date]]&lt;1/1/1990,"",IF(Main[[#This Row],[Class]]="C",WORKDAY(Main[[#This Row],[Tech Start Date]],23),IF(Main[[#This Row],[Class]]="B", WORKDAY(Main[[#This Row],[Tech Start Date]],15),IF(Main[[#This Row],[Class]]="A",WORKDAY(Main[[#This Row],[Tech Start Date]],5),""))))</f>
        <v/>
      </c>
      <c r="P196" s="167" t="str">
        <f>IF(Main[[#This Row],[Tech Start Date]]&lt;1/1/1990,"",IF(Main[[#This Row],[Class]]="C",WORKDAY(Main[[#This Row],[Tech Start Date]],28),IF(Main[[#This Row],[Class]]="B", WORKDAY(Main[[#This Row],[Tech Start Date]],19),IF(Main[[#This Row],[Class]]="A",WORKDAY(Main[[#This Row],[Tech Start Date]],9),""))))</f>
        <v/>
      </c>
      <c r="Q196" s="160">
        <v>40634</v>
      </c>
      <c r="R196" s="160"/>
      <c r="S196" s="157" t="s">
        <v>11</v>
      </c>
      <c r="T196" s="171" t="s">
        <v>4</v>
      </c>
      <c r="U196" s="157" t="s">
        <v>12</v>
      </c>
      <c r="V196" s="157" t="s">
        <v>1917</v>
      </c>
      <c r="W196" s="157" t="s">
        <v>1919</v>
      </c>
      <c r="X196" s="157" t="s">
        <v>2839</v>
      </c>
      <c r="Y196" s="157" t="s">
        <v>2945</v>
      </c>
      <c r="Z196" s="157" t="s">
        <v>129</v>
      </c>
      <c r="AA196" s="153" t="s">
        <v>2839</v>
      </c>
    </row>
    <row r="197" spans="1:27" ht="18.600000000000001" customHeight="1">
      <c r="A197" s="139" t="str">
        <f>IF(priority(Main[[#This Row],[Comments]])&lt;&gt;0, priority(Main[[#This Row],[Comments]]),"")</f>
        <v/>
      </c>
      <c r="B197" s="89" t="s">
        <v>1955</v>
      </c>
      <c r="C197" s="72" t="s">
        <v>4</v>
      </c>
      <c r="D197" s="73" t="s">
        <v>1980</v>
      </c>
      <c r="E197" s="74"/>
      <c r="F197" s="74"/>
      <c r="G197" s="75" t="str">
        <f>IF(stdProdLT(Main[[#This Row],[Comments]])=0.1,"N/A",IF(stdProdLT(Main[[#This Row],[Comments]])=0,"",stdProdLT(Main[[#This Row],[Comments]])))</f>
        <v/>
      </c>
      <c r="H197" s="76" t="str">
        <f>IF(AND(Main[[#This Row],[In Stock Date]]&lt;&gt;"",Main[[#This Row],[Revised Due Date]]&lt;&gt;""),Main[[#This Row],[In Stock Date]]-Main[[#This Row],[Revised Due Date]],"")</f>
        <v/>
      </c>
      <c r="I197" s="72" t="s">
        <v>4</v>
      </c>
      <c r="J197" s="72" t="s">
        <v>4</v>
      </c>
      <c r="K197" s="72" t="s">
        <v>4</v>
      </c>
      <c r="L197" s="74"/>
      <c r="M197" s="77" t="str">
        <f>IF(Main[[#This Row],[Tech Start Date]]&lt;1/1/1990,"",IF(Main[[#This Row],[Class]]="C",WORKDAY(Main[[#This Row],[Tech Start Date]],9),IF(Main[[#This Row],[Class]]="B", WORKDAY(Main[[#This Row],[Tech Start Date]],6),IF(Main[[#This Row],[Class]]="A",WORKDAY(Main[[#This Row],[Tech Start Date]],2),""))))</f>
        <v/>
      </c>
      <c r="N197" s="77" t="str">
        <f>IF(Main[[#This Row],[Tech Start Date]]&lt;1/1/1990,"",IF(Main[[#This Row],[Class]]="C",WORKDAY(Main[[#This Row],[Tech Start Date]],19),IF(Main[[#This Row],[Class]]="B", WORKDAY(Main[[#This Row],[Tech Start Date]],12),IF(Main[[#This Row],[Class]]="A",WORKDAY(Main[[#This Row],[Tech Start Date]],4),""))))</f>
        <v/>
      </c>
      <c r="O197" s="77" t="str">
        <f>IF(Main[[#This Row],[Tech Start Date]]&lt;1/1/1990,"",IF(Main[[#This Row],[Class]]="C",WORKDAY(Main[[#This Row],[Tech Start Date]],23),IF(Main[[#This Row],[Class]]="B", WORKDAY(Main[[#This Row],[Tech Start Date]],15),IF(Main[[#This Row],[Class]]="A",WORKDAY(Main[[#This Row],[Tech Start Date]],5),""))))</f>
        <v/>
      </c>
      <c r="P197" s="77" t="str">
        <f>IF(Main[[#This Row],[Tech Start Date]]&lt;1/1/1990,"",IF(Main[[#This Row],[Class]]="C",WORKDAY(Main[[#This Row],[Tech Start Date]],28),IF(Main[[#This Row],[Class]]="B", WORKDAY(Main[[#This Row],[Tech Start Date]],19),IF(Main[[#This Row],[Class]]="A",WORKDAY(Main[[#This Row],[Tech Start Date]],9),""))))</f>
        <v/>
      </c>
      <c r="Q197" s="74">
        <v>40737</v>
      </c>
      <c r="R197" s="74"/>
      <c r="S197" s="72" t="s">
        <v>6</v>
      </c>
      <c r="T197" s="80" t="s">
        <v>4</v>
      </c>
      <c r="U197" s="72" t="s">
        <v>14</v>
      </c>
      <c r="V197" s="72" t="s">
        <v>1920</v>
      </c>
      <c r="W197" s="72" t="s">
        <v>1921</v>
      </c>
      <c r="X197" s="72" t="s">
        <v>2842</v>
      </c>
      <c r="Y197" s="72" t="s">
        <v>2971</v>
      </c>
      <c r="Z197" s="72" t="s">
        <v>4</v>
      </c>
      <c r="AA197" s="146" t="s">
        <v>2842</v>
      </c>
    </row>
    <row r="198" spans="1:27" ht="18.600000000000001" customHeight="1">
      <c r="A198" s="139" t="str">
        <f>IF(priority(Main[[#This Row],[Comments]])&lt;&gt;0, priority(Main[[#This Row],[Comments]]),"")</f>
        <v/>
      </c>
      <c r="B198" s="89" t="s">
        <v>2768</v>
      </c>
      <c r="C198" s="72" t="s">
        <v>4</v>
      </c>
      <c r="D198" s="73" t="s">
        <v>2769</v>
      </c>
      <c r="E198" s="74">
        <v>40905.638495370367</v>
      </c>
      <c r="F198" s="74"/>
      <c r="G198" s="75" t="str">
        <f>IF(stdProdLT(Main[[#This Row],[Comments]])=0.1,"N/A",IF(stdProdLT(Main[[#This Row],[Comments]])=0,"",stdProdLT(Main[[#This Row],[Comments]])))</f>
        <v/>
      </c>
      <c r="H198" s="76" t="str">
        <f>IF(AND(Main[[#This Row],[In Stock Date]]&lt;&gt;"",Main[[#This Row],[Revised Due Date]]&lt;&gt;""),Main[[#This Row],[In Stock Date]]-Main[[#This Row],[Revised Due Date]],"")</f>
        <v/>
      </c>
      <c r="I198" s="72" t="s">
        <v>2047</v>
      </c>
      <c r="J198" s="72" t="s">
        <v>52</v>
      </c>
      <c r="K198" s="81" t="s">
        <v>1926</v>
      </c>
      <c r="L198" s="74"/>
      <c r="M198" s="77" t="str">
        <f>IF(Main[[#This Row],[Tech Start Date]]&lt;1/1/1990,"",IF(Main[[#This Row],[Class]]="C",WORKDAY(Main[[#This Row],[Tech Start Date]],9),IF(Main[[#This Row],[Class]]="B", WORKDAY(Main[[#This Row],[Tech Start Date]],6),IF(Main[[#This Row],[Class]]="A",WORKDAY(Main[[#This Row],[Tech Start Date]],2),""))))</f>
        <v/>
      </c>
      <c r="N198" s="77" t="str">
        <f>IF(Main[[#This Row],[Tech Start Date]]&lt;1/1/1990,"",IF(Main[[#This Row],[Class]]="C",WORKDAY(Main[[#This Row],[Tech Start Date]],19),IF(Main[[#This Row],[Class]]="B", WORKDAY(Main[[#This Row],[Tech Start Date]],12),IF(Main[[#This Row],[Class]]="A",WORKDAY(Main[[#This Row],[Tech Start Date]],4),""))))</f>
        <v/>
      </c>
      <c r="O198" s="77" t="str">
        <f>IF(Main[[#This Row],[Tech Start Date]]&lt;1/1/1990,"",IF(Main[[#This Row],[Class]]="C",WORKDAY(Main[[#This Row],[Tech Start Date]],23),IF(Main[[#This Row],[Class]]="B", WORKDAY(Main[[#This Row],[Tech Start Date]],15),IF(Main[[#This Row],[Class]]="A",WORKDAY(Main[[#This Row],[Tech Start Date]],5),""))))</f>
        <v/>
      </c>
      <c r="P198" s="77" t="str">
        <f>IF(Main[[#This Row],[Tech Start Date]]&lt;1/1/1990,"",IF(Main[[#This Row],[Class]]="C",WORKDAY(Main[[#This Row],[Tech Start Date]],28),IF(Main[[#This Row],[Class]]="B", WORKDAY(Main[[#This Row],[Tech Start Date]],19),IF(Main[[#This Row],[Class]]="A",WORKDAY(Main[[#This Row],[Tech Start Date]],9),""))))</f>
        <v/>
      </c>
      <c r="Q198" s="74">
        <v>41027</v>
      </c>
      <c r="R198" s="74"/>
      <c r="S198" s="72" t="s">
        <v>6</v>
      </c>
      <c r="T198" s="80" t="s">
        <v>4</v>
      </c>
      <c r="U198" s="72" t="s">
        <v>29</v>
      </c>
      <c r="V198" s="72" t="s">
        <v>1920</v>
      </c>
      <c r="W198" s="72" t="s">
        <v>1921</v>
      </c>
      <c r="X198" s="72" t="s">
        <v>30</v>
      </c>
      <c r="Y198" s="72" t="s">
        <v>2946</v>
      </c>
      <c r="Z198" s="72" t="s">
        <v>30</v>
      </c>
      <c r="AA198" s="146" t="s">
        <v>30</v>
      </c>
    </row>
    <row r="199" spans="1:27" ht="18.600000000000001" customHeight="1">
      <c r="A199" s="139" t="str">
        <f>IF(priority(Main[[#This Row],[Comments]])&lt;&gt;0, priority(Main[[#This Row],[Comments]]),"")</f>
        <v/>
      </c>
      <c r="B199" s="89" t="s">
        <v>1858</v>
      </c>
      <c r="C199" s="72" t="s">
        <v>99</v>
      </c>
      <c r="D199" s="73" t="s">
        <v>913</v>
      </c>
      <c r="E199" s="74"/>
      <c r="F199" s="74">
        <v>40525</v>
      </c>
      <c r="G199" s="75" t="str">
        <f>IF(stdProdLT(Main[[#This Row],[Comments]])=0.1,"N/A",IF(stdProdLT(Main[[#This Row],[Comments]])=0,"",stdProdLT(Main[[#This Row],[Comments]])))</f>
        <v/>
      </c>
      <c r="H199" s="76">
        <f>IF(AND(Main[[#This Row],[In Stock Date]]&lt;&gt;"",Main[[#This Row],[Revised Due Date]]&lt;&gt;""),Main[[#This Row],[In Stock Date]]-Main[[#This Row],[Revised Due Date]],"")</f>
        <v>-46</v>
      </c>
      <c r="I199" s="72" t="s">
        <v>914</v>
      </c>
      <c r="J199" s="72" t="s">
        <v>21</v>
      </c>
      <c r="K199" s="72" t="s">
        <v>1930</v>
      </c>
      <c r="L199" s="74"/>
      <c r="M199" s="77" t="str">
        <f>IF(Main[[#This Row],[Tech Start Date]]&lt;1/1/1990,"",IF(Main[[#This Row],[Class]]="C",WORKDAY(Main[[#This Row],[Tech Start Date]],9),IF(Main[[#This Row],[Class]]="B", WORKDAY(Main[[#This Row],[Tech Start Date]],6),IF(Main[[#This Row],[Class]]="A",WORKDAY(Main[[#This Row],[Tech Start Date]],2),""))))</f>
        <v/>
      </c>
      <c r="N199" s="77" t="str">
        <f>IF(Main[[#This Row],[Tech Start Date]]&lt;1/1/1990,"",IF(Main[[#This Row],[Class]]="C",WORKDAY(Main[[#This Row],[Tech Start Date]],19),IF(Main[[#This Row],[Class]]="B", WORKDAY(Main[[#This Row],[Tech Start Date]],12),IF(Main[[#This Row],[Class]]="A",WORKDAY(Main[[#This Row],[Tech Start Date]],4),""))))</f>
        <v/>
      </c>
      <c r="O199" s="77" t="str">
        <f>IF(Main[[#This Row],[Tech Start Date]]&lt;1/1/1990,"",IF(Main[[#This Row],[Class]]="C",WORKDAY(Main[[#This Row],[Tech Start Date]],23),IF(Main[[#This Row],[Class]]="B", WORKDAY(Main[[#This Row],[Tech Start Date]],15),IF(Main[[#This Row],[Class]]="A",WORKDAY(Main[[#This Row],[Tech Start Date]],5),""))))</f>
        <v/>
      </c>
      <c r="P199" s="77" t="str">
        <f>IF(Main[[#This Row],[Tech Start Date]]&lt;1/1/1990,"",IF(Main[[#This Row],[Class]]="C",WORKDAY(Main[[#This Row],[Tech Start Date]],28),IF(Main[[#This Row],[Class]]="B", WORKDAY(Main[[#This Row],[Tech Start Date]],19),IF(Main[[#This Row],[Class]]="A",WORKDAY(Main[[#This Row],[Tech Start Date]],9),""))))</f>
        <v/>
      </c>
      <c r="Q199" s="74">
        <v>40525</v>
      </c>
      <c r="R199" s="74">
        <v>40571</v>
      </c>
      <c r="S199" s="72" t="s">
        <v>11</v>
      </c>
      <c r="T199" s="80" t="s">
        <v>4</v>
      </c>
      <c r="U199" s="72" t="s">
        <v>14</v>
      </c>
      <c r="V199" s="72" t="s">
        <v>1917</v>
      </c>
      <c r="W199" s="72" t="s">
        <v>1922</v>
      </c>
      <c r="X199" s="72" t="s">
        <v>2843</v>
      </c>
      <c r="Y199" s="72" t="s">
        <v>2972</v>
      </c>
      <c r="Z199" s="72" t="s">
        <v>129</v>
      </c>
      <c r="AA199" s="146" t="s">
        <v>2840</v>
      </c>
    </row>
    <row r="200" spans="1:27" ht="18.600000000000001" customHeight="1">
      <c r="A200" s="139" t="str">
        <f>IF(priority(Main[[#This Row],[Comments]])&lt;&gt;0, priority(Main[[#This Row],[Comments]]),"")</f>
        <v/>
      </c>
      <c r="B200" s="89" t="s">
        <v>1861</v>
      </c>
      <c r="C200" s="72" t="s">
        <v>31</v>
      </c>
      <c r="D200" s="73" t="s">
        <v>917</v>
      </c>
      <c r="E200" s="74"/>
      <c r="F200" s="74">
        <v>40664</v>
      </c>
      <c r="G200" s="75" t="str">
        <f>IF(stdProdLT(Main[[#This Row],[Comments]])=0.1,"N/A",IF(stdProdLT(Main[[#This Row],[Comments]])=0,"",stdProdLT(Main[[#This Row],[Comments]])))</f>
        <v/>
      </c>
      <c r="H200" s="76">
        <f>IF(AND(Main[[#This Row],[In Stock Date]]&lt;&gt;"",Main[[#This Row],[Revised Due Date]]&lt;&gt;""),Main[[#This Row],[In Stock Date]]-Main[[#This Row],[Revised Due Date]],"")</f>
        <v>87</v>
      </c>
      <c r="I200" s="72" t="s">
        <v>399</v>
      </c>
      <c r="J200" s="72" t="s">
        <v>75</v>
      </c>
      <c r="K200" s="72" t="s">
        <v>1926</v>
      </c>
      <c r="L200" s="74"/>
      <c r="M200" s="77" t="str">
        <f>IF(Main[[#This Row],[Tech Start Date]]&lt;1/1/1990,"",IF(Main[[#This Row],[Class]]="C",WORKDAY(Main[[#This Row],[Tech Start Date]],9),IF(Main[[#This Row],[Class]]="B", WORKDAY(Main[[#This Row],[Tech Start Date]],6),IF(Main[[#This Row],[Class]]="A",WORKDAY(Main[[#This Row],[Tech Start Date]],2),""))))</f>
        <v/>
      </c>
      <c r="N200" s="77" t="str">
        <f>IF(Main[[#This Row],[Tech Start Date]]&lt;1/1/1990,"",IF(Main[[#This Row],[Class]]="C",WORKDAY(Main[[#This Row],[Tech Start Date]],19),IF(Main[[#This Row],[Class]]="B", WORKDAY(Main[[#This Row],[Tech Start Date]],12),IF(Main[[#This Row],[Class]]="A",WORKDAY(Main[[#This Row],[Tech Start Date]],4),""))))</f>
        <v/>
      </c>
      <c r="O200" s="77" t="str">
        <f>IF(Main[[#This Row],[Tech Start Date]]&lt;1/1/1990,"",IF(Main[[#This Row],[Class]]="C",WORKDAY(Main[[#This Row],[Tech Start Date]],23),IF(Main[[#This Row],[Class]]="B", WORKDAY(Main[[#This Row],[Tech Start Date]],15),IF(Main[[#This Row],[Class]]="A",WORKDAY(Main[[#This Row],[Tech Start Date]],5),""))))</f>
        <v/>
      </c>
      <c r="P200" s="77" t="str">
        <f>IF(Main[[#This Row],[Tech Start Date]]&lt;1/1/1990,"",IF(Main[[#This Row],[Class]]="C",WORKDAY(Main[[#This Row],[Tech Start Date]],28),IF(Main[[#This Row],[Class]]="B", WORKDAY(Main[[#This Row],[Tech Start Date]],19),IF(Main[[#This Row],[Class]]="A",WORKDAY(Main[[#This Row],[Tech Start Date]],9),""))))</f>
        <v/>
      </c>
      <c r="Q200" s="74"/>
      <c r="R200" s="74">
        <v>40577</v>
      </c>
      <c r="S200" s="72" t="s">
        <v>11</v>
      </c>
      <c r="T200" s="80" t="s">
        <v>4</v>
      </c>
      <c r="U200" s="72" t="s">
        <v>14</v>
      </c>
      <c r="V200" s="72" t="s">
        <v>1920</v>
      </c>
      <c r="W200" s="72" t="s">
        <v>1923</v>
      </c>
      <c r="X200" s="72" t="s">
        <v>2831</v>
      </c>
      <c r="Y200" s="72" t="s">
        <v>2973</v>
      </c>
      <c r="Z200" s="72" t="s">
        <v>530</v>
      </c>
      <c r="AA200" s="146" t="s">
        <v>2831</v>
      </c>
    </row>
    <row r="201" spans="1:27" ht="18.600000000000001" customHeight="1">
      <c r="A201" s="155" t="str">
        <f>IF(priority(Main[[#This Row],[Comments]])&lt;&gt;0, priority(Main[[#This Row],[Comments]]),"")</f>
        <v/>
      </c>
      <c r="B201" s="156" t="s">
        <v>1083</v>
      </c>
      <c r="C201" s="157" t="s">
        <v>4</v>
      </c>
      <c r="D201" s="158" t="s">
        <v>124</v>
      </c>
      <c r="E201" s="160"/>
      <c r="F201" s="160"/>
      <c r="G201" s="162" t="str">
        <f>IF(stdProdLT(Main[[#This Row],[Comments]])=0.1,"N/A",IF(stdProdLT(Main[[#This Row],[Comments]])=0,"",stdProdLT(Main[[#This Row],[Comments]])))</f>
        <v/>
      </c>
      <c r="H201" s="164" t="str">
        <f>IF(AND(Main[[#This Row],[In Stock Date]]&lt;&gt;"",Main[[#This Row],[Revised Due Date]]&lt;&gt;""),Main[[#This Row],[In Stock Date]]-Main[[#This Row],[Revised Due Date]],"")</f>
        <v/>
      </c>
      <c r="I201" s="157" t="s">
        <v>4</v>
      </c>
      <c r="J201" s="157" t="s">
        <v>4</v>
      </c>
      <c r="K201" s="157" t="s">
        <v>4</v>
      </c>
      <c r="L201" s="160"/>
      <c r="M201" s="167" t="str">
        <f>IF(Main[[#This Row],[Tech Start Date]]&lt;1/1/1990,"",IF(Main[[#This Row],[Class]]="C",WORKDAY(Main[[#This Row],[Tech Start Date]],9),IF(Main[[#This Row],[Class]]="B", WORKDAY(Main[[#This Row],[Tech Start Date]],6),IF(Main[[#This Row],[Class]]="A",WORKDAY(Main[[#This Row],[Tech Start Date]],2),""))))</f>
        <v/>
      </c>
      <c r="N201" s="167" t="str">
        <f>IF(Main[[#This Row],[Tech Start Date]]&lt;1/1/1990,"",IF(Main[[#This Row],[Class]]="C",WORKDAY(Main[[#This Row],[Tech Start Date]],19),IF(Main[[#This Row],[Class]]="B", WORKDAY(Main[[#This Row],[Tech Start Date]],12),IF(Main[[#This Row],[Class]]="A",WORKDAY(Main[[#This Row],[Tech Start Date]],4),""))))</f>
        <v/>
      </c>
      <c r="O201" s="167" t="str">
        <f>IF(Main[[#This Row],[Tech Start Date]]&lt;1/1/1990,"",IF(Main[[#This Row],[Class]]="C",WORKDAY(Main[[#This Row],[Tech Start Date]],23),IF(Main[[#This Row],[Class]]="B", WORKDAY(Main[[#This Row],[Tech Start Date]],15),IF(Main[[#This Row],[Class]]="A",WORKDAY(Main[[#This Row],[Tech Start Date]],5),""))))</f>
        <v/>
      </c>
      <c r="P201" s="167" t="str">
        <f>IF(Main[[#This Row],[Tech Start Date]]&lt;1/1/1990,"",IF(Main[[#This Row],[Class]]="C",WORKDAY(Main[[#This Row],[Tech Start Date]],28),IF(Main[[#This Row],[Class]]="B", WORKDAY(Main[[#This Row],[Tech Start Date]],19),IF(Main[[#This Row],[Class]]="A",WORKDAY(Main[[#This Row],[Tech Start Date]],9),""))))</f>
        <v/>
      </c>
      <c r="Q201" s="160">
        <v>40613</v>
      </c>
      <c r="R201" s="160"/>
      <c r="S201" s="157" t="s">
        <v>6</v>
      </c>
      <c r="T201" s="171" t="s">
        <v>4</v>
      </c>
      <c r="U201" s="157" t="s">
        <v>12</v>
      </c>
      <c r="V201" s="157" t="s">
        <v>1917</v>
      </c>
      <c r="W201" s="157" t="s">
        <v>1931</v>
      </c>
      <c r="X201" s="157" t="s">
        <v>126</v>
      </c>
      <c r="Y201" s="157" t="s">
        <v>4</v>
      </c>
      <c r="Z201" s="157" t="s">
        <v>4</v>
      </c>
      <c r="AA201" s="153" t="s">
        <v>3400</v>
      </c>
    </row>
    <row r="202" spans="1:27" ht="18.600000000000001" customHeight="1">
      <c r="A202" s="140" t="str">
        <f>IF(priority(Main[[#This Row],[Comments]])&lt;&gt;0, priority(Main[[#This Row],[Comments]]),"")</f>
        <v/>
      </c>
      <c r="B202" s="91" t="s">
        <v>2178</v>
      </c>
      <c r="C202" s="92" t="s">
        <v>2179</v>
      </c>
      <c r="D202" s="83" t="s">
        <v>2180</v>
      </c>
      <c r="E202" s="93"/>
      <c r="F202" s="93">
        <v>40829</v>
      </c>
      <c r="G202" s="92" t="str">
        <f>IF(stdProdLT(Main[[#This Row],[Comments]])=0.1,"N/A",IF(stdProdLT(Main[[#This Row],[Comments]])=0,"",stdProdLT(Main[[#This Row],[Comments]])))</f>
        <v/>
      </c>
      <c r="H202" s="94" t="str">
        <f>IF(AND(Main[[#This Row],[In Stock Date]]&lt;&gt;"",Main[[#This Row],[Revised Due Date]]&lt;&gt;""),Main[[#This Row],[In Stock Date]]-Main[[#This Row],[Revised Due Date]],"")</f>
        <v/>
      </c>
      <c r="I202" s="92" t="s">
        <v>4</v>
      </c>
      <c r="J202" s="92" t="s">
        <v>4</v>
      </c>
      <c r="K202" s="92" t="s">
        <v>4</v>
      </c>
      <c r="L202" s="93"/>
      <c r="M202" s="95" t="str">
        <f>IF(Main[[#This Row],[Tech Start Date]]&lt;1/1/1990,"",IF(Main[[#This Row],[Class]]="C",WORKDAY(Main[[#This Row],[Tech Start Date]],9),IF(Main[[#This Row],[Class]]="B", WORKDAY(Main[[#This Row],[Tech Start Date]],6),IF(Main[[#This Row],[Class]]="A",WORKDAY(Main[[#This Row],[Tech Start Date]],2),""))))</f>
        <v/>
      </c>
      <c r="N202" s="95" t="str">
        <f>IF(Main[[#This Row],[Tech Start Date]]&lt;1/1/1990,"",IF(Main[[#This Row],[Class]]="C",WORKDAY(Main[[#This Row],[Tech Start Date]],19),IF(Main[[#This Row],[Class]]="B", WORKDAY(Main[[#This Row],[Tech Start Date]],12),IF(Main[[#This Row],[Class]]="A",WORKDAY(Main[[#This Row],[Tech Start Date]],4),""))))</f>
        <v/>
      </c>
      <c r="O202" s="95" t="str">
        <f>IF(Main[[#This Row],[Tech Start Date]]&lt;1/1/1990,"",IF(Main[[#This Row],[Class]]="C",WORKDAY(Main[[#This Row],[Tech Start Date]],23),IF(Main[[#This Row],[Class]]="B", WORKDAY(Main[[#This Row],[Tech Start Date]],15),IF(Main[[#This Row],[Class]]="A",WORKDAY(Main[[#This Row],[Tech Start Date]],5),""))))</f>
        <v/>
      </c>
      <c r="P202" s="95" t="str">
        <f>IF(Main[[#This Row],[Tech Start Date]]&lt;1/1/1990,"",IF(Main[[#This Row],[Class]]="C",WORKDAY(Main[[#This Row],[Tech Start Date]],28),IF(Main[[#This Row],[Class]]="B", WORKDAY(Main[[#This Row],[Tech Start Date]],19),IF(Main[[#This Row],[Class]]="A",WORKDAY(Main[[#This Row],[Tech Start Date]],9),""))))</f>
        <v/>
      </c>
      <c r="Q202" s="93">
        <v>40801</v>
      </c>
      <c r="R202" s="93"/>
      <c r="S202" s="92" t="s">
        <v>11</v>
      </c>
      <c r="T202" s="96" t="s">
        <v>4</v>
      </c>
      <c r="U202" s="92" t="s">
        <v>14</v>
      </c>
      <c r="V202" s="92" t="s">
        <v>1918</v>
      </c>
      <c r="W202" s="92" t="s">
        <v>1925</v>
      </c>
      <c r="X202" s="82" t="s">
        <v>2844</v>
      </c>
      <c r="Y202" s="82" t="s">
        <v>2974</v>
      </c>
      <c r="Z202" s="82" t="s">
        <v>4</v>
      </c>
      <c r="AA202" s="146" t="s">
        <v>2844</v>
      </c>
    </row>
    <row r="203" spans="1:27" ht="18.600000000000001" customHeight="1">
      <c r="A203" s="139" t="str">
        <f>IF(priority(Main[[#This Row],[Comments]])&lt;&gt;0, priority(Main[[#This Row],[Comments]]),"")</f>
        <v/>
      </c>
      <c r="B203" s="89" t="s">
        <v>2538</v>
      </c>
      <c r="C203" s="72" t="s">
        <v>4</v>
      </c>
      <c r="D203" s="73" t="s">
        <v>2539</v>
      </c>
      <c r="E203" s="74">
        <v>40855.624421296299</v>
      </c>
      <c r="F203" s="74"/>
      <c r="G203" s="75" t="str">
        <f>IF(stdProdLT(Main[[#This Row],[Comments]])=0.1,"N/A",IF(stdProdLT(Main[[#This Row],[Comments]])=0,"",stdProdLT(Main[[#This Row],[Comments]])))</f>
        <v/>
      </c>
      <c r="H203" s="76" t="str">
        <f>IF(AND(Main[[#This Row],[In Stock Date]]&lt;&gt;"",Main[[#This Row],[Revised Due Date]]&lt;&gt;""),Main[[#This Row],[In Stock Date]]-Main[[#This Row],[Revised Due Date]],"")</f>
        <v/>
      </c>
      <c r="I203" s="72" t="s">
        <v>81</v>
      </c>
      <c r="J203" s="72" t="s">
        <v>21</v>
      </c>
      <c r="K203" s="72" t="s">
        <v>4</v>
      </c>
      <c r="L203" s="74"/>
      <c r="M203" s="77" t="str">
        <f>IF(Main[[#This Row],[Tech Start Date]]&lt;1/1/1990,"",IF(Main[[#This Row],[Class]]="C",WORKDAY(Main[[#This Row],[Tech Start Date]],9),IF(Main[[#This Row],[Class]]="B", WORKDAY(Main[[#This Row],[Tech Start Date]],6),IF(Main[[#This Row],[Class]]="A",WORKDAY(Main[[#This Row],[Tech Start Date]],2),""))))</f>
        <v/>
      </c>
      <c r="N203" s="77" t="str">
        <f>IF(Main[[#This Row],[Tech Start Date]]&lt;1/1/1990,"",IF(Main[[#This Row],[Class]]="C",WORKDAY(Main[[#This Row],[Tech Start Date]],19),IF(Main[[#This Row],[Class]]="B", WORKDAY(Main[[#This Row],[Tech Start Date]],12),IF(Main[[#This Row],[Class]]="A",WORKDAY(Main[[#This Row],[Tech Start Date]],4),""))))</f>
        <v/>
      </c>
      <c r="O203" s="77" t="str">
        <f>IF(Main[[#This Row],[Tech Start Date]]&lt;1/1/1990,"",IF(Main[[#This Row],[Class]]="C",WORKDAY(Main[[#This Row],[Tech Start Date]],23),IF(Main[[#This Row],[Class]]="B", WORKDAY(Main[[#This Row],[Tech Start Date]],15),IF(Main[[#This Row],[Class]]="A",WORKDAY(Main[[#This Row],[Tech Start Date]],5),""))))</f>
        <v/>
      </c>
      <c r="P203" s="77" t="str">
        <f>IF(Main[[#This Row],[Tech Start Date]]&lt;1/1/1990,"",IF(Main[[#This Row],[Class]]="C",WORKDAY(Main[[#This Row],[Tech Start Date]],28),IF(Main[[#This Row],[Class]]="B", WORKDAY(Main[[#This Row],[Tech Start Date]],19),IF(Main[[#This Row],[Class]]="A",WORKDAY(Main[[#This Row],[Tech Start Date]],9),""))))</f>
        <v/>
      </c>
      <c r="Q203" s="74">
        <v>40908</v>
      </c>
      <c r="R203" s="74"/>
      <c r="S203" s="72" t="s">
        <v>6</v>
      </c>
      <c r="T203" s="80" t="s">
        <v>4</v>
      </c>
      <c r="U203" s="72" t="s">
        <v>29</v>
      </c>
      <c r="V203" s="72" t="s">
        <v>1927</v>
      </c>
      <c r="W203" s="72" t="s">
        <v>1922</v>
      </c>
      <c r="X203" s="72" t="s">
        <v>81</v>
      </c>
      <c r="Y203" s="72" t="s">
        <v>2975</v>
      </c>
      <c r="Z203" s="72" t="s">
        <v>81</v>
      </c>
      <c r="AA203" s="146" t="s">
        <v>81</v>
      </c>
    </row>
    <row r="204" spans="1:27" ht="18.600000000000001" customHeight="1">
      <c r="A204" s="139" t="str">
        <f>IF(priority(Main[[#This Row],[Comments]])&lt;&gt;0, priority(Main[[#This Row],[Comments]]),"")</f>
        <v/>
      </c>
      <c r="B204" s="89" t="s">
        <v>1075</v>
      </c>
      <c r="C204" s="72" t="s">
        <v>31</v>
      </c>
      <c r="D204" s="73" t="s">
        <v>115</v>
      </c>
      <c r="E204" s="74"/>
      <c r="F204" s="74"/>
      <c r="G204" s="75" t="str">
        <f>IF(stdProdLT(Main[[#This Row],[Comments]])=0.1,"N/A",IF(stdProdLT(Main[[#This Row],[Comments]])=0,"",stdProdLT(Main[[#This Row],[Comments]])))</f>
        <v/>
      </c>
      <c r="H204" s="76" t="str">
        <f>IF(AND(Main[[#This Row],[In Stock Date]]&lt;&gt;"",Main[[#This Row],[Revised Due Date]]&lt;&gt;""),Main[[#This Row],[In Stock Date]]-Main[[#This Row],[Revised Due Date]],"")</f>
        <v/>
      </c>
      <c r="I204" s="72" t="s">
        <v>4</v>
      </c>
      <c r="J204" s="72" t="s">
        <v>4</v>
      </c>
      <c r="K204" s="72" t="s">
        <v>4</v>
      </c>
      <c r="L204" s="74"/>
      <c r="M204" s="77" t="str">
        <f>IF(Main[[#This Row],[Tech Start Date]]&lt;1/1/1990,"",IF(Main[[#This Row],[Class]]="C",WORKDAY(Main[[#This Row],[Tech Start Date]],9),IF(Main[[#This Row],[Class]]="B", WORKDAY(Main[[#This Row],[Tech Start Date]],6),IF(Main[[#This Row],[Class]]="A",WORKDAY(Main[[#This Row],[Tech Start Date]],2),""))))</f>
        <v/>
      </c>
      <c r="N204" s="77" t="str">
        <f>IF(Main[[#This Row],[Tech Start Date]]&lt;1/1/1990,"",IF(Main[[#This Row],[Class]]="C",WORKDAY(Main[[#This Row],[Tech Start Date]],19),IF(Main[[#This Row],[Class]]="B", WORKDAY(Main[[#This Row],[Tech Start Date]],12),IF(Main[[#This Row],[Class]]="A",WORKDAY(Main[[#This Row],[Tech Start Date]],4),""))))</f>
        <v/>
      </c>
      <c r="O204" s="77" t="str">
        <f>IF(Main[[#This Row],[Tech Start Date]]&lt;1/1/1990,"",IF(Main[[#This Row],[Class]]="C",WORKDAY(Main[[#This Row],[Tech Start Date]],23),IF(Main[[#This Row],[Class]]="B", WORKDAY(Main[[#This Row],[Tech Start Date]],15),IF(Main[[#This Row],[Class]]="A",WORKDAY(Main[[#This Row],[Tech Start Date]],5),""))))</f>
        <v/>
      </c>
      <c r="P204" s="77" t="str">
        <f>IF(Main[[#This Row],[Tech Start Date]]&lt;1/1/1990,"",IF(Main[[#This Row],[Class]]="C",WORKDAY(Main[[#This Row],[Tech Start Date]],28),IF(Main[[#This Row],[Class]]="B", WORKDAY(Main[[#This Row],[Tech Start Date]],19),IF(Main[[#This Row],[Class]]="A",WORKDAY(Main[[#This Row],[Tech Start Date]],9),""))))</f>
        <v/>
      </c>
      <c r="Q204" s="74">
        <v>40318</v>
      </c>
      <c r="R204" s="74"/>
      <c r="S204" s="72" t="s">
        <v>11</v>
      </c>
      <c r="T204" s="80" t="s">
        <v>4</v>
      </c>
      <c r="U204" s="72" t="s">
        <v>14</v>
      </c>
      <c r="V204" s="72" t="s">
        <v>1920</v>
      </c>
      <c r="W204" s="72" t="s">
        <v>1919</v>
      </c>
      <c r="X204" s="72" t="s">
        <v>2836</v>
      </c>
      <c r="Y204" s="72" t="s">
        <v>4</v>
      </c>
      <c r="Z204" s="72" t="s">
        <v>4</v>
      </c>
      <c r="AA204" s="146" t="s">
        <v>2836</v>
      </c>
    </row>
    <row r="205" spans="1:27" ht="18.600000000000001" customHeight="1">
      <c r="A205" s="139" t="str">
        <f>IF(priority(Main[[#This Row],[Comments]])&lt;&gt;0, priority(Main[[#This Row],[Comments]]),"")</f>
        <v/>
      </c>
      <c r="B205" s="89" t="s">
        <v>2333</v>
      </c>
      <c r="C205" s="72" t="s">
        <v>31</v>
      </c>
      <c r="D205" s="73" t="s">
        <v>2334</v>
      </c>
      <c r="E205" s="74"/>
      <c r="F205" s="74">
        <v>41000</v>
      </c>
      <c r="G205" s="75">
        <f>IF(stdProdLT(Main[[#This Row],[Comments]])=0.1,"N/A",IF(stdProdLT(Main[[#This Row],[Comments]])=0,"",stdProdLT(Main[[#This Row],[Comments]])))</f>
        <v>140</v>
      </c>
      <c r="H205" s="76" t="str">
        <f>IF(AND(Main[[#This Row],[In Stock Date]]&lt;&gt;"",Main[[#This Row],[Revised Due Date]]&lt;&gt;""),Main[[#This Row],[In Stock Date]]-Main[[#This Row],[Revised Due Date]],"")</f>
        <v/>
      </c>
      <c r="I205" s="72" t="s">
        <v>4</v>
      </c>
      <c r="J205" s="72" t="s">
        <v>4</v>
      </c>
      <c r="K205" s="72" t="s">
        <v>4</v>
      </c>
      <c r="L205" s="74"/>
      <c r="M205" s="77" t="str">
        <f>IF(Main[[#This Row],[Tech Start Date]]&lt;1/1/1990,"",IF(Main[[#This Row],[Class]]="C",WORKDAY(Main[[#This Row],[Tech Start Date]],9),IF(Main[[#This Row],[Class]]="B", WORKDAY(Main[[#This Row],[Tech Start Date]],6),IF(Main[[#This Row],[Class]]="A",WORKDAY(Main[[#This Row],[Tech Start Date]],2),""))))</f>
        <v/>
      </c>
      <c r="N205" s="77" t="str">
        <f>IF(Main[[#This Row],[Tech Start Date]]&lt;1/1/1990,"",IF(Main[[#This Row],[Class]]="C",WORKDAY(Main[[#This Row],[Tech Start Date]],19),IF(Main[[#This Row],[Class]]="B", WORKDAY(Main[[#This Row],[Tech Start Date]],12),IF(Main[[#This Row],[Class]]="A",WORKDAY(Main[[#This Row],[Tech Start Date]],4),""))))</f>
        <v/>
      </c>
      <c r="O205" s="77" t="str">
        <f>IF(Main[[#This Row],[Tech Start Date]]&lt;1/1/1990,"",IF(Main[[#This Row],[Class]]="C",WORKDAY(Main[[#This Row],[Tech Start Date]],23),IF(Main[[#This Row],[Class]]="B", WORKDAY(Main[[#This Row],[Tech Start Date]],15),IF(Main[[#This Row],[Class]]="A",WORKDAY(Main[[#This Row],[Tech Start Date]],5),""))))</f>
        <v/>
      </c>
      <c r="P205" s="77" t="str">
        <f>IF(Main[[#This Row],[Tech Start Date]]&lt;1/1/1990,"",IF(Main[[#This Row],[Class]]="C",WORKDAY(Main[[#This Row],[Tech Start Date]],28),IF(Main[[#This Row],[Class]]="B", WORKDAY(Main[[#This Row],[Tech Start Date]],19),IF(Main[[#This Row],[Class]]="A",WORKDAY(Main[[#This Row],[Tech Start Date]],9),""))))</f>
        <v/>
      </c>
      <c r="Q205" s="74">
        <v>40916</v>
      </c>
      <c r="R205" s="74"/>
      <c r="S205" s="72" t="s">
        <v>11</v>
      </c>
      <c r="T205" s="80" t="s">
        <v>2335</v>
      </c>
      <c r="U205" s="72" t="s">
        <v>14</v>
      </c>
      <c r="V205" s="72" t="s">
        <v>1927</v>
      </c>
      <c r="W205" s="72" t="s">
        <v>1923</v>
      </c>
      <c r="X205" s="72" t="s">
        <v>2846</v>
      </c>
      <c r="Y205" s="72" t="s">
        <v>4</v>
      </c>
      <c r="Z205" s="72" t="s">
        <v>4</v>
      </c>
      <c r="AA205" s="146" t="s">
        <v>2846</v>
      </c>
    </row>
    <row r="206" spans="1:27" ht="18.600000000000001" customHeight="1">
      <c r="A206" s="139" t="str">
        <f>IF(priority(Main[[#This Row],[Comments]])&lt;&gt;0, priority(Main[[#This Row],[Comments]]),"")</f>
        <v/>
      </c>
      <c r="B206" s="89" t="s">
        <v>2012</v>
      </c>
      <c r="C206" s="72" t="s">
        <v>4</v>
      </c>
      <c r="D206" s="73" t="s">
        <v>2013</v>
      </c>
      <c r="E206" s="74"/>
      <c r="F206" s="74"/>
      <c r="G206" s="75" t="str">
        <f>IF(stdProdLT(Main[[#This Row],[Comments]])=0.1,"N/A",IF(stdProdLT(Main[[#This Row],[Comments]])=0,"",stdProdLT(Main[[#This Row],[Comments]])))</f>
        <v/>
      </c>
      <c r="H206" s="76" t="str">
        <f>IF(AND(Main[[#This Row],[In Stock Date]]&lt;&gt;"",Main[[#This Row],[Revised Due Date]]&lt;&gt;""),Main[[#This Row],[In Stock Date]]-Main[[#This Row],[Revised Due Date]],"")</f>
        <v/>
      </c>
      <c r="I206" s="72" t="s">
        <v>4</v>
      </c>
      <c r="J206" s="72" t="s">
        <v>4</v>
      </c>
      <c r="K206" s="72" t="s">
        <v>4</v>
      </c>
      <c r="L206" s="74"/>
      <c r="M206" s="77" t="str">
        <f>IF(Main[[#This Row],[Tech Start Date]]&lt;1/1/1990,"",IF(Main[[#This Row],[Class]]="C",WORKDAY(Main[[#This Row],[Tech Start Date]],9),IF(Main[[#This Row],[Class]]="B", WORKDAY(Main[[#This Row],[Tech Start Date]],6),IF(Main[[#This Row],[Class]]="A",WORKDAY(Main[[#This Row],[Tech Start Date]],2),""))))</f>
        <v/>
      </c>
      <c r="N206" s="77" t="str">
        <f>IF(Main[[#This Row],[Tech Start Date]]&lt;1/1/1990,"",IF(Main[[#This Row],[Class]]="C",WORKDAY(Main[[#This Row],[Tech Start Date]],19),IF(Main[[#This Row],[Class]]="B", WORKDAY(Main[[#This Row],[Tech Start Date]],12),IF(Main[[#This Row],[Class]]="A",WORKDAY(Main[[#This Row],[Tech Start Date]],4),""))))</f>
        <v/>
      </c>
      <c r="O206" s="77" t="str">
        <f>IF(Main[[#This Row],[Tech Start Date]]&lt;1/1/1990,"",IF(Main[[#This Row],[Class]]="C",WORKDAY(Main[[#This Row],[Tech Start Date]],23),IF(Main[[#This Row],[Class]]="B", WORKDAY(Main[[#This Row],[Tech Start Date]],15),IF(Main[[#This Row],[Class]]="A",WORKDAY(Main[[#This Row],[Tech Start Date]],5),""))))</f>
        <v/>
      </c>
      <c r="P206" s="77" t="str">
        <f>IF(Main[[#This Row],[Tech Start Date]]&lt;1/1/1990,"",IF(Main[[#This Row],[Class]]="C",WORKDAY(Main[[#This Row],[Tech Start Date]],28),IF(Main[[#This Row],[Class]]="B", WORKDAY(Main[[#This Row],[Tech Start Date]],19),IF(Main[[#This Row],[Class]]="A",WORKDAY(Main[[#This Row],[Tech Start Date]],9),""))))</f>
        <v/>
      </c>
      <c r="Q206" s="74"/>
      <c r="R206" s="74"/>
      <c r="S206" s="72" t="s">
        <v>4</v>
      </c>
      <c r="T206" s="80" t="s">
        <v>4</v>
      </c>
      <c r="U206" s="72" t="s">
        <v>14</v>
      </c>
      <c r="V206" s="72" t="s">
        <v>1920</v>
      </c>
      <c r="W206" s="72" t="s">
        <v>1919</v>
      </c>
      <c r="X206" s="72" t="s">
        <v>2847</v>
      </c>
      <c r="Y206" s="72" t="s">
        <v>2977</v>
      </c>
      <c r="Z206" s="72" t="s">
        <v>4</v>
      </c>
      <c r="AA206" s="146" t="s">
        <v>2847</v>
      </c>
    </row>
    <row r="207" spans="1:27" ht="18.600000000000001" customHeight="1">
      <c r="A207" s="139" t="str">
        <f>IF(priority(Main[[#This Row],[Comments]])&lt;&gt;0, priority(Main[[#This Row],[Comments]]),"")</f>
        <v/>
      </c>
      <c r="B207" s="89" t="s">
        <v>1077</v>
      </c>
      <c r="C207" s="72" t="s">
        <v>42</v>
      </c>
      <c r="D207" s="73" t="s">
        <v>119</v>
      </c>
      <c r="E207" s="74"/>
      <c r="F207" s="74"/>
      <c r="G207" s="75" t="str">
        <f>IF(stdProdLT(Main[[#This Row],[Comments]])=0.1,"N/A",IF(stdProdLT(Main[[#This Row],[Comments]])=0,"",stdProdLT(Main[[#This Row],[Comments]])))</f>
        <v/>
      </c>
      <c r="H207" s="76" t="str">
        <f>IF(AND(Main[[#This Row],[In Stock Date]]&lt;&gt;"",Main[[#This Row],[Revised Due Date]]&lt;&gt;""),Main[[#This Row],[In Stock Date]]-Main[[#This Row],[Revised Due Date]],"")</f>
        <v/>
      </c>
      <c r="I207" s="72" t="s">
        <v>4</v>
      </c>
      <c r="J207" s="72" t="s">
        <v>4</v>
      </c>
      <c r="K207" s="72" t="s">
        <v>4</v>
      </c>
      <c r="L207" s="74"/>
      <c r="M207" s="77" t="str">
        <f>IF(Main[[#This Row],[Tech Start Date]]&lt;1/1/1990,"",IF(Main[[#This Row],[Class]]="C",WORKDAY(Main[[#This Row],[Tech Start Date]],9),IF(Main[[#This Row],[Class]]="B", WORKDAY(Main[[#This Row],[Tech Start Date]],6),IF(Main[[#This Row],[Class]]="A",WORKDAY(Main[[#This Row],[Tech Start Date]],2),""))))</f>
        <v/>
      </c>
      <c r="N207" s="77" t="str">
        <f>IF(Main[[#This Row],[Tech Start Date]]&lt;1/1/1990,"",IF(Main[[#This Row],[Class]]="C",WORKDAY(Main[[#This Row],[Tech Start Date]],19),IF(Main[[#This Row],[Class]]="B", WORKDAY(Main[[#This Row],[Tech Start Date]],12),IF(Main[[#This Row],[Class]]="A",WORKDAY(Main[[#This Row],[Tech Start Date]],4),""))))</f>
        <v/>
      </c>
      <c r="O207" s="77" t="str">
        <f>IF(Main[[#This Row],[Tech Start Date]]&lt;1/1/1990,"",IF(Main[[#This Row],[Class]]="C",WORKDAY(Main[[#This Row],[Tech Start Date]],23),IF(Main[[#This Row],[Class]]="B", WORKDAY(Main[[#This Row],[Tech Start Date]],15),IF(Main[[#This Row],[Class]]="A",WORKDAY(Main[[#This Row],[Tech Start Date]],5),""))))</f>
        <v/>
      </c>
      <c r="P207" s="77" t="str">
        <f>IF(Main[[#This Row],[Tech Start Date]]&lt;1/1/1990,"",IF(Main[[#This Row],[Class]]="C",WORKDAY(Main[[#This Row],[Tech Start Date]],28),IF(Main[[#This Row],[Class]]="B", WORKDAY(Main[[#This Row],[Tech Start Date]],19),IF(Main[[#This Row],[Class]]="A",WORKDAY(Main[[#This Row],[Tech Start Date]],9),""))))</f>
        <v/>
      </c>
      <c r="Q207" s="74"/>
      <c r="R207" s="74"/>
      <c r="S207" s="72" t="s">
        <v>11</v>
      </c>
      <c r="T207" s="80" t="s">
        <v>4</v>
      </c>
      <c r="U207" s="72" t="s">
        <v>14</v>
      </c>
      <c r="V207" s="72" t="s">
        <v>1918</v>
      </c>
      <c r="W207" s="72" t="s">
        <v>1925</v>
      </c>
      <c r="X207" s="72" t="s">
        <v>399</v>
      </c>
      <c r="Y207" s="72" t="s">
        <v>2954</v>
      </c>
      <c r="Z207" s="72" t="s">
        <v>4</v>
      </c>
      <c r="AA207" s="146" t="s">
        <v>399</v>
      </c>
    </row>
    <row r="208" spans="1:27" ht="18.600000000000001" customHeight="1">
      <c r="A208" s="155" t="str">
        <f>IF(priority(Main[[#This Row],[Comments]])&lt;&gt;0, priority(Main[[#This Row],[Comments]]),"")</f>
        <v/>
      </c>
      <c r="B208" s="156" t="s">
        <v>1489</v>
      </c>
      <c r="C208" s="157" t="s">
        <v>4</v>
      </c>
      <c r="D208" s="158" t="s">
        <v>572</v>
      </c>
      <c r="E208" s="160">
        <v>40422.460902777777</v>
      </c>
      <c r="F208" s="160"/>
      <c r="G208" s="162" t="str">
        <f>IF(stdProdLT(Main[[#This Row],[Comments]])=0.1,"N/A",IF(stdProdLT(Main[[#This Row],[Comments]])=0,"",stdProdLT(Main[[#This Row],[Comments]])))</f>
        <v/>
      </c>
      <c r="H208" s="164" t="str">
        <f>IF(AND(Main[[#This Row],[In Stock Date]]&lt;&gt;"",Main[[#This Row],[Revised Due Date]]&lt;&gt;""),Main[[#This Row],[In Stock Date]]-Main[[#This Row],[Revised Due Date]],"")</f>
        <v/>
      </c>
      <c r="I208" s="157" t="s">
        <v>4</v>
      </c>
      <c r="J208" s="157" t="s">
        <v>28</v>
      </c>
      <c r="K208" s="157" t="s">
        <v>4</v>
      </c>
      <c r="L208" s="160"/>
      <c r="M208" s="167" t="str">
        <f>IF(Main[[#This Row],[Tech Start Date]]&lt;1/1/1990,"",IF(Main[[#This Row],[Class]]="C",WORKDAY(Main[[#This Row],[Tech Start Date]],9),IF(Main[[#This Row],[Class]]="B", WORKDAY(Main[[#This Row],[Tech Start Date]],6),IF(Main[[#This Row],[Class]]="A",WORKDAY(Main[[#This Row],[Tech Start Date]],2),""))))</f>
        <v/>
      </c>
      <c r="N208" s="167" t="str">
        <f>IF(Main[[#This Row],[Tech Start Date]]&lt;1/1/1990,"",IF(Main[[#This Row],[Class]]="C",WORKDAY(Main[[#This Row],[Tech Start Date]],19),IF(Main[[#This Row],[Class]]="B", WORKDAY(Main[[#This Row],[Tech Start Date]],12),IF(Main[[#This Row],[Class]]="A",WORKDAY(Main[[#This Row],[Tech Start Date]],4),""))))</f>
        <v/>
      </c>
      <c r="O208" s="167" t="str">
        <f>IF(Main[[#This Row],[Tech Start Date]]&lt;1/1/1990,"",IF(Main[[#This Row],[Class]]="C",WORKDAY(Main[[#This Row],[Tech Start Date]],23),IF(Main[[#This Row],[Class]]="B", WORKDAY(Main[[#This Row],[Tech Start Date]],15),IF(Main[[#This Row],[Class]]="A",WORKDAY(Main[[#This Row],[Tech Start Date]],5),""))))</f>
        <v/>
      </c>
      <c r="P208" s="167" t="str">
        <f>IF(Main[[#This Row],[Tech Start Date]]&lt;1/1/1990,"",IF(Main[[#This Row],[Class]]="C",WORKDAY(Main[[#This Row],[Tech Start Date]],28),IF(Main[[#This Row],[Class]]="B", WORKDAY(Main[[#This Row],[Tech Start Date]],19),IF(Main[[#This Row],[Class]]="A",WORKDAY(Main[[#This Row],[Tech Start Date]],9),""))))</f>
        <v/>
      </c>
      <c r="Q208" s="160"/>
      <c r="R208" s="160"/>
      <c r="S208" s="157" t="s">
        <v>6</v>
      </c>
      <c r="T208" s="171" t="s">
        <v>4</v>
      </c>
      <c r="U208" s="157" t="s">
        <v>29</v>
      </c>
      <c r="V208" s="157" t="s">
        <v>1917</v>
      </c>
      <c r="W208" s="157" t="s">
        <v>1925</v>
      </c>
      <c r="X208" s="157" t="s">
        <v>2055</v>
      </c>
      <c r="Y208" s="157" t="s">
        <v>2978</v>
      </c>
      <c r="Z208" s="157" t="s">
        <v>129</v>
      </c>
      <c r="AA208" s="153" t="s">
        <v>2055</v>
      </c>
    </row>
    <row r="209" spans="1:27" ht="18.600000000000001" customHeight="1">
      <c r="A209" s="139" t="str">
        <f>IF(priority(Main[[#This Row],[Comments]])&lt;&gt;0, priority(Main[[#This Row],[Comments]]),"")</f>
        <v/>
      </c>
      <c r="B209" s="89" t="s">
        <v>2060</v>
      </c>
      <c r="C209" s="72" t="s">
        <v>4</v>
      </c>
      <c r="D209" s="73" t="s">
        <v>2061</v>
      </c>
      <c r="E209" s="74"/>
      <c r="F209" s="74"/>
      <c r="G209" s="75" t="str">
        <f>IF(stdProdLT(Main[[#This Row],[Comments]])=0.1,"N/A",IF(stdProdLT(Main[[#This Row],[Comments]])=0,"",stdProdLT(Main[[#This Row],[Comments]])))</f>
        <v/>
      </c>
      <c r="H209" s="76" t="str">
        <f>IF(AND(Main[[#This Row],[In Stock Date]]&lt;&gt;"",Main[[#This Row],[Revised Due Date]]&lt;&gt;""),Main[[#This Row],[In Stock Date]]-Main[[#This Row],[Revised Due Date]],"")</f>
        <v/>
      </c>
      <c r="I209" s="72" t="s">
        <v>429</v>
      </c>
      <c r="J209" s="72" t="s">
        <v>70</v>
      </c>
      <c r="K209" s="72" t="s">
        <v>1926</v>
      </c>
      <c r="L209" s="74"/>
      <c r="M209" s="77" t="str">
        <f>IF(Main[[#This Row],[Tech Start Date]]&lt;1/1/1990,"",IF(Main[[#This Row],[Class]]="C",WORKDAY(Main[[#This Row],[Tech Start Date]],9),IF(Main[[#This Row],[Class]]="B", WORKDAY(Main[[#This Row],[Tech Start Date]],6),IF(Main[[#This Row],[Class]]="A",WORKDAY(Main[[#This Row],[Tech Start Date]],2),""))))</f>
        <v/>
      </c>
      <c r="N209" s="77" t="str">
        <f>IF(Main[[#This Row],[Tech Start Date]]&lt;1/1/1990,"",IF(Main[[#This Row],[Class]]="C",WORKDAY(Main[[#This Row],[Tech Start Date]],19),IF(Main[[#This Row],[Class]]="B", WORKDAY(Main[[#This Row],[Tech Start Date]],12),IF(Main[[#This Row],[Class]]="A",WORKDAY(Main[[#This Row],[Tech Start Date]],4),""))))</f>
        <v/>
      </c>
      <c r="O209" s="77" t="str">
        <f>IF(Main[[#This Row],[Tech Start Date]]&lt;1/1/1990,"",IF(Main[[#This Row],[Class]]="C",WORKDAY(Main[[#This Row],[Tech Start Date]],23),IF(Main[[#This Row],[Class]]="B", WORKDAY(Main[[#This Row],[Tech Start Date]],15),IF(Main[[#This Row],[Class]]="A",WORKDAY(Main[[#This Row],[Tech Start Date]],5),""))))</f>
        <v/>
      </c>
      <c r="P209" s="77" t="str">
        <f>IF(Main[[#This Row],[Tech Start Date]]&lt;1/1/1990,"",IF(Main[[#This Row],[Class]]="C",WORKDAY(Main[[#This Row],[Tech Start Date]],28),IF(Main[[#This Row],[Class]]="B", WORKDAY(Main[[#This Row],[Tech Start Date]],19),IF(Main[[#This Row],[Class]]="A",WORKDAY(Main[[#This Row],[Tech Start Date]],9),""))))</f>
        <v/>
      </c>
      <c r="Q209" s="74">
        <v>40786</v>
      </c>
      <c r="R209" s="74"/>
      <c r="S209" s="72" t="s">
        <v>6</v>
      </c>
      <c r="T209" s="80" t="s">
        <v>4</v>
      </c>
      <c r="U209" s="72" t="s">
        <v>14</v>
      </c>
      <c r="V209" s="72" t="s">
        <v>1920</v>
      </c>
      <c r="W209" s="72" t="s">
        <v>1921</v>
      </c>
      <c r="X209" s="72" t="s">
        <v>30</v>
      </c>
      <c r="Y209" s="72" t="s">
        <v>2979</v>
      </c>
      <c r="Z209" s="72" t="s">
        <v>44</v>
      </c>
      <c r="AA209" s="146" t="s">
        <v>3401</v>
      </c>
    </row>
    <row r="210" spans="1:27" ht="18.600000000000001" customHeight="1">
      <c r="A210" s="139" t="str">
        <f>IF(priority(Main[[#This Row],[Comments]])&lt;&gt;0, priority(Main[[#This Row],[Comments]]),"")</f>
        <v/>
      </c>
      <c r="B210" s="89" t="s">
        <v>1448</v>
      </c>
      <c r="C210" s="72" t="s">
        <v>4</v>
      </c>
      <c r="D210" s="73" t="s">
        <v>2303</v>
      </c>
      <c r="E210" s="74"/>
      <c r="F210" s="74"/>
      <c r="G210" s="75" t="str">
        <f>IF(stdProdLT(Main[[#This Row],[Comments]])=0.1,"N/A",IF(stdProdLT(Main[[#This Row],[Comments]])=0,"",stdProdLT(Main[[#This Row],[Comments]])))</f>
        <v/>
      </c>
      <c r="H210" s="76" t="str">
        <f>IF(AND(Main[[#This Row],[In Stock Date]]&lt;&gt;"",Main[[#This Row],[Revised Due Date]]&lt;&gt;""),Main[[#This Row],[In Stock Date]]-Main[[#This Row],[Revised Due Date]],"")</f>
        <v/>
      </c>
      <c r="I210" s="72" t="s">
        <v>30</v>
      </c>
      <c r="J210" s="72" t="s">
        <v>28</v>
      </c>
      <c r="K210" s="72" t="s">
        <v>1926</v>
      </c>
      <c r="L210" s="74"/>
      <c r="M210" s="77" t="str">
        <f>IF(Main[[#This Row],[Tech Start Date]]&lt;1/1/1990,"",IF(Main[[#This Row],[Class]]="C",WORKDAY(Main[[#This Row],[Tech Start Date]],9),IF(Main[[#This Row],[Class]]="B", WORKDAY(Main[[#This Row],[Tech Start Date]],6),IF(Main[[#This Row],[Class]]="A",WORKDAY(Main[[#This Row],[Tech Start Date]],2),""))))</f>
        <v/>
      </c>
      <c r="N210" s="77" t="str">
        <f>IF(Main[[#This Row],[Tech Start Date]]&lt;1/1/1990,"",IF(Main[[#This Row],[Class]]="C",WORKDAY(Main[[#This Row],[Tech Start Date]],19),IF(Main[[#This Row],[Class]]="B", WORKDAY(Main[[#This Row],[Tech Start Date]],12),IF(Main[[#This Row],[Class]]="A",WORKDAY(Main[[#This Row],[Tech Start Date]],4),""))))</f>
        <v/>
      </c>
      <c r="O210" s="77" t="str">
        <f>IF(Main[[#This Row],[Tech Start Date]]&lt;1/1/1990,"",IF(Main[[#This Row],[Class]]="C",WORKDAY(Main[[#This Row],[Tech Start Date]],23),IF(Main[[#This Row],[Class]]="B", WORKDAY(Main[[#This Row],[Tech Start Date]],15),IF(Main[[#This Row],[Class]]="A",WORKDAY(Main[[#This Row],[Tech Start Date]],5),""))))</f>
        <v/>
      </c>
      <c r="P210" s="77" t="str">
        <f>IF(Main[[#This Row],[Tech Start Date]]&lt;1/1/1990,"",IF(Main[[#This Row],[Class]]="C",WORKDAY(Main[[#This Row],[Tech Start Date]],28),IF(Main[[#This Row],[Class]]="B", WORKDAY(Main[[#This Row],[Tech Start Date]],19),IF(Main[[#This Row],[Class]]="A",WORKDAY(Main[[#This Row],[Tech Start Date]],9),""))))</f>
        <v/>
      </c>
      <c r="Q210" s="74">
        <v>40606</v>
      </c>
      <c r="R210" s="74"/>
      <c r="S210" s="72" t="s">
        <v>6</v>
      </c>
      <c r="T210" s="80" t="s">
        <v>4</v>
      </c>
      <c r="U210" s="72" t="s">
        <v>14</v>
      </c>
      <c r="V210" s="72" t="s">
        <v>1920</v>
      </c>
      <c r="W210" s="72" t="s">
        <v>1921</v>
      </c>
      <c r="X210" s="72" t="s">
        <v>2842</v>
      </c>
      <c r="Y210" s="72" t="s">
        <v>2971</v>
      </c>
      <c r="Z210" s="72" t="s">
        <v>30</v>
      </c>
      <c r="AA210" s="146" t="s">
        <v>2842</v>
      </c>
    </row>
    <row r="211" spans="1:27" ht="18.600000000000001" customHeight="1">
      <c r="A211" s="139" t="str">
        <f>IF(priority(Main[[#This Row],[Comments]])&lt;&gt;0, priority(Main[[#This Row],[Comments]]),"")</f>
        <v/>
      </c>
      <c r="B211" s="89" t="s">
        <v>1081</v>
      </c>
      <c r="C211" s="72" t="s">
        <v>67</v>
      </c>
      <c r="D211" s="73" t="s">
        <v>121</v>
      </c>
      <c r="E211" s="74">
        <v>40707.647118055553</v>
      </c>
      <c r="F211" s="74"/>
      <c r="G211" s="75" t="str">
        <f>IF(stdProdLT(Main[[#This Row],[Comments]])=0.1,"N/A",IF(stdProdLT(Main[[#This Row],[Comments]])=0,"",stdProdLT(Main[[#This Row],[Comments]])))</f>
        <v/>
      </c>
      <c r="H211" s="76" t="str">
        <f>IF(AND(Main[[#This Row],[In Stock Date]]&lt;&gt;"",Main[[#This Row],[Revised Due Date]]&lt;&gt;""),Main[[#This Row],[In Stock Date]]-Main[[#This Row],[Revised Due Date]],"")</f>
        <v/>
      </c>
      <c r="I211" s="72" t="s">
        <v>4</v>
      </c>
      <c r="J211" s="72" t="s">
        <v>4</v>
      </c>
      <c r="K211" s="72" t="s">
        <v>4</v>
      </c>
      <c r="L211" s="74"/>
      <c r="M211" s="77" t="str">
        <f>IF(Main[[#This Row],[Tech Start Date]]&lt;1/1/1990,"",IF(Main[[#This Row],[Class]]="C",WORKDAY(Main[[#This Row],[Tech Start Date]],9),IF(Main[[#This Row],[Class]]="B", WORKDAY(Main[[#This Row],[Tech Start Date]],6),IF(Main[[#This Row],[Class]]="A",WORKDAY(Main[[#This Row],[Tech Start Date]],2),""))))</f>
        <v/>
      </c>
      <c r="N211" s="77" t="str">
        <f>IF(Main[[#This Row],[Tech Start Date]]&lt;1/1/1990,"",IF(Main[[#This Row],[Class]]="C",WORKDAY(Main[[#This Row],[Tech Start Date]],19),IF(Main[[#This Row],[Class]]="B", WORKDAY(Main[[#This Row],[Tech Start Date]],12),IF(Main[[#This Row],[Class]]="A",WORKDAY(Main[[#This Row],[Tech Start Date]],4),""))))</f>
        <v/>
      </c>
      <c r="O211" s="77" t="str">
        <f>IF(Main[[#This Row],[Tech Start Date]]&lt;1/1/1990,"",IF(Main[[#This Row],[Class]]="C",WORKDAY(Main[[#This Row],[Tech Start Date]],23),IF(Main[[#This Row],[Class]]="B", WORKDAY(Main[[#This Row],[Tech Start Date]],15),IF(Main[[#This Row],[Class]]="A",WORKDAY(Main[[#This Row],[Tech Start Date]],5),""))))</f>
        <v/>
      </c>
      <c r="P211" s="77" t="str">
        <f>IF(Main[[#This Row],[Tech Start Date]]&lt;1/1/1990,"",IF(Main[[#This Row],[Class]]="C",WORKDAY(Main[[#This Row],[Tech Start Date]],28),IF(Main[[#This Row],[Class]]="B", WORKDAY(Main[[#This Row],[Tech Start Date]],19),IF(Main[[#This Row],[Class]]="A",WORKDAY(Main[[#This Row],[Tech Start Date]],9),""))))</f>
        <v/>
      </c>
      <c r="Q211" s="74">
        <v>40755</v>
      </c>
      <c r="R211" s="74"/>
      <c r="S211" s="72" t="s">
        <v>17</v>
      </c>
      <c r="T211" s="80" t="s">
        <v>4</v>
      </c>
      <c r="U211" s="72" t="s">
        <v>7</v>
      </c>
      <c r="V211" s="72" t="s">
        <v>1920</v>
      </c>
      <c r="W211" s="72" t="s">
        <v>1922</v>
      </c>
      <c r="X211" s="72" t="s">
        <v>554</v>
      </c>
      <c r="Y211" s="72" t="s">
        <v>2958</v>
      </c>
      <c r="Z211" s="72" t="s">
        <v>4</v>
      </c>
      <c r="AA211" s="146" t="s">
        <v>554</v>
      </c>
    </row>
    <row r="212" spans="1:27" ht="18.600000000000001" customHeight="1">
      <c r="A212" s="139" t="str">
        <f>IF(priority(Main[[#This Row],[Comments]])&lt;&gt;0, priority(Main[[#This Row],[Comments]]),"")</f>
        <v/>
      </c>
      <c r="B212" s="89" t="s">
        <v>1079</v>
      </c>
      <c r="C212" s="72" t="s">
        <v>4</v>
      </c>
      <c r="D212" s="73" t="s">
        <v>120</v>
      </c>
      <c r="E212" s="74"/>
      <c r="F212" s="74"/>
      <c r="G212" s="75" t="str">
        <f>IF(stdProdLT(Main[[#This Row],[Comments]])=0.1,"N/A",IF(stdProdLT(Main[[#This Row],[Comments]])=0,"",stdProdLT(Main[[#This Row],[Comments]])))</f>
        <v/>
      </c>
      <c r="H212" s="76" t="str">
        <f>IF(AND(Main[[#This Row],[In Stock Date]]&lt;&gt;"",Main[[#This Row],[Revised Due Date]]&lt;&gt;""),Main[[#This Row],[In Stock Date]]-Main[[#This Row],[Revised Due Date]],"")</f>
        <v/>
      </c>
      <c r="I212" s="72" t="s">
        <v>4</v>
      </c>
      <c r="J212" s="72" t="s">
        <v>4</v>
      </c>
      <c r="K212" s="72" t="s">
        <v>4</v>
      </c>
      <c r="L212" s="74"/>
      <c r="M212" s="77" t="str">
        <f>IF(Main[[#This Row],[Tech Start Date]]&lt;1/1/1990,"",IF(Main[[#This Row],[Class]]="C",WORKDAY(Main[[#This Row],[Tech Start Date]],9),IF(Main[[#This Row],[Class]]="B", WORKDAY(Main[[#This Row],[Tech Start Date]],6),IF(Main[[#This Row],[Class]]="A",WORKDAY(Main[[#This Row],[Tech Start Date]],2),""))))</f>
        <v/>
      </c>
      <c r="N212" s="77" t="str">
        <f>IF(Main[[#This Row],[Tech Start Date]]&lt;1/1/1990,"",IF(Main[[#This Row],[Class]]="C",WORKDAY(Main[[#This Row],[Tech Start Date]],19),IF(Main[[#This Row],[Class]]="B", WORKDAY(Main[[#This Row],[Tech Start Date]],12),IF(Main[[#This Row],[Class]]="A",WORKDAY(Main[[#This Row],[Tech Start Date]],4),""))))</f>
        <v/>
      </c>
      <c r="O212" s="77" t="str">
        <f>IF(Main[[#This Row],[Tech Start Date]]&lt;1/1/1990,"",IF(Main[[#This Row],[Class]]="C",WORKDAY(Main[[#This Row],[Tech Start Date]],23),IF(Main[[#This Row],[Class]]="B", WORKDAY(Main[[#This Row],[Tech Start Date]],15),IF(Main[[#This Row],[Class]]="A",WORKDAY(Main[[#This Row],[Tech Start Date]],5),""))))</f>
        <v/>
      </c>
      <c r="P212" s="77" t="str">
        <f>IF(Main[[#This Row],[Tech Start Date]]&lt;1/1/1990,"",IF(Main[[#This Row],[Class]]="C",WORKDAY(Main[[#This Row],[Tech Start Date]],28),IF(Main[[#This Row],[Class]]="B", WORKDAY(Main[[#This Row],[Tech Start Date]],19),IF(Main[[#This Row],[Class]]="A",WORKDAY(Main[[#This Row],[Tech Start Date]],9),""))))</f>
        <v/>
      </c>
      <c r="Q212" s="74"/>
      <c r="R212" s="74"/>
      <c r="S212" s="72" t="s">
        <v>11</v>
      </c>
      <c r="T212" s="80" t="s">
        <v>4</v>
      </c>
      <c r="U212" s="72" t="s">
        <v>14</v>
      </c>
      <c r="V212" s="72" t="s">
        <v>1920</v>
      </c>
      <c r="W212" s="72" t="s">
        <v>1931</v>
      </c>
      <c r="X212" s="72" t="s">
        <v>2848</v>
      </c>
      <c r="Y212" s="72" t="s">
        <v>2980</v>
      </c>
      <c r="Z212" s="72" t="s">
        <v>4</v>
      </c>
      <c r="AA212" s="146" t="s">
        <v>2848</v>
      </c>
    </row>
    <row r="213" spans="1:27" ht="18.600000000000001" customHeight="1">
      <c r="A213" s="155" t="str">
        <f>IF(priority(Main[[#This Row],[Comments]])&lt;&gt;0, priority(Main[[#This Row],[Comments]]),"")</f>
        <v/>
      </c>
      <c r="B213" s="156" t="s">
        <v>1041</v>
      </c>
      <c r="C213" s="157" t="s">
        <v>4</v>
      </c>
      <c r="D213" s="158" t="s">
        <v>62</v>
      </c>
      <c r="E213" s="160"/>
      <c r="F213" s="160"/>
      <c r="G213" s="162" t="str">
        <f>IF(stdProdLT(Main[[#This Row],[Comments]])=0.1,"N/A",IF(stdProdLT(Main[[#This Row],[Comments]])=0,"",stdProdLT(Main[[#This Row],[Comments]])))</f>
        <v/>
      </c>
      <c r="H213" s="164" t="str">
        <f>IF(AND(Main[[#This Row],[In Stock Date]]&lt;&gt;"",Main[[#This Row],[Revised Due Date]]&lt;&gt;""),Main[[#This Row],[In Stock Date]]-Main[[#This Row],[Revised Due Date]],"")</f>
        <v/>
      </c>
      <c r="I213" s="157" t="s">
        <v>44</v>
      </c>
      <c r="J213" s="157" t="s">
        <v>28</v>
      </c>
      <c r="K213" s="157" t="s">
        <v>1926</v>
      </c>
      <c r="L213" s="160"/>
      <c r="M213" s="167" t="str">
        <f>IF(Main[[#This Row],[Tech Start Date]]&lt;1/1/1990,"",IF(Main[[#This Row],[Class]]="C",WORKDAY(Main[[#This Row],[Tech Start Date]],9),IF(Main[[#This Row],[Class]]="B", WORKDAY(Main[[#This Row],[Tech Start Date]],6),IF(Main[[#This Row],[Class]]="A",WORKDAY(Main[[#This Row],[Tech Start Date]],2),""))))</f>
        <v/>
      </c>
      <c r="N213" s="167" t="str">
        <f>IF(Main[[#This Row],[Tech Start Date]]&lt;1/1/1990,"",IF(Main[[#This Row],[Class]]="C",WORKDAY(Main[[#This Row],[Tech Start Date]],19),IF(Main[[#This Row],[Class]]="B", WORKDAY(Main[[#This Row],[Tech Start Date]],12),IF(Main[[#This Row],[Class]]="A",WORKDAY(Main[[#This Row],[Tech Start Date]],4),""))))</f>
        <v/>
      </c>
      <c r="O213" s="167" t="str">
        <f>IF(Main[[#This Row],[Tech Start Date]]&lt;1/1/1990,"",IF(Main[[#This Row],[Class]]="C",WORKDAY(Main[[#This Row],[Tech Start Date]],23),IF(Main[[#This Row],[Class]]="B", WORKDAY(Main[[#This Row],[Tech Start Date]],15),IF(Main[[#This Row],[Class]]="A",WORKDAY(Main[[#This Row],[Tech Start Date]],5),""))))</f>
        <v/>
      </c>
      <c r="P213" s="167" t="str">
        <f>IF(Main[[#This Row],[Tech Start Date]]&lt;1/1/1990,"",IF(Main[[#This Row],[Class]]="C",WORKDAY(Main[[#This Row],[Tech Start Date]],28),IF(Main[[#This Row],[Class]]="B", WORKDAY(Main[[#This Row],[Tech Start Date]],19),IF(Main[[#This Row],[Class]]="A",WORKDAY(Main[[#This Row],[Tech Start Date]],9),""))))</f>
        <v/>
      </c>
      <c r="Q213" s="160"/>
      <c r="R213" s="160"/>
      <c r="S213" s="157" t="s">
        <v>23</v>
      </c>
      <c r="T213" s="171" t="s">
        <v>4</v>
      </c>
      <c r="U213" s="157" t="s">
        <v>14</v>
      </c>
      <c r="V213" s="157" t="s">
        <v>1920</v>
      </c>
      <c r="W213" s="157" t="s">
        <v>1919</v>
      </c>
      <c r="X213" s="157" t="s">
        <v>102</v>
      </c>
      <c r="Y213" s="157" t="s">
        <v>4</v>
      </c>
      <c r="Z213" s="157" t="s">
        <v>44</v>
      </c>
      <c r="AA213" s="153" t="s">
        <v>3391</v>
      </c>
    </row>
    <row r="214" spans="1:27" ht="18.600000000000001" customHeight="1">
      <c r="A214" s="139" t="str">
        <f>IF(priority(Main[[#This Row],[Comments]])&lt;&gt;0, priority(Main[[#This Row],[Comments]]),"")</f>
        <v/>
      </c>
      <c r="B214" s="89" t="s">
        <v>1042</v>
      </c>
      <c r="C214" s="72" t="s">
        <v>63</v>
      </c>
      <c r="D214" s="73" t="s">
        <v>64</v>
      </c>
      <c r="E214" s="74"/>
      <c r="F214" s="74">
        <v>40513</v>
      </c>
      <c r="G214" s="75" t="str">
        <f>IF(stdProdLT(Main[[#This Row],[Comments]])=0.1,"N/A",IF(stdProdLT(Main[[#This Row],[Comments]])=0,"",stdProdLT(Main[[#This Row],[Comments]])))</f>
        <v/>
      </c>
      <c r="H214" s="76" t="str">
        <f>IF(AND(Main[[#This Row],[In Stock Date]]&lt;&gt;"",Main[[#This Row],[Revised Due Date]]&lt;&gt;""),Main[[#This Row],[In Stock Date]]-Main[[#This Row],[Revised Due Date]],"")</f>
        <v/>
      </c>
      <c r="I214" s="72" t="s">
        <v>65</v>
      </c>
      <c r="J214" s="72" t="s">
        <v>28</v>
      </c>
      <c r="K214" s="72" t="s">
        <v>4</v>
      </c>
      <c r="L214" s="74"/>
      <c r="M214" s="77" t="str">
        <f>IF(Main[[#This Row],[Tech Start Date]]&lt;1/1/1990,"",IF(Main[[#This Row],[Class]]="C",WORKDAY(Main[[#This Row],[Tech Start Date]],9),IF(Main[[#This Row],[Class]]="B", WORKDAY(Main[[#This Row],[Tech Start Date]],6),IF(Main[[#This Row],[Class]]="A",WORKDAY(Main[[#This Row],[Tech Start Date]],2),""))))</f>
        <v/>
      </c>
      <c r="N214" s="77" t="str">
        <f>IF(Main[[#This Row],[Tech Start Date]]&lt;1/1/1990,"",IF(Main[[#This Row],[Class]]="C",WORKDAY(Main[[#This Row],[Tech Start Date]],19),IF(Main[[#This Row],[Class]]="B", WORKDAY(Main[[#This Row],[Tech Start Date]],12),IF(Main[[#This Row],[Class]]="A",WORKDAY(Main[[#This Row],[Tech Start Date]],4),""))))</f>
        <v/>
      </c>
      <c r="O214" s="77" t="str">
        <f>IF(Main[[#This Row],[Tech Start Date]]&lt;1/1/1990,"",IF(Main[[#This Row],[Class]]="C",WORKDAY(Main[[#This Row],[Tech Start Date]],23),IF(Main[[#This Row],[Class]]="B", WORKDAY(Main[[#This Row],[Tech Start Date]],15),IF(Main[[#This Row],[Class]]="A",WORKDAY(Main[[#This Row],[Tech Start Date]],5),""))))</f>
        <v/>
      </c>
      <c r="P214" s="77" t="str">
        <f>IF(Main[[#This Row],[Tech Start Date]]&lt;1/1/1990,"",IF(Main[[#This Row],[Class]]="C",WORKDAY(Main[[#This Row],[Tech Start Date]],28),IF(Main[[#This Row],[Class]]="B", WORKDAY(Main[[#This Row],[Tech Start Date]],19),IF(Main[[#This Row],[Class]]="A",WORKDAY(Main[[#This Row],[Tech Start Date]],9),""))))</f>
        <v/>
      </c>
      <c r="Q214" s="74">
        <v>40513</v>
      </c>
      <c r="R214" s="74"/>
      <c r="S214" s="72" t="s">
        <v>11</v>
      </c>
      <c r="T214" s="80" t="s">
        <v>4</v>
      </c>
      <c r="U214" s="72" t="s">
        <v>14</v>
      </c>
      <c r="V214" s="72" t="s">
        <v>1920</v>
      </c>
      <c r="W214" s="72" t="s">
        <v>1922</v>
      </c>
      <c r="X214" s="72" t="s">
        <v>2821</v>
      </c>
      <c r="Y214" s="72" t="s">
        <v>2933</v>
      </c>
      <c r="Z214" s="72" t="s">
        <v>530</v>
      </c>
      <c r="AA214" s="146" t="s">
        <v>2821</v>
      </c>
    </row>
    <row r="215" spans="1:27" ht="18.600000000000001" customHeight="1">
      <c r="A215" s="155" t="str">
        <f>IF(priority(Main[[#This Row],[Comments]])&lt;&gt;0, priority(Main[[#This Row],[Comments]]),"")</f>
        <v/>
      </c>
      <c r="B215" s="156" t="s">
        <v>2052</v>
      </c>
      <c r="C215" s="157" t="s">
        <v>694</v>
      </c>
      <c r="D215" s="158" t="s">
        <v>2053</v>
      </c>
      <c r="E215" s="160"/>
      <c r="F215" s="160"/>
      <c r="G215" s="162" t="str">
        <f>IF(stdProdLT(Main[[#This Row],[Comments]])=0.1,"N/A",IF(stdProdLT(Main[[#This Row],[Comments]])=0,"",stdProdLT(Main[[#This Row],[Comments]])))</f>
        <v/>
      </c>
      <c r="H215" s="164" t="str">
        <f>IF(AND(Main[[#This Row],[In Stock Date]]&lt;&gt;"",Main[[#This Row],[Revised Due Date]]&lt;&gt;""),Main[[#This Row],[In Stock Date]]-Main[[#This Row],[Revised Due Date]],"")</f>
        <v/>
      </c>
      <c r="I215" s="157" t="s">
        <v>4</v>
      </c>
      <c r="J215" s="157" t="s">
        <v>4</v>
      </c>
      <c r="K215" s="157" t="s">
        <v>4</v>
      </c>
      <c r="L215" s="160"/>
      <c r="M215" s="167" t="str">
        <f>IF(Main[[#This Row],[Tech Start Date]]&lt;1/1/1990,"",IF(Main[[#This Row],[Class]]="C",WORKDAY(Main[[#This Row],[Tech Start Date]],9),IF(Main[[#This Row],[Class]]="B", WORKDAY(Main[[#This Row],[Tech Start Date]],6),IF(Main[[#This Row],[Class]]="A",WORKDAY(Main[[#This Row],[Tech Start Date]],2),""))))</f>
        <v/>
      </c>
      <c r="N215" s="167" t="str">
        <f>IF(Main[[#This Row],[Tech Start Date]]&lt;1/1/1990,"",IF(Main[[#This Row],[Class]]="C",WORKDAY(Main[[#This Row],[Tech Start Date]],19),IF(Main[[#This Row],[Class]]="B", WORKDAY(Main[[#This Row],[Tech Start Date]],12),IF(Main[[#This Row],[Class]]="A",WORKDAY(Main[[#This Row],[Tech Start Date]],4),""))))</f>
        <v/>
      </c>
      <c r="O215" s="167" t="str">
        <f>IF(Main[[#This Row],[Tech Start Date]]&lt;1/1/1990,"",IF(Main[[#This Row],[Class]]="C",WORKDAY(Main[[#This Row],[Tech Start Date]],23),IF(Main[[#This Row],[Class]]="B", WORKDAY(Main[[#This Row],[Tech Start Date]],15),IF(Main[[#This Row],[Class]]="A",WORKDAY(Main[[#This Row],[Tech Start Date]],5),""))))</f>
        <v/>
      </c>
      <c r="P215" s="167" t="str">
        <f>IF(Main[[#This Row],[Tech Start Date]]&lt;1/1/1990,"",IF(Main[[#This Row],[Class]]="C",WORKDAY(Main[[#This Row],[Tech Start Date]],28),IF(Main[[#This Row],[Class]]="B", WORKDAY(Main[[#This Row],[Tech Start Date]],19),IF(Main[[#This Row],[Class]]="A",WORKDAY(Main[[#This Row],[Tech Start Date]],9),""))))</f>
        <v/>
      </c>
      <c r="Q215" s="160">
        <v>40760</v>
      </c>
      <c r="R215" s="160"/>
      <c r="S215" s="157" t="s">
        <v>11</v>
      </c>
      <c r="T215" s="171" t="s">
        <v>4</v>
      </c>
      <c r="U215" s="157" t="s">
        <v>14</v>
      </c>
      <c r="V215" s="157" t="s">
        <v>1918</v>
      </c>
      <c r="W215" s="157" t="s">
        <v>1919</v>
      </c>
      <c r="X215" s="157" t="s">
        <v>2822</v>
      </c>
      <c r="Y215" s="157" t="s">
        <v>4</v>
      </c>
      <c r="Z215" s="157" t="s">
        <v>4</v>
      </c>
      <c r="AA215" s="153" t="s">
        <v>2822</v>
      </c>
    </row>
    <row r="216" spans="1:27" ht="18.600000000000001" customHeight="1">
      <c r="A216" s="139" t="str">
        <f>IF(priority(Main[[#This Row],[Comments]])&lt;&gt;0, priority(Main[[#This Row],[Comments]]),"")</f>
        <v/>
      </c>
      <c r="B216" s="89" t="s">
        <v>1033</v>
      </c>
      <c r="C216" s="72" t="s">
        <v>53</v>
      </c>
      <c r="D216" s="73" t="s">
        <v>54</v>
      </c>
      <c r="E216" s="74"/>
      <c r="F216" s="74"/>
      <c r="G216" s="75" t="str">
        <f>IF(stdProdLT(Main[[#This Row],[Comments]])=0.1,"N/A",IF(stdProdLT(Main[[#This Row],[Comments]])=0,"",stdProdLT(Main[[#This Row],[Comments]])))</f>
        <v/>
      </c>
      <c r="H216" s="76" t="str">
        <f>IF(AND(Main[[#This Row],[In Stock Date]]&lt;&gt;"",Main[[#This Row],[Revised Due Date]]&lt;&gt;""),Main[[#This Row],[In Stock Date]]-Main[[#This Row],[Revised Due Date]],"")</f>
        <v/>
      </c>
      <c r="I216" s="72" t="s">
        <v>4</v>
      </c>
      <c r="J216" s="72" t="s">
        <v>28</v>
      </c>
      <c r="K216" s="72" t="s">
        <v>1930</v>
      </c>
      <c r="L216" s="74"/>
      <c r="M216" s="77" t="str">
        <f>IF(Main[[#This Row],[Tech Start Date]]&lt;1/1/1990,"",IF(Main[[#This Row],[Class]]="C",WORKDAY(Main[[#This Row],[Tech Start Date]],9),IF(Main[[#This Row],[Class]]="B", WORKDAY(Main[[#This Row],[Tech Start Date]],6),IF(Main[[#This Row],[Class]]="A",WORKDAY(Main[[#This Row],[Tech Start Date]],2),""))))</f>
        <v/>
      </c>
      <c r="N216" s="77" t="str">
        <f>IF(Main[[#This Row],[Tech Start Date]]&lt;1/1/1990,"",IF(Main[[#This Row],[Class]]="C",WORKDAY(Main[[#This Row],[Tech Start Date]],19),IF(Main[[#This Row],[Class]]="B", WORKDAY(Main[[#This Row],[Tech Start Date]],12),IF(Main[[#This Row],[Class]]="A",WORKDAY(Main[[#This Row],[Tech Start Date]],4),""))))</f>
        <v/>
      </c>
      <c r="O216" s="77" t="str">
        <f>IF(Main[[#This Row],[Tech Start Date]]&lt;1/1/1990,"",IF(Main[[#This Row],[Class]]="C",WORKDAY(Main[[#This Row],[Tech Start Date]],23),IF(Main[[#This Row],[Class]]="B", WORKDAY(Main[[#This Row],[Tech Start Date]],15),IF(Main[[#This Row],[Class]]="A",WORKDAY(Main[[#This Row],[Tech Start Date]],5),""))))</f>
        <v/>
      </c>
      <c r="P216" s="77" t="str">
        <f>IF(Main[[#This Row],[Tech Start Date]]&lt;1/1/1990,"",IF(Main[[#This Row],[Class]]="C",WORKDAY(Main[[#This Row],[Tech Start Date]],28),IF(Main[[#This Row],[Class]]="B", WORKDAY(Main[[#This Row],[Tech Start Date]],19),IF(Main[[#This Row],[Class]]="A",WORKDAY(Main[[#This Row],[Tech Start Date]],9),""))))</f>
        <v/>
      </c>
      <c r="Q216" s="74">
        <v>40626</v>
      </c>
      <c r="R216" s="74"/>
      <c r="S216" s="72" t="s">
        <v>11</v>
      </c>
      <c r="T216" s="80" t="s">
        <v>4</v>
      </c>
      <c r="U216" s="72" t="s">
        <v>14</v>
      </c>
      <c r="V216" s="72" t="s">
        <v>1918</v>
      </c>
      <c r="W216" s="72" t="s">
        <v>1919</v>
      </c>
      <c r="X216" s="72" t="s">
        <v>2822</v>
      </c>
      <c r="Y216" s="72" t="s">
        <v>2934</v>
      </c>
      <c r="Z216" s="72" t="s">
        <v>3165</v>
      </c>
      <c r="AA216" s="146" t="s">
        <v>2822</v>
      </c>
    </row>
    <row r="217" spans="1:27" ht="18.600000000000001" customHeight="1">
      <c r="A217" s="139" t="str">
        <f>IF(priority(Main[[#This Row],[Comments]])&lt;&gt;0, priority(Main[[#This Row],[Comments]]),"")</f>
        <v/>
      </c>
      <c r="B217" s="89" t="s">
        <v>1034</v>
      </c>
      <c r="C217" s="72" t="s">
        <v>4</v>
      </c>
      <c r="D217" s="73" t="s">
        <v>55</v>
      </c>
      <c r="E217" s="74"/>
      <c r="F217" s="74"/>
      <c r="G217" s="75" t="str">
        <f>IF(stdProdLT(Main[[#This Row],[Comments]])=0.1,"N/A",IF(stdProdLT(Main[[#This Row],[Comments]])=0,"",stdProdLT(Main[[#This Row],[Comments]])))</f>
        <v/>
      </c>
      <c r="H217" s="76" t="str">
        <f>IF(AND(Main[[#This Row],[In Stock Date]]&lt;&gt;"",Main[[#This Row],[Revised Due Date]]&lt;&gt;""),Main[[#This Row],[In Stock Date]]-Main[[#This Row],[Revised Due Date]],"")</f>
        <v/>
      </c>
      <c r="I217" s="72" t="s">
        <v>4</v>
      </c>
      <c r="J217" s="72" t="s">
        <v>4</v>
      </c>
      <c r="K217" s="72" t="s">
        <v>4</v>
      </c>
      <c r="L217" s="74"/>
      <c r="M217" s="77" t="str">
        <f>IF(Main[[#This Row],[Tech Start Date]]&lt;1/1/1990,"",IF(Main[[#This Row],[Class]]="C",WORKDAY(Main[[#This Row],[Tech Start Date]],9),IF(Main[[#This Row],[Class]]="B", WORKDAY(Main[[#This Row],[Tech Start Date]],6),IF(Main[[#This Row],[Class]]="A",WORKDAY(Main[[#This Row],[Tech Start Date]],2),""))))</f>
        <v/>
      </c>
      <c r="N217" s="77" t="str">
        <f>IF(Main[[#This Row],[Tech Start Date]]&lt;1/1/1990,"",IF(Main[[#This Row],[Class]]="C",WORKDAY(Main[[#This Row],[Tech Start Date]],19),IF(Main[[#This Row],[Class]]="B", WORKDAY(Main[[#This Row],[Tech Start Date]],12),IF(Main[[#This Row],[Class]]="A",WORKDAY(Main[[#This Row],[Tech Start Date]],4),""))))</f>
        <v/>
      </c>
      <c r="O217" s="77" t="str">
        <f>IF(Main[[#This Row],[Tech Start Date]]&lt;1/1/1990,"",IF(Main[[#This Row],[Class]]="C",WORKDAY(Main[[#This Row],[Tech Start Date]],23),IF(Main[[#This Row],[Class]]="B", WORKDAY(Main[[#This Row],[Tech Start Date]],15),IF(Main[[#This Row],[Class]]="A",WORKDAY(Main[[#This Row],[Tech Start Date]],5),""))))</f>
        <v/>
      </c>
      <c r="P217" s="77" t="str">
        <f>IF(Main[[#This Row],[Tech Start Date]]&lt;1/1/1990,"",IF(Main[[#This Row],[Class]]="C",WORKDAY(Main[[#This Row],[Tech Start Date]],28),IF(Main[[#This Row],[Class]]="B", WORKDAY(Main[[#This Row],[Tech Start Date]],19),IF(Main[[#This Row],[Class]]="A",WORKDAY(Main[[#This Row],[Tech Start Date]],9),""))))</f>
        <v/>
      </c>
      <c r="Q217" s="74"/>
      <c r="R217" s="74"/>
      <c r="S217" s="72" t="s">
        <v>6</v>
      </c>
      <c r="T217" s="80" t="s">
        <v>4</v>
      </c>
      <c r="U217" s="72" t="s">
        <v>14</v>
      </c>
      <c r="V217" s="72" t="s">
        <v>1920</v>
      </c>
      <c r="W217" s="72" t="s">
        <v>1921</v>
      </c>
      <c r="X217" s="72" t="s">
        <v>306</v>
      </c>
      <c r="Y217" s="72" t="s">
        <v>4</v>
      </c>
      <c r="Z217" s="72" t="s">
        <v>4</v>
      </c>
      <c r="AA217" s="146" t="s">
        <v>4</v>
      </c>
    </row>
    <row r="218" spans="1:27" ht="18.600000000000001" customHeight="1">
      <c r="A218" s="139" t="str">
        <f>IF(priority(Main[[#This Row],[Comments]])&lt;&gt;0, priority(Main[[#This Row],[Comments]]),"")</f>
        <v/>
      </c>
      <c r="B218" s="89" t="s">
        <v>1035</v>
      </c>
      <c r="C218" s="72" t="s">
        <v>4</v>
      </c>
      <c r="D218" s="73" t="s">
        <v>56</v>
      </c>
      <c r="E218" s="74"/>
      <c r="F218" s="74"/>
      <c r="G218" s="75" t="str">
        <f>IF(stdProdLT(Main[[#This Row],[Comments]])=0.1,"N/A",IF(stdProdLT(Main[[#This Row],[Comments]])=0,"",stdProdLT(Main[[#This Row],[Comments]])))</f>
        <v/>
      </c>
      <c r="H218" s="76" t="str">
        <f>IF(AND(Main[[#This Row],[In Stock Date]]&lt;&gt;"",Main[[#This Row],[Revised Due Date]]&lt;&gt;""),Main[[#This Row],[In Stock Date]]-Main[[#This Row],[Revised Due Date]],"")</f>
        <v/>
      </c>
      <c r="I218" s="72" t="s">
        <v>4</v>
      </c>
      <c r="J218" s="72" t="s">
        <v>4</v>
      </c>
      <c r="K218" s="72" t="s">
        <v>4</v>
      </c>
      <c r="L218" s="74"/>
      <c r="M218" s="77" t="str">
        <f>IF(Main[[#This Row],[Tech Start Date]]&lt;1/1/1990,"",IF(Main[[#This Row],[Class]]="C",WORKDAY(Main[[#This Row],[Tech Start Date]],9),IF(Main[[#This Row],[Class]]="B", WORKDAY(Main[[#This Row],[Tech Start Date]],6),IF(Main[[#This Row],[Class]]="A",WORKDAY(Main[[#This Row],[Tech Start Date]],2),""))))</f>
        <v/>
      </c>
      <c r="N218" s="77" t="str">
        <f>IF(Main[[#This Row],[Tech Start Date]]&lt;1/1/1990,"",IF(Main[[#This Row],[Class]]="C",WORKDAY(Main[[#This Row],[Tech Start Date]],19),IF(Main[[#This Row],[Class]]="B", WORKDAY(Main[[#This Row],[Tech Start Date]],12),IF(Main[[#This Row],[Class]]="A",WORKDAY(Main[[#This Row],[Tech Start Date]],4),""))))</f>
        <v/>
      </c>
      <c r="O218" s="77" t="str">
        <f>IF(Main[[#This Row],[Tech Start Date]]&lt;1/1/1990,"",IF(Main[[#This Row],[Class]]="C",WORKDAY(Main[[#This Row],[Tech Start Date]],23),IF(Main[[#This Row],[Class]]="B", WORKDAY(Main[[#This Row],[Tech Start Date]],15),IF(Main[[#This Row],[Class]]="A",WORKDAY(Main[[#This Row],[Tech Start Date]],5),""))))</f>
        <v/>
      </c>
      <c r="P218" s="77" t="str">
        <f>IF(Main[[#This Row],[Tech Start Date]]&lt;1/1/1990,"",IF(Main[[#This Row],[Class]]="C",WORKDAY(Main[[#This Row],[Tech Start Date]],28),IF(Main[[#This Row],[Class]]="B", WORKDAY(Main[[#This Row],[Tech Start Date]],19),IF(Main[[#This Row],[Class]]="A",WORKDAY(Main[[#This Row],[Tech Start Date]],9),""))))</f>
        <v/>
      </c>
      <c r="Q218" s="74"/>
      <c r="R218" s="74"/>
      <c r="S218" s="72" t="s">
        <v>49</v>
      </c>
      <c r="T218" s="80" t="s">
        <v>4</v>
      </c>
      <c r="U218" s="72" t="s">
        <v>14</v>
      </c>
      <c r="V218" s="72" t="s">
        <v>1920</v>
      </c>
      <c r="W218" s="72" t="s">
        <v>1921</v>
      </c>
      <c r="X218" s="72" t="s">
        <v>306</v>
      </c>
      <c r="Y218" s="72" t="s">
        <v>4</v>
      </c>
      <c r="Z218" s="72" t="s">
        <v>4</v>
      </c>
      <c r="AA218" s="146" t="s">
        <v>4</v>
      </c>
    </row>
    <row r="219" spans="1:27" ht="18.600000000000001" customHeight="1">
      <c r="A219" s="139" t="str">
        <f>IF(priority(Main[[#This Row],[Comments]])&lt;&gt;0, priority(Main[[#This Row],[Comments]]),"")</f>
        <v/>
      </c>
      <c r="B219" s="89" t="s">
        <v>1036</v>
      </c>
      <c r="C219" s="72" t="s">
        <v>4</v>
      </c>
      <c r="D219" s="73" t="s">
        <v>57</v>
      </c>
      <c r="E219" s="74"/>
      <c r="F219" s="74"/>
      <c r="G219" s="75" t="str">
        <f>IF(stdProdLT(Main[[#This Row],[Comments]])=0.1,"N/A",IF(stdProdLT(Main[[#This Row],[Comments]])=0,"",stdProdLT(Main[[#This Row],[Comments]])))</f>
        <v/>
      </c>
      <c r="H219" s="76" t="str">
        <f>IF(AND(Main[[#This Row],[In Stock Date]]&lt;&gt;"",Main[[#This Row],[Revised Due Date]]&lt;&gt;""),Main[[#This Row],[In Stock Date]]-Main[[#This Row],[Revised Due Date]],"")</f>
        <v/>
      </c>
      <c r="I219" s="72" t="s">
        <v>4</v>
      </c>
      <c r="J219" s="72" t="s">
        <v>4</v>
      </c>
      <c r="K219" s="72" t="s">
        <v>4</v>
      </c>
      <c r="L219" s="74"/>
      <c r="M219" s="77" t="str">
        <f>IF(Main[[#This Row],[Tech Start Date]]&lt;1/1/1990,"",IF(Main[[#This Row],[Class]]="C",WORKDAY(Main[[#This Row],[Tech Start Date]],9),IF(Main[[#This Row],[Class]]="B", WORKDAY(Main[[#This Row],[Tech Start Date]],6),IF(Main[[#This Row],[Class]]="A",WORKDAY(Main[[#This Row],[Tech Start Date]],2),""))))</f>
        <v/>
      </c>
      <c r="N219" s="77" t="str">
        <f>IF(Main[[#This Row],[Tech Start Date]]&lt;1/1/1990,"",IF(Main[[#This Row],[Class]]="C",WORKDAY(Main[[#This Row],[Tech Start Date]],19),IF(Main[[#This Row],[Class]]="B", WORKDAY(Main[[#This Row],[Tech Start Date]],12),IF(Main[[#This Row],[Class]]="A",WORKDAY(Main[[#This Row],[Tech Start Date]],4),""))))</f>
        <v/>
      </c>
      <c r="O219" s="77" t="str">
        <f>IF(Main[[#This Row],[Tech Start Date]]&lt;1/1/1990,"",IF(Main[[#This Row],[Class]]="C",WORKDAY(Main[[#This Row],[Tech Start Date]],23),IF(Main[[#This Row],[Class]]="B", WORKDAY(Main[[#This Row],[Tech Start Date]],15),IF(Main[[#This Row],[Class]]="A",WORKDAY(Main[[#This Row],[Tech Start Date]],5),""))))</f>
        <v/>
      </c>
      <c r="P219" s="77" t="str">
        <f>IF(Main[[#This Row],[Tech Start Date]]&lt;1/1/1990,"",IF(Main[[#This Row],[Class]]="C",WORKDAY(Main[[#This Row],[Tech Start Date]],28),IF(Main[[#This Row],[Class]]="B", WORKDAY(Main[[#This Row],[Tech Start Date]],19),IF(Main[[#This Row],[Class]]="A",WORKDAY(Main[[#This Row],[Tech Start Date]],9),""))))</f>
        <v/>
      </c>
      <c r="Q219" s="74"/>
      <c r="R219" s="74"/>
      <c r="S219" s="72" t="s">
        <v>49</v>
      </c>
      <c r="T219" s="80" t="s">
        <v>4</v>
      </c>
      <c r="U219" s="72" t="s">
        <v>14</v>
      </c>
      <c r="V219" s="72" t="s">
        <v>1927</v>
      </c>
      <c r="W219" s="72" t="s">
        <v>1921</v>
      </c>
      <c r="X219" s="72" t="s">
        <v>306</v>
      </c>
      <c r="Y219" s="72" t="s">
        <v>4</v>
      </c>
      <c r="Z219" s="72" t="s">
        <v>4</v>
      </c>
      <c r="AA219" s="146" t="s">
        <v>4</v>
      </c>
    </row>
    <row r="220" spans="1:27" ht="18.600000000000001" customHeight="1">
      <c r="A220" s="139" t="str">
        <f>IF(priority(Main[[#This Row],[Comments]])&lt;&gt;0, priority(Main[[#This Row],[Comments]]),"")</f>
        <v/>
      </c>
      <c r="B220" s="89" t="s">
        <v>1037</v>
      </c>
      <c r="C220" s="72" t="s">
        <v>58</v>
      </c>
      <c r="D220" s="73" t="s">
        <v>59</v>
      </c>
      <c r="E220" s="74"/>
      <c r="F220" s="74"/>
      <c r="G220" s="75" t="str">
        <f>IF(stdProdLT(Main[[#This Row],[Comments]])=0.1,"N/A",IF(stdProdLT(Main[[#This Row],[Comments]])=0,"",stdProdLT(Main[[#This Row],[Comments]])))</f>
        <v/>
      </c>
      <c r="H220" s="76" t="str">
        <f>IF(AND(Main[[#This Row],[In Stock Date]]&lt;&gt;"",Main[[#This Row],[Revised Due Date]]&lt;&gt;""),Main[[#This Row],[In Stock Date]]-Main[[#This Row],[Revised Due Date]],"")</f>
        <v/>
      </c>
      <c r="I220" s="72" t="s">
        <v>4</v>
      </c>
      <c r="J220" s="72" t="s">
        <v>4</v>
      </c>
      <c r="K220" s="81" t="s">
        <v>4</v>
      </c>
      <c r="L220" s="74"/>
      <c r="M220" s="77" t="str">
        <f>IF(Main[[#This Row],[Tech Start Date]]&lt;1/1/1990,"",IF(Main[[#This Row],[Class]]="C",WORKDAY(Main[[#This Row],[Tech Start Date]],9),IF(Main[[#This Row],[Class]]="B", WORKDAY(Main[[#This Row],[Tech Start Date]],6),IF(Main[[#This Row],[Class]]="A",WORKDAY(Main[[#This Row],[Tech Start Date]],2),""))))</f>
        <v/>
      </c>
      <c r="N220" s="77" t="str">
        <f>IF(Main[[#This Row],[Tech Start Date]]&lt;1/1/1990,"",IF(Main[[#This Row],[Class]]="C",WORKDAY(Main[[#This Row],[Tech Start Date]],19),IF(Main[[#This Row],[Class]]="B", WORKDAY(Main[[#This Row],[Tech Start Date]],12),IF(Main[[#This Row],[Class]]="A",WORKDAY(Main[[#This Row],[Tech Start Date]],4),""))))</f>
        <v/>
      </c>
      <c r="O220" s="77" t="str">
        <f>IF(Main[[#This Row],[Tech Start Date]]&lt;1/1/1990,"",IF(Main[[#This Row],[Class]]="C",WORKDAY(Main[[#This Row],[Tech Start Date]],23),IF(Main[[#This Row],[Class]]="B", WORKDAY(Main[[#This Row],[Tech Start Date]],15),IF(Main[[#This Row],[Class]]="A",WORKDAY(Main[[#This Row],[Tech Start Date]],5),""))))</f>
        <v/>
      </c>
      <c r="P220" s="77" t="str">
        <f>IF(Main[[#This Row],[Tech Start Date]]&lt;1/1/1990,"",IF(Main[[#This Row],[Class]]="C",WORKDAY(Main[[#This Row],[Tech Start Date]],28),IF(Main[[#This Row],[Class]]="B", WORKDAY(Main[[#This Row],[Tech Start Date]],19),IF(Main[[#This Row],[Class]]="A",WORKDAY(Main[[#This Row],[Tech Start Date]],9),""))))</f>
        <v/>
      </c>
      <c r="Q220" s="74"/>
      <c r="R220" s="74"/>
      <c r="S220" s="72" t="s">
        <v>11</v>
      </c>
      <c r="T220" s="80" t="s">
        <v>4</v>
      </c>
      <c r="U220" s="72" t="s">
        <v>14</v>
      </c>
      <c r="V220" s="72" t="s">
        <v>1918</v>
      </c>
      <c r="W220" s="72" t="s">
        <v>1922</v>
      </c>
      <c r="X220" s="72" t="s">
        <v>2826</v>
      </c>
      <c r="Y220" s="72" t="s">
        <v>2940</v>
      </c>
      <c r="Z220" s="72" t="s">
        <v>4</v>
      </c>
      <c r="AA220" s="146" t="s">
        <v>3392</v>
      </c>
    </row>
    <row r="221" spans="1:27" ht="18.600000000000001" customHeight="1">
      <c r="A221" s="139" t="str">
        <f>IF(priority(Main[[#This Row],[Comments]])&lt;&gt;0, priority(Main[[#This Row],[Comments]]),"")</f>
        <v/>
      </c>
      <c r="B221" s="89" t="s">
        <v>1038</v>
      </c>
      <c r="C221" s="72" t="s">
        <v>4</v>
      </c>
      <c r="D221" s="73" t="s">
        <v>60</v>
      </c>
      <c r="E221" s="74"/>
      <c r="F221" s="74"/>
      <c r="G221" s="75" t="str">
        <f>IF(stdProdLT(Main[[#This Row],[Comments]])=0.1,"N/A",IF(stdProdLT(Main[[#This Row],[Comments]])=0,"",stdProdLT(Main[[#This Row],[Comments]])))</f>
        <v/>
      </c>
      <c r="H221" s="76" t="str">
        <f>IF(AND(Main[[#This Row],[In Stock Date]]&lt;&gt;"",Main[[#This Row],[Revised Due Date]]&lt;&gt;""),Main[[#This Row],[In Stock Date]]-Main[[#This Row],[Revised Due Date]],"")</f>
        <v/>
      </c>
      <c r="I221" s="72" t="s">
        <v>4</v>
      </c>
      <c r="J221" s="72" t="s">
        <v>4</v>
      </c>
      <c r="K221" s="72" t="s">
        <v>4</v>
      </c>
      <c r="L221" s="74"/>
      <c r="M221" s="77" t="str">
        <f>IF(Main[[#This Row],[Tech Start Date]]&lt;1/1/1990,"",IF(Main[[#This Row],[Class]]="C",WORKDAY(Main[[#This Row],[Tech Start Date]],9),IF(Main[[#This Row],[Class]]="B", WORKDAY(Main[[#This Row],[Tech Start Date]],6),IF(Main[[#This Row],[Class]]="A",WORKDAY(Main[[#This Row],[Tech Start Date]],2),""))))</f>
        <v/>
      </c>
      <c r="N221" s="77" t="str">
        <f>IF(Main[[#This Row],[Tech Start Date]]&lt;1/1/1990,"",IF(Main[[#This Row],[Class]]="C",WORKDAY(Main[[#This Row],[Tech Start Date]],19),IF(Main[[#This Row],[Class]]="B", WORKDAY(Main[[#This Row],[Tech Start Date]],12),IF(Main[[#This Row],[Class]]="A",WORKDAY(Main[[#This Row],[Tech Start Date]],4),""))))</f>
        <v/>
      </c>
      <c r="O221" s="77" t="str">
        <f>IF(Main[[#This Row],[Tech Start Date]]&lt;1/1/1990,"",IF(Main[[#This Row],[Class]]="C",WORKDAY(Main[[#This Row],[Tech Start Date]],23),IF(Main[[#This Row],[Class]]="B", WORKDAY(Main[[#This Row],[Tech Start Date]],15),IF(Main[[#This Row],[Class]]="A",WORKDAY(Main[[#This Row],[Tech Start Date]],5),""))))</f>
        <v/>
      </c>
      <c r="P221" s="77" t="str">
        <f>IF(Main[[#This Row],[Tech Start Date]]&lt;1/1/1990,"",IF(Main[[#This Row],[Class]]="C",WORKDAY(Main[[#This Row],[Tech Start Date]],28),IF(Main[[#This Row],[Class]]="B", WORKDAY(Main[[#This Row],[Tech Start Date]],19),IF(Main[[#This Row],[Class]]="A",WORKDAY(Main[[#This Row],[Tech Start Date]],9),""))))</f>
        <v/>
      </c>
      <c r="Q221" s="74"/>
      <c r="R221" s="74"/>
      <c r="S221" s="72" t="s">
        <v>49</v>
      </c>
      <c r="T221" s="80" t="s">
        <v>4</v>
      </c>
      <c r="U221" s="72" t="s">
        <v>14</v>
      </c>
      <c r="V221" s="72" t="s">
        <v>1918</v>
      </c>
      <c r="W221" s="72" t="s">
        <v>1921</v>
      </c>
      <c r="X221" s="72" t="s">
        <v>306</v>
      </c>
      <c r="Y221" s="72" t="s">
        <v>4</v>
      </c>
      <c r="Z221" s="72" t="s">
        <v>4</v>
      </c>
      <c r="AA221" s="146" t="s">
        <v>4</v>
      </c>
    </row>
    <row r="222" spans="1:27" ht="18.600000000000001" customHeight="1">
      <c r="A222" s="139" t="str">
        <f>IF(priority(Main[[#This Row],[Comments]])&lt;&gt;0, priority(Main[[#This Row],[Comments]]),"")</f>
        <v/>
      </c>
      <c r="B222" s="89" t="s">
        <v>2327</v>
      </c>
      <c r="C222" s="72" t="s">
        <v>4</v>
      </c>
      <c r="D222" s="73" t="s">
        <v>2328</v>
      </c>
      <c r="E222" s="74">
        <v>40841.712557870371</v>
      </c>
      <c r="F222" s="74"/>
      <c r="G222" s="75" t="str">
        <f>IF(stdProdLT(Main[[#This Row],[Comments]])=0.1,"N/A",IF(stdProdLT(Main[[#This Row],[Comments]])=0,"",stdProdLT(Main[[#This Row],[Comments]])))</f>
        <v/>
      </c>
      <c r="H222" s="76" t="str">
        <f>IF(AND(Main[[#This Row],[In Stock Date]]&lt;&gt;"",Main[[#This Row],[Revised Due Date]]&lt;&gt;""),Main[[#This Row],[In Stock Date]]-Main[[#This Row],[Revised Due Date]],"")</f>
        <v/>
      </c>
      <c r="I222" s="72" t="s">
        <v>914</v>
      </c>
      <c r="J222" s="72" t="s">
        <v>52</v>
      </c>
      <c r="K222" s="72" t="s">
        <v>4</v>
      </c>
      <c r="L222" s="74"/>
      <c r="M222" s="77" t="str">
        <f>IF(Main[[#This Row],[Tech Start Date]]&lt;1/1/1990,"",IF(Main[[#This Row],[Class]]="C",WORKDAY(Main[[#This Row],[Tech Start Date]],9),IF(Main[[#This Row],[Class]]="B", WORKDAY(Main[[#This Row],[Tech Start Date]],6),IF(Main[[#This Row],[Class]]="A",WORKDAY(Main[[#This Row],[Tech Start Date]],2),""))))</f>
        <v/>
      </c>
      <c r="N222" s="77" t="str">
        <f>IF(Main[[#This Row],[Tech Start Date]]&lt;1/1/1990,"",IF(Main[[#This Row],[Class]]="C",WORKDAY(Main[[#This Row],[Tech Start Date]],19),IF(Main[[#This Row],[Class]]="B", WORKDAY(Main[[#This Row],[Tech Start Date]],12),IF(Main[[#This Row],[Class]]="A",WORKDAY(Main[[#This Row],[Tech Start Date]],4),""))))</f>
        <v/>
      </c>
      <c r="O222" s="77" t="str">
        <f>IF(Main[[#This Row],[Tech Start Date]]&lt;1/1/1990,"",IF(Main[[#This Row],[Class]]="C",WORKDAY(Main[[#This Row],[Tech Start Date]],23),IF(Main[[#This Row],[Class]]="B", WORKDAY(Main[[#This Row],[Tech Start Date]],15),IF(Main[[#This Row],[Class]]="A",WORKDAY(Main[[#This Row],[Tech Start Date]],5),""))))</f>
        <v/>
      </c>
      <c r="P222" s="77" t="str">
        <f>IF(Main[[#This Row],[Tech Start Date]]&lt;1/1/1990,"",IF(Main[[#This Row],[Class]]="C",WORKDAY(Main[[#This Row],[Tech Start Date]],28),IF(Main[[#This Row],[Class]]="B", WORKDAY(Main[[#This Row],[Tech Start Date]],19),IF(Main[[#This Row],[Class]]="A",WORKDAY(Main[[#This Row],[Tech Start Date]],9),""))))</f>
        <v/>
      </c>
      <c r="Q222" s="74">
        <v>40856</v>
      </c>
      <c r="R222" s="74"/>
      <c r="S222" s="72" t="s">
        <v>6</v>
      </c>
      <c r="T222" s="80" t="s">
        <v>4</v>
      </c>
      <c r="U222" s="72" t="s">
        <v>29</v>
      </c>
      <c r="V222" s="72" t="s">
        <v>1917</v>
      </c>
      <c r="W222" s="72" t="s">
        <v>1925</v>
      </c>
      <c r="X222" s="72" t="s">
        <v>2827</v>
      </c>
      <c r="Y222" s="72" t="s">
        <v>2942</v>
      </c>
      <c r="Z222" s="72" t="s">
        <v>129</v>
      </c>
      <c r="AA222" s="146" t="s">
        <v>2827</v>
      </c>
    </row>
    <row r="223" spans="1:27" ht="18.600000000000001" customHeight="1">
      <c r="A223" s="139" t="str">
        <f>IF(priority(Main[[#This Row],[Comments]])&lt;&gt;0, priority(Main[[#This Row],[Comments]]),"")</f>
        <v/>
      </c>
      <c r="B223" s="89" t="s">
        <v>1040</v>
      </c>
      <c r="C223" s="72" t="s">
        <v>4</v>
      </c>
      <c r="D223" s="73" t="s">
        <v>61</v>
      </c>
      <c r="E223" s="74"/>
      <c r="F223" s="74"/>
      <c r="G223" s="75" t="str">
        <f>IF(stdProdLT(Main[[#This Row],[Comments]])=0.1,"N/A",IF(stdProdLT(Main[[#This Row],[Comments]])=0,"",stdProdLT(Main[[#This Row],[Comments]])))</f>
        <v/>
      </c>
      <c r="H223" s="76" t="str">
        <f>IF(AND(Main[[#This Row],[In Stock Date]]&lt;&gt;"",Main[[#This Row],[Revised Due Date]]&lt;&gt;""),Main[[#This Row],[In Stock Date]]-Main[[#This Row],[Revised Due Date]],"")</f>
        <v/>
      </c>
      <c r="I223" s="72" t="s">
        <v>4</v>
      </c>
      <c r="J223" s="72" t="s">
        <v>4</v>
      </c>
      <c r="K223" s="81" t="s">
        <v>4</v>
      </c>
      <c r="L223" s="74"/>
      <c r="M223" s="77" t="str">
        <f>IF(Main[[#This Row],[Tech Start Date]]&lt;1/1/1990,"",IF(Main[[#This Row],[Class]]="C",WORKDAY(Main[[#This Row],[Tech Start Date]],9),IF(Main[[#This Row],[Class]]="B", WORKDAY(Main[[#This Row],[Tech Start Date]],6),IF(Main[[#This Row],[Class]]="A",WORKDAY(Main[[#This Row],[Tech Start Date]],2),""))))</f>
        <v/>
      </c>
      <c r="N223" s="77" t="str">
        <f>IF(Main[[#This Row],[Tech Start Date]]&lt;1/1/1990,"",IF(Main[[#This Row],[Class]]="C",WORKDAY(Main[[#This Row],[Tech Start Date]],19),IF(Main[[#This Row],[Class]]="B", WORKDAY(Main[[#This Row],[Tech Start Date]],12),IF(Main[[#This Row],[Class]]="A",WORKDAY(Main[[#This Row],[Tech Start Date]],4),""))))</f>
        <v/>
      </c>
      <c r="O223" s="77" t="str">
        <f>IF(Main[[#This Row],[Tech Start Date]]&lt;1/1/1990,"",IF(Main[[#This Row],[Class]]="C",WORKDAY(Main[[#This Row],[Tech Start Date]],23),IF(Main[[#This Row],[Class]]="B", WORKDAY(Main[[#This Row],[Tech Start Date]],15),IF(Main[[#This Row],[Class]]="A",WORKDAY(Main[[#This Row],[Tech Start Date]],5),""))))</f>
        <v/>
      </c>
      <c r="P223" s="77" t="str">
        <f>IF(Main[[#This Row],[Tech Start Date]]&lt;1/1/1990,"",IF(Main[[#This Row],[Class]]="C",WORKDAY(Main[[#This Row],[Tech Start Date]],28),IF(Main[[#This Row],[Class]]="B", WORKDAY(Main[[#This Row],[Tech Start Date]],19),IF(Main[[#This Row],[Class]]="A",WORKDAY(Main[[#This Row],[Tech Start Date]],9),""))))</f>
        <v/>
      </c>
      <c r="Q223" s="74">
        <v>40564</v>
      </c>
      <c r="R223" s="74"/>
      <c r="S223" s="72" t="s">
        <v>23</v>
      </c>
      <c r="T223" s="80" t="s">
        <v>4</v>
      </c>
      <c r="U223" s="72" t="s">
        <v>12</v>
      </c>
      <c r="V223" s="72" t="s">
        <v>1920</v>
      </c>
      <c r="W223" s="72" t="s">
        <v>1921</v>
      </c>
      <c r="X223" s="72" t="s">
        <v>417</v>
      </c>
      <c r="Y223" s="72" t="s">
        <v>2943</v>
      </c>
      <c r="Z223" s="72" t="s">
        <v>4</v>
      </c>
      <c r="AA223" s="146" t="s">
        <v>3393</v>
      </c>
    </row>
    <row r="224" spans="1:27" ht="18.600000000000001" customHeight="1">
      <c r="A224" s="139" t="str">
        <f>IF(priority(Main[[#This Row],[Comments]])&lt;&gt;0, priority(Main[[#This Row],[Comments]]),"")</f>
        <v/>
      </c>
      <c r="B224" s="89" t="s">
        <v>1043</v>
      </c>
      <c r="C224" s="72" t="s">
        <v>83</v>
      </c>
      <c r="D224" s="73" t="s">
        <v>84</v>
      </c>
      <c r="E224" s="74"/>
      <c r="F224" s="74"/>
      <c r="G224" s="75" t="str">
        <f>IF(stdProdLT(Main[[#This Row],[Comments]])=0.1,"N/A",IF(stdProdLT(Main[[#This Row],[Comments]])=0,"",stdProdLT(Main[[#This Row],[Comments]])))</f>
        <v/>
      </c>
      <c r="H224" s="76" t="str">
        <f>IF(AND(Main[[#This Row],[In Stock Date]]&lt;&gt;"",Main[[#This Row],[Revised Due Date]]&lt;&gt;""),Main[[#This Row],[In Stock Date]]-Main[[#This Row],[Revised Due Date]],"")</f>
        <v/>
      </c>
      <c r="I224" s="72" t="s">
        <v>4</v>
      </c>
      <c r="J224" s="72" t="s">
        <v>4</v>
      </c>
      <c r="K224" s="72" t="s">
        <v>4</v>
      </c>
      <c r="L224" s="74"/>
      <c r="M224" s="77" t="str">
        <f>IF(Main[[#This Row],[Tech Start Date]]&lt;1/1/1990,"",IF(Main[[#This Row],[Class]]="C",WORKDAY(Main[[#This Row],[Tech Start Date]],9),IF(Main[[#This Row],[Class]]="B", WORKDAY(Main[[#This Row],[Tech Start Date]],6),IF(Main[[#This Row],[Class]]="A",WORKDAY(Main[[#This Row],[Tech Start Date]],2),""))))</f>
        <v/>
      </c>
      <c r="N224" s="77" t="str">
        <f>IF(Main[[#This Row],[Tech Start Date]]&lt;1/1/1990,"",IF(Main[[#This Row],[Class]]="C",WORKDAY(Main[[#This Row],[Tech Start Date]],19),IF(Main[[#This Row],[Class]]="B", WORKDAY(Main[[#This Row],[Tech Start Date]],12),IF(Main[[#This Row],[Class]]="A",WORKDAY(Main[[#This Row],[Tech Start Date]],4),""))))</f>
        <v/>
      </c>
      <c r="O224" s="77" t="str">
        <f>IF(Main[[#This Row],[Tech Start Date]]&lt;1/1/1990,"",IF(Main[[#This Row],[Class]]="C",WORKDAY(Main[[#This Row],[Tech Start Date]],23),IF(Main[[#This Row],[Class]]="B", WORKDAY(Main[[#This Row],[Tech Start Date]],15),IF(Main[[#This Row],[Class]]="A",WORKDAY(Main[[#This Row],[Tech Start Date]],5),""))))</f>
        <v/>
      </c>
      <c r="P224" s="77" t="str">
        <f>IF(Main[[#This Row],[Tech Start Date]]&lt;1/1/1990,"",IF(Main[[#This Row],[Class]]="C",WORKDAY(Main[[#This Row],[Tech Start Date]],28),IF(Main[[#This Row],[Class]]="B", WORKDAY(Main[[#This Row],[Tech Start Date]],19),IF(Main[[#This Row],[Class]]="A",WORKDAY(Main[[#This Row],[Tech Start Date]],9),""))))</f>
        <v/>
      </c>
      <c r="Q224" s="74">
        <v>40259</v>
      </c>
      <c r="R224" s="74"/>
      <c r="S224" s="72" t="s">
        <v>11</v>
      </c>
      <c r="T224" s="80" t="s">
        <v>4</v>
      </c>
      <c r="U224" s="72" t="s">
        <v>14</v>
      </c>
      <c r="V224" s="72" t="s">
        <v>1917</v>
      </c>
      <c r="W224" s="72" t="s">
        <v>1928</v>
      </c>
      <c r="X224" s="72" t="s">
        <v>2823</v>
      </c>
      <c r="Y224" s="72" t="s">
        <v>4</v>
      </c>
      <c r="Z224" s="72" t="s">
        <v>4</v>
      </c>
      <c r="AA224" s="146" t="s">
        <v>2823</v>
      </c>
    </row>
    <row r="225" spans="1:27" ht="18.600000000000001" customHeight="1">
      <c r="A225" s="139" t="str">
        <f>IF(priority(Main[[#This Row],[Comments]])&lt;&gt;0, priority(Main[[#This Row],[Comments]]),"")</f>
        <v/>
      </c>
      <c r="B225" s="89" t="s">
        <v>3285</v>
      </c>
      <c r="C225" s="72" t="s">
        <v>47</v>
      </c>
      <c r="D225" s="73" t="s">
        <v>3327</v>
      </c>
      <c r="E225" s="74">
        <v>40933.456712962965</v>
      </c>
      <c r="F225" s="74"/>
      <c r="G225" s="75" t="str">
        <f>IF(stdProdLT(Main[[#This Row],[Comments]])=0.1,"N/A",IF(stdProdLT(Main[[#This Row],[Comments]])=0,"",stdProdLT(Main[[#This Row],[Comments]])))</f>
        <v/>
      </c>
      <c r="H225" s="76" t="str">
        <f>IF(AND(Main[[#This Row],[In Stock Date]]&lt;&gt;"",Main[[#This Row],[Revised Due Date]]&lt;&gt;""),Main[[#This Row],[In Stock Date]]-Main[[#This Row],[Revised Due Date]],"")</f>
        <v/>
      </c>
      <c r="I225" s="72" t="s">
        <v>4</v>
      </c>
      <c r="J225" s="72" t="s">
        <v>4</v>
      </c>
      <c r="K225" s="72" t="s">
        <v>4</v>
      </c>
      <c r="L225" s="74"/>
      <c r="M225" s="77" t="str">
        <f>IF(Main[[#This Row],[Tech Start Date]]&lt;1/1/1990,"",IF(Main[[#This Row],[Class]]="C",WORKDAY(Main[[#This Row],[Tech Start Date]],9),IF(Main[[#This Row],[Class]]="B", WORKDAY(Main[[#This Row],[Tech Start Date]],6),IF(Main[[#This Row],[Class]]="A",WORKDAY(Main[[#This Row],[Tech Start Date]],2),""))))</f>
        <v/>
      </c>
      <c r="N225" s="77" t="str">
        <f>IF(Main[[#This Row],[Tech Start Date]]&lt;1/1/1990,"",IF(Main[[#This Row],[Class]]="C",WORKDAY(Main[[#This Row],[Tech Start Date]],19),IF(Main[[#This Row],[Class]]="B", WORKDAY(Main[[#This Row],[Tech Start Date]],12),IF(Main[[#This Row],[Class]]="A",WORKDAY(Main[[#This Row],[Tech Start Date]],4),""))))</f>
        <v/>
      </c>
      <c r="O225" s="77" t="str">
        <f>IF(Main[[#This Row],[Tech Start Date]]&lt;1/1/1990,"",IF(Main[[#This Row],[Class]]="C",WORKDAY(Main[[#This Row],[Tech Start Date]],23),IF(Main[[#This Row],[Class]]="B", WORKDAY(Main[[#This Row],[Tech Start Date]],15),IF(Main[[#This Row],[Class]]="A",WORKDAY(Main[[#This Row],[Tech Start Date]],5),""))))</f>
        <v/>
      </c>
      <c r="P225" s="77" t="str">
        <f>IF(Main[[#This Row],[Tech Start Date]]&lt;1/1/1990,"",IF(Main[[#This Row],[Class]]="C",WORKDAY(Main[[#This Row],[Tech Start Date]],28),IF(Main[[#This Row],[Class]]="B", WORKDAY(Main[[#This Row],[Tech Start Date]],19),IF(Main[[#This Row],[Class]]="A",WORKDAY(Main[[#This Row],[Tech Start Date]],9),""))))</f>
        <v/>
      </c>
      <c r="Q225" s="74">
        <v>40939</v>
      </c>
      <c r="R225" s="74"/>
      <c r="S225" s="72" t="s">
        <v>6</v>
      </c>
      <c r="T225" s="80" t="s">
        <v>4</v>
      </c>
      <c r="U225" s="72" t="s">
        <v>29</v>
      </c>
      <c r="V225" s="72" t="s">
        <v>2288</v>
      </c>
      <c r="W225" s="72" t="s">
        <v>4</v>
      </c>
      <c r="X225" s="72" t="s">
        <v>2871</v>
      </c>
      <c r="Y225" s="72" t="s">
        <v>3016</v>
      </c>
      <c r="Z225" s="72" t="s">
        <v>4</v>
      </c>
      <c r="AA225" s="146" t="s">
        <v>2871</v>
      </c>
    </row>
    <row r="226" spans="1:27" ht="18.600000000000001" customHeight="1">
      <c r="A226" s="139" t="str">
        <f>IF(priority(Main[[#This Row],[Comments]])&lt;&gt;0, priority(Main[[#This Row],[Comments]]),"")</f>
        <v/>
      </c>
      <c r="B226" s="89" t="s">
        <v>1751</v>
      </c>
      <c r="C226" s="72" t="s">
        <v>4</v>
      </c>
      <c r="D226" s="73" t="s">
        <v>2336</v>
      </c>
      <c r="E226" s="74"/>
      <c r="F226" s="74"/>
      <c r="G226" s="75" t="str">
        <f>IF(stdProdLT(Main[[#This Row],[Comments]])=0.1,"N/A",IF(stdProdLT(Main[[#This Row],[Comments]])=0,"",stdProdLT(Main[[#This Row],[Comments]])))</f>
        <v/>
      </c>
      <c r="H226" s="76" t="str">
        <f>IF(AND(Main[[#This Row],[In Stock Date]]&lt;&gt;"",Main[[#This Row],[Revised Due Date]]&lt;&gt;""),Main[[#This Row],[In Stock Date]]-Main[[#This Row],[Revised Due Date]],"")</f>
        <v/>
      </c>
      <c r="I226" s="72" t="s">
        <v>130</v>
      </c>
      <c r="J226" s="72" t="s">
        <v>70</v>
      </c>
      <c r="K226" s="81" t="s">
        <v>1926</v>
      </c>
      <c r="L226" s="74"/>
      <c r="M226" s="77" t="str">
        <f>IF(Main[[#This Row],[Tech Start Date]]&lt;1/1/1990,"",IF(Main[[#This Row],[Class]]="C",WORKDAY(Main[[#This Row],[Tech Start Date]],9),IF(Main[[#This Row],[Class]]="B", WORKDAY(Main[[#This Row],[Tech Start Date]],6),IF(Main[[#This Row],[Class]]="A",WORKDAY(Main[[#This Row],[Tech Start Date]],2),""))))</f>
        <v/>
      </c>
      <c r="N226" s="77" t="str">
        <f>IF(Main[[#This Row],[Tech Start Date]]&lt;1/1/1990,"",IF(Main[[#This Row],[Class]]="C",WORKDAY(Main[[#This Row],[Tech Start Date]],19),IF(Main[[#This Row],[Class]]="B", WORKDAY(Main[[#This Row],[Tech Start Date]],12),IF(Main[[#This Row],[Class]]="A",WORKDAY(Main[[#This Row],[Tech Start Date]],4),""))))</f>
        <v/>
      </c>
      <c r="O226" s="77" t="str">
        <f>IF(Main[[#This Row],[Tech Start Date]]&lt;1/1/1990,"",IF(Main[[#This Row],[Class]]="C",WORKDAY(Main[[#This Row],[Tech Start Date]],23),IF(Main[[#This Row],[Class]]="B", WORKDAY(Main[[#This Row],[Tech Start Date]],15),IF(Main[[#This Row],[Class]]="A",WORKDAY(Main[[#This Row],[Tech Start Date]],5),""))))</f>
        <v/>
      </c>
      <c r="P226" s="77" t="str">
        <f>IF(Main[[#This Row],[Tech Start Date]]&lt;1/1/1990,"",IF(Main[[#This Row],[Class]]="C",WORKDAY(Main[[#This Row],[Tech Start Date]],28),IF(Main[[#This Row],[Class]]="B", WORKDAY(Main[[#This Row],[Tech Start Date]],19),IF(Main[[#This Row],[Class]]="A",WORKDAY(Main[[#This Row],[Tech Start Date]],9),""))))</f>
        <v/>
      </c>
      <c r="Q226" s="74">
        <v>40786</v>
      </c>
      <c r="R226" s="74"/>
      <c r="S226" s="72" t="s">
        <v>6</v>
      </c>
      <c r="T226" s="80" t="s">
        <v>4</v>
      </c>
      <c r="U226" s="72" t="s">
        <v>14</v>
      </c>
      <c r="V226" s="72" t="s">
        <v>1920</v>
      </c>
      <c r="W226" s="72" t="s">
        <v>1921</v>
      </c>
      <c r="X226" s="72" t="s">
        <v>399</v>
      </c>
      <c r="Y226" s="72" t="s">
        <v>4</v>
      </c>
      <c r="Z226" s="72" t="s">
        <v>44</v>
      </c>
      <c r="AA226" s="146" t="s">
        <v>3390</v>
      </c>
    </row>
    <row r="227" spans="1:27" ht="18.600000000000001" customHeight="1">
      <c r="A227" s="139" t="str">
        <f>IF(priority(Main[[#This Row],[Comments]])&lt;&gt;0, priority(Main[[#This Row],[Comments]]),"")</f>
        <v/>
      </c>
      <c r="B227" s="89" t="s">
        <v>1948</v>
      </c>
      <c r="C227" s="72" t="s">
        <v>4</v>
      </c>
      <c r="D227" s="73" t="s">
        <v>3328</v>
      </c>
      <c r="E227" s="74">
        <v>40721.395208333335</v>
      </c>
      <c r="F227" s="74"/>
      <c r="G227" s="75" t="str">
        <f>IF(stdProdLT(Main[[#This Row],[Comments]])=0.1,"N/A",IF(stdProdLT(Main[[#This Row],[Comments]])=0,"",stdProdLT(Main[[#This Row],[Comments]])))</f>
        <v/>
      </c>
      <c r="H227" s="76" t="str">
        <f>IF(AND(Main[[#This Row],[In Stock Date]]&lt;&gt;"",Main[[#This Row],[Revised Due Date]]&lt;&gt;""),Main[[#This Row],[In Stock Date]]-Main[[#This Row],[Revised Due Date]],"")</f>
        <v/>
      </c>
      <c r="I227" s="72" t="s">
        <v>2054</v>
      </c>
      <c r="J227" s="72" t="s">
        <v>21</v>
      </c>
      <c r="K227" s="72" t="s">
        <v>1926</v>
      </c>
      <c r="L227" s="74"/>
      <c r="M227" s="77" t="str">
        <f>IF(Main[[#This Row],[Tech Start Date]]&lt;1/1/1990,"",IF(Main[[#This Row],[Class]]="C",WORKDAY(Main[[#This Row],[Tech Start Date]],9),IF(Main[[#This Row],[Class]]="B", WORKDAY(Main[[#This Row],[Tech Start Date]],6),IF(Main[[#This Row],[Class]]="A",WORKDAY(Main[[#This Row],[Tech Start Date]],2),""))))</f>
        <v/>
      </c>
      <c r="N227" s="77" t="str">
        <f>IF(Main[[#This Row],[Tech Start Date]]&lt;1/1/1990,"",IF(Main[[#This Row],[Class]]="C",WORKDAY(Main[[#This Row],[Tech Start Date]],19),IF(Main[[#This Row],[Class]]="B", WORKDAY(Main[[#This Row],[Tech Start Date]],12),IF(Main[[#This Row],[Class]]="A",WORKDAY(Main[[#This Row],[Tech Start Date]],4),""))))</f>
        <v/>
      </c>
      <c r="O227" s="77" t="str">
        <f>IF(Main[[#This Row],[Tech Start Date]]&lt;1/1/1990,"",IF(Main[[#This Row],[Class]]="C",WORKDAY(Main[[#This Row],[Tech Start Date]],23),IF(Main[[#This Row],[Class]]="B", WORKDAY(Main[[#This Row],[Tech Start Date]],15),IF(Main[[#This Row],[Class]]="A",WORKDAY(Main[[#This Row],[Tech Start Date]],5),""))))</f>
        <v/>
      </c>
      <c r="P227" s="77" t="str">
        <f>IF(Main[[#This Row],[Tech Start Date]]&lt;1/1/1990,"",IF(Main[[#This Row],[Class]]="C",WORKDAY(Main[[#This Row],[Tech Start Date]],28),IF(Main[[#This Row],[Class]]="B", WORKDAY(Main[[#This Row],[Tech Start Date]],19),IF(Main[[#This Row],[Class]]="A",WORKDAY(Main[[#This Row],[Tech Start Date]],9),""))))</f>
        <v/>
      </c>
      <c r="Q227" s="74">
        <v>40753</v>
      </c>
      <c r="R227" s="74"/>
      <c r="S227" s="72" t="s">
        <v>6</v>
      </c>
      <c r="T227" s="80" t="s">
        <v>4</v>
      </c>
      <c r="U227" s="72" t="s">
        <v>29</v>
      </c>
      <c r="V227" s="72" t="s">
        <v>1920</v>
      </c>
      <c r="W227" s="72" t="s">
        <v>1921</v>
      </c>
      <c r="X227" s="72" t="s">
        <v>2824</v>
      </c>
      <c r="Y227" s="72" t="s">
        <v>2935</v>
      </c>
      <c r="Z227" s="72" t="s">
        <v>44</v>
      </c>
      <c r="AA227" s="146" t="s">
        <v>2824</v>
      </c>
    </row>
    <row r="228" spans="1:27" ht="18.600000000000001" customHeight="1">
      <c r="A228" s="139" t="str">
        <f>IF(priority(Main[[#This Row],[Comments]])&lt;&gt;0, priority(Main[[#This Row],[Comments]]),"")</f>
        <v/>
      </c>
      <c r="B228" s="89" t="s">
        <v>3524</v>
      </c>
      <c r="C228" s="72" t="s">
        <v>4</v>
      </c>
      <c r="D228" s="73" t="s">
        <v>3598</v>
      </c>
      <c r="E228" s="74"/>
      <c r="F228" s="74"/>
      <c r="G228" s="75" t="str">
        <f>IF(stdProdLT(Main[[#This Row],[Comments]])=0.1,"N/A",IF(stdProdLT(Main[[#This Row],[Comments]])=0,"",stdProdLT(Main[[#This Row],[Comments]])))</f>
        <v/>
      </c>
      <c r="H228" s="76" t="str">
        <f>IF(AND(Main[[#This Row],[In Stock Date]]&lt;&gt;"",Main[[#This Row],[Revised Due Date]]&lt;&gt;""),Main[[#This Row],[In Stock Date]]-Main[[#This Row],[Revised Due Date]],"")</f>
        <v/>
      </c>
      <c r="I228" s="72" t="s">
        <v>4</v>
      </c>
      <c r="J228" s="72" t="s">
        <v>4</v>
      </c>
      <c r="K228" s="72" t="s">
        <v>4</v>
      </c>
      <c r="L228" s="74"/>
      <c r="M228" s="77" t="str">
        <f>IF(Main[[#This Row],[Tech Start Date]]&lt;1/1/1990,"",IF(Main[[#This Row],[Class]]="C",WORKDAY(Main[[#This Row],[Tech Start Date]],9),IF(Main[[#This Row],[Class]]="B", WORKDAY(Main[[#This Row],[Tech Start Date]],6),IF(Main[[#This Row],[Class]]="A",WORKDAY(Main[[#This Row],[Tech Start Date]],2),""))))</f>
        <v/>
      </c>
      <c r="N228" s="77" t="str">
        <f>IF(Main[[#This Row],[Tech Start Date]]&lt;1/1/1990,"",IF(Main[[#This Row],[Class]]="C",WORKDAY(Main[[#This Row],[Tech Start Date]],19),IF(Main[[#This Row],[Class]]="B", WORKDAY(Main[[#This Row],[Tech Start Date]],12),IF(Main[[#This Row],[Class]]="A",WORKDAY(Main[[#This Row],[Tech Start Date]],4),""))))</f>
        <v/>
      </c>
      <c r="O228" s="77" t="str">
        <f>IF(Main[[#This Row],[Tech Start Date]]&lt;1/1/1990,"",IF(Main[[#This Row],[Class]]="C",WORKDAY(Main[[#This Row],[Tech Start Date]],23),IF(Main[[#This Row],[Class]]="B", WORKDAY(Main[[#This Row],[Tech Start Date]],15),IF(Main[[#This Row],[Class]]="A",WORKDAY(Main[[#This Row],[Tech Start Date]],5),""))))</f>
        <v/>
      </c>
      <c r="P228" s="77" t="str">
        <f>IF(Main[[#This Row],[Tech Start Date]]&lt;1/1/1990,"",IF(Main[[#This Row],[Class]]="C",WORKDAY(Main[[#This Row],[Tech Start Date]],28),IF(Main[[#This Row],[Class]]="B", WORKDAY(Main[[#This Row],[Tech Start Date]],19),IF(Main[[#This Row],[Class]]="A",WORKDAY(Main[[#This Row],[Tech Start Date]],9),""))))</f>
        <v/>
      </c>
      <c r="Q228" s="74">
        <v>40970</v>
      </c>
      <c r="R228" s="74"/>
      <c r="S228" s="72" t="s">
        <v>6</v>
      </c>
      <c r="T228" s="80" t="s">
        <v>4</v>
      </c>
      <c r="U228" s="72" t="s">
        <v>14</v>
      </c>
      <c r="V228" s="72" t="s">
        <v>1920</v>
      </c>
      <c r="W228" s="72" t="s">
        <v>4</v>
      </c>
      <c r="X228" s="72" t="s">
        <v>2825</v>
      </c>
      <c r="Y228" s="72" t="s">
        <v>2938</v>
      </c>
      <c r="Z228" s="72" t="s">
        <v>4</v>
      </c>
      <c r="AA228" s="146" t="s">
        <v>2825</v>
      </c>
    </row>
    <row r="229" spans="1:27" ht="18.600000000000001" customHeight="1">
      <c r="A229" s="139" t="str">
        <f>IF(priority(Main[[#This Row],[Comments]])&lt;&gt;0, priority(Main[[#This Row],[Comments]]),"")</f>
        <v/>
      </c>
      <c r="B229" s="89" t="s">
        <v>1044</v>
      </c>
      <c r="C229" s="72" t="s">
        <v>53</v>
      </c>
      <c r="D229" s="73" t="s">
        <v>66</v>
      </c>
      <c r="E229" s="74"/>
      <c r="F229" s="74"/>
      <c r="G229" s="75" t="str">
        <f>IF(stdProdLT(Main[[#This Row],[Comments]])=0.1,"N/A",IF(stdProdLT(Main[[#This Row],[Comments]])=0,"",stdProdLT(Main[[#This Row],[Comments]])))</f>
        <v/>
      </c>
      <c r="H229" s="76" t="str">
        <f>IF(AND(Main[[#This Row],[In Stock Date]]&lt;&gt;"",Main[[#This Row],[Revised Due Date]]&lt;&gt;""),Main[[#This Row],[In Stock Date]]-Main[[#This Row],[Revised Due Date]],"")</f>
        <v/>
      </c>
      <c r="I229" s="72" t="s">
        <v>4</v>
      </c>
      <c r="J229" s="72" t="s">
        <v>4</v>
      </c>
      <c r="K229" s="72" t="s">
        <v>4</v>
      </c>
      <c r="L229" s="74"/>
      <c r="M229" s="77" t="str">
        <f>IF(Main[[#This Row],[Tech Start Date]]&lt;1/1/1990,"",IF(Main[[#This Row],[Class]]="C",WORKDAY(Main[[#This Row],[Tech Start Date]],9),IF(Main[[#This Row],[Class]]="B", WORKDAY(Main[[#This Row],[Tech Start Date]],6),IF(Main[[#This Row],[Class]]="A",WORKDAY(Main[[#This Row],[Tech Start Date]],2),""))))</f>
        <v/>
      </c>
      <c r="N229" s="77" t="str">
        <f>IF(Main[[#This Row],[Tech Start Date]]&lt;1/1/1990,"",IF(Main[[#This Row],[Class]]="C",WORKDAY(Main[[#This Row],[Tech Start Date]],19),IF(Main[[#This Row],[Class]]="B", WORKDAY(Main[[#This Row],[Tech Start Date]],12),IF(Main[[#This Row],[Class]]="A",WORKDAY(Main[[#This Row],[Tech Start Date]],4),""))))</f>
        <v/>
      </c>
      <c r="O229" s="77" t="str">
        <f>IF(Main[[#This Row],[Tech Start Date]]&lt;1/1/1990,"",IF(Main[[#This Row],[Class]]="C",WORKDAY(Main[[#This Row],[Tech Start Date]],23),IF(Main[[#This Row],[Class]]="B", WORKDAY(Main[[#This Row],[Tech Start Date]],15),IF(Main[[#This Row],[Class]]="A",WORKDAY(Main[[#This Row],[Tech Start Date]],5),""))))</f>
        <v/>
      </c>
      <c r="P229" s="77" t="str">
        <f>IF(Main[[#This Row],[Tech Start Date]]&lt;1/1/1990,"",IF(Main[[#This Row],[Class]]="C",WORKDAY(Main[[#This Row],[Tech Start Date]],28),IF(Main[[#This Row],[Class]]="B", WORKDAY(Main[[#This Row],[Tech Start Date]],19),IF(Main[[#This Row],[Class]]="A",WORKDAY(Main[[#This Row],[Tech Start Date]],9),""))))</f>
        <v/>
      </c>
      <c r="Q229" s="74">
        <v>40667</v>
      </c>
      <c r="R229" s="74"/>
      <c r="S229" s="72" t="s">
        <v>11</v>
      </c>
      <c r="T229" s="80" t="s">
        <v>4</v>
      </c>
      <c r="U229" s="72" t="s">
        <v>14</v>
      </c>
      <c r="V229" s="72" t="s">
        <v>1918</v>
      </c>
      <c r="W229" s="72" t="s">
        <v>1919</v>
      </c>
      <c r="X229" s="72" t="s">
        <v>2822</v>
      </c>
      <c r="Y229" s="72" t="s">
        <v>4</v>
      </c>
      <c r="Z229" s="72" t="s">
        <v>4</v>
      </c>
      <c r="AA229" s="146" t="s">
        <v>2822</v>
      </c>
    </row>
    <row r="230" spans="1:27" ht="18.600000000000001" customHeight="1">
      <c r="A230" s="139" t="str">
        <f>IF(priority(Main[[#This Row],[Comments]])&lt;&gt;0, priority(Main[[#This Row],[Comments]]),"")</f>
        <v/>
      </c>
      <c r="B230" s="89" t="s">
        <v>2030</v>
      </c>
      <c r="C230" s="72" t="s">
        <v>4</v>
      </c>
      <c r="D230" s="73" t="s">
        <v>2031</v>
      </c>
      <c r="E230" s="74">
        <v>40749.684224537035</v>
      </c>
      <c r="F230" s="74"/>
      <c r="G230" s="75" t="str">
        <f>IF(stdProdLT(Main[[#This Row],[Comments]])=0.1,"N/A",IF(stdProdLT(Main[[#This Row],[Comments]])=0,"",stdProdLT(Main[[#This Row],[Comments]])))</f>
        <v/>
      </c>
      <c r="H230" s="76" t="str">
        <f>IF(AND(Main[[#This Row],[In Stock Date]]&lt;&gt;"",Main[[#This Row],[Revised Due Date]]&lt;&gt;""),Main[[#This Row],[In Stock Date]]-Main[[#This Row],[Revised Due Date]],"")</f>
        <v/>
      </c>
      <c r="I230" s="72" t="s">
        <v>4</v>
      </c>
      <c r="J230" s="72" t="s">
        <v>4</v>
      </c>
      <c r="K230" s="72" t="s">
        <v>4</v>
      </c>
      <c r="L230" s="74"/>
      <c r="M230" s="77" t="str">
        <f>IF(Main[[#This Row],[Tech Start Date]]&lt;1/1/1990,"",IF(Main[[#This Row],[Class]]="C",WORKDAY(Main[[#This Row],[Tech Start Date]],9),IF(Main[[#This Row],[Class]]="B", WORKDAY(Main[[#This Row],[Tech Start Date]],6),IF(Main[[#This Row],[Class]]="A",WORKDAY(Main[[#This Row],[Tech Start Date]],2),""))))</f>
        <v/>
      </c>
      <c r="N230" s="77" t="str">
        <f>IF(Main[[#This Row],[Tech Start Date]]&lt;1/1/1990,"",IF(Main[[#This Row],[Class]]="C",WORKDAY(Main[[#This Row],[Tech Start Date]],19),IF(Main[[#This Row],[Class]]="B", WORKDAY(Main[[#This Row],[Tech Start Date]],12),IF(Main[[#This Row],[Class]]="A",WORKDAY(Main[[#This Row],[Tech Start Date]],4),""))))</f>
        <v/>
      </c>
      <c r="O230" s="77" t="str">
        <f>IF(Main[[#This Row],[Tech Start Date]]&lt;1/1/1990,"",IF(Main[[#This Row],[Class]]="C",WORKDAY(Main[[#This Row],[Tech Start Date]],23),IF(Main[[#This Row],[Class]]="B", WORKDAY(Main[[#This Row],[Tech Start Date]],15),IF(Main[[#This Row],[Class]]="A",WORKDAY(Main[[#This Row],[Tech Start Date]],5),""))))</f>
        <v/>
      </c>
      <c r="P230" s="77" t="str">
        <f>IF(Main[[#This Row],[Tech Start Date]]&lt;1/1/1990,"",IF(Main[[#This Row],[Class]]="C",WORKDAY(Main[[#This Row],[Tech Start Date]],28),IF(Main[[#This Row],[Class]]="B", WORKDAY(Main[[#This Row],[Tech Start Date]],19),IF(Main[[#This Row],[Class]]="A",WORKDAY(Main[[#This Row],[Tech Start Date]],9),""))))</f>
        <v/>
      </c>
      <c r="Q230" s="74">
        <v>40781</v>
      </c>
      <c r="R230" s="74"/>
      <c r="S230" s="72" t="s">
        <v>6</v>
      </c>
      <c r="T230" s="80" t="s">
        <v>4</v>
      </c>
      <c r="U230" s="72" t="s">
        <v>7</v>
      </c>
      <c r="V230" s="72" t="s">
        <v>1917</v>
      </c>
      <c r="W230" s="72" t="s">
        <v>4</v>
      </c>
      <c r="X230" s="72" t="s">
        <v>2825</v>
      </c>
      <c r="Y230" s="72" t="s">
        <v>2938</v>
      </c>
      <c r="Z230" s="72" t="s">
        <v>4</v>
      </c>
      <c r="AA230" s="146" t="s">
        <v>2825</v>
      </c>
    </row>
    <row r="231" spans="1:27" ht="18.600000000000001" customHeight="1">
      <c r="A231" s="139" t="str">
        <f>IF(priority(Main[[#This Row],[Comments]])&lt;&gt;0, priority(Main[[#This Row],[Comments]]),"")</f>
        <v/>
      </c>
      <c r="B231" s="89" t="s">
        <v>1055</v>
      </c>
      <c r="C231" s="72" t="s">
        <v>4</v>
      </c>
      <c r="D231" s="73" t="s">
        <v>85</v>
      </c>
      <c r="E231" s="74"/>
      <c r="F231" s="74"/>
      <c r="G231" s="75" t="str">
        <f>IF(stdProdLT(Main[[#This Row],[Comments]])=0.1,"N/A",IF(stdProdLT(Main[[#This Row],[Comments]])=0,"",stdProdLT(Main[[#This Row],[Comments]])))</f>
        <v/>
      </c>
      <c r="H231" s="76" t="str">
        <f>IF(AND(Main[[#This Row],[In Stock Date]]&lt;&gt;"",Main[[#This Row],[Revised Due Date]]&lt;&gt;""),Main[[#This Row],[In Stock Date]]-Main[[#This Row],[Revised Due Date]],"")</f>
        <v/>
      </c>
      <c r="I231" s="72" t="s">
        <v>4</v>
      </c>
      <c r="J231" s="72" t="s">
        <v>4</v>
      </c>
      <c r="K231" s="72" t="s">
        <v>4</v>
      </c>
      <c r="L231" s="74"/>
      <c r="M231" s="77" t="str">
        <f>IF(Main[[#This Row],[Tech Start Date]]&lt;1/1/1990,"",IF(Main[[#This Row],[Class]]="C",WORKDAY(Main[[#This Row],[Tech Start Date]],9),IF(Main[[#This Row],[Class]]="B", WORKDAY(Main[[#This Row],[Tech Start Date]],6),IF(Main[[#This Row],[Class]]="A",WORKDAY(Main[[#This Row],[Tech Start Date]],2),""))))</f>
        <v/>
      </c>
      <c r="N231" s="77" t="str">
        <f>IF(Main[[#This Row],[Tech Start Date]]&lt;1/1/1990,"",IF(Main[[#This Row],[Class]]="C",WORKDAY(Main[[#This Row],[Tech Start Date]],19),IF(Main[[#This Row],[Class]]="B", WORKDAY(Main[[#This Row],[Tech Start Date]],12),IF(Main[[#This Row],[Class]]="A",WORKDAY(Main[[#This Row],[Tech Start Date]],4),""))))</f>
        <v/>
      </c>
      <c r="O231" s="77" t="str">
        <f>IF(Main[[#This Row],[Tech Start Date]]&lt;1/1/1990,"",IF(Main[[#This Row],[Class]]="C",WORKDAY(Main[[#This Row],[Tech Start Date]],23),IF(Main[[#This Row],[Class]]="B", WORKDAY(Main[[#This Row],[Tech Start Date]],15),IF(Main[[#This Row],[Class]]="A",WORKDAY(Main[[#This Row],[Tech Start Date]],5),""))))</f>
        <v/>
      </c>
      <c r="P231" s="77" t="str">
        <f>IF(Main[[#This Row],[Tech Start Date]]&lt;1/1/1990,"",IF(Main[[#This Row],[Class]]="C",WORKDAY(Main[[#This Row],[Tech Start Date]],28),IF(Main[[#This Row],[Class]]="B", WORKDAY(Main[[#This Row],[Tech Start Date]],19),IF(Main[[#This Row],[Class]]="A",WORKDAY(Main[[#This Row],[Tech Start Date]],9),""))))</f>
        <v/>
      </c>
      <c r="Q231" s="74"/>
      <c r="R231" s="74"/>
      <c r="S231" s="72" t="s">
        <v>6</v>
      </c>
      <c r="T231" s="80" t="s">
        <v>4</v>
      </c>
      <c r="U231" s="72" t="s">
        <v>14</v>
      </c>
      <c r="V231" s="72" t="s">
        <v>1918</v>
      </c>
      <c r="W231" s="72" t="s">
        <v>1921</v>
      </c>
      <c r="X231" s="72" t="s">
        <v>399</v>
      </c>
      <c r="Y231" s="72" t="s">
        <v>4</v>
      </c>
      <c r="Z231" s="72" t="s">
        <v>4</v>
      </c>
      <c r="AA231" s="146" t="s">
        <v>3394</v>
      </c>
    </row>
    <row r="232" spans="1:27" ht="18.600000000000001" customHeight="1">
      <c r="A232" s="139" t="str">
        <f>IF(priority(Main[[#This Row],[Comments]])&lt;&gt;0, priority(Main[[#This Row],[Comments]]),"")</f>
        <v/>
      </c>
      <c r="B232" s="89" t="s">
        <v>1934</v>
      </c>
      <c r="C232" s="72" t="s">
        <v>4</v>
      </c>
      <c r="D232" s="73" t="s">
        <v>5</v>
      </c>
      <c r="E232" s="74">
        <v>40485.386250000003</v>
      </c>
      <c r="F232" s="74"/>
      <c r="G232" s="75" t="str">
        <f>IF(stdProdLT(Main[[#This Row],[Comments]])=0.1,"N/A",IF(stdProdLT(Main[[#This Row],[Comments]])=0,"",stdProdLT(Main[[#This Row],[Comments]])))</f>
        <v/>
      </c>
      <c r="H232" s="76" t="str">
        <f>IF(AND(Main[[#This Row],[In Stock Date]]&lt;&gt;"",Main[[#This Row],[Revised Due Date]]&lt;&gt;""),Main[[#This Row],[In Stock Date]]-Main[[#This Row],[Revised Due Date]],"")</f>
        <v/>
      </c>
      <c r="I232" s="72" t="s">
        <v>4</v>
      </c>
      <c r="J232" s="72" t="s">
        <v>4</v>
      </c>
      <c r="K232" s="72" t="s">
        <v>4</v>
      </c>
      <c r="L232" s="74"/>
      <c r="M232" s="77" t="str">
        <f>IF(Main[[#This Row],[Tech Start Date]]&lt;1/1/1990,"",IF(Main[[#This Row],[Class]]="C",WORKDAY(Main[[#This Row],[Tech Start Date]],9),IF(Main[[#This Row],[Class]]="B", WORKDAY(Main[[#This Row],[Tech Start Date]],6),IF(Main[[#This Row],[Class]]="A",WORKDAY(Main[[#This Row],[Tech Start Date]],2),""))))</f>
        <v/>
      </c>
      <c r="N232" s="77" t="str">
        <f>IF(Main[[#This Row],[Tech Start Date]]&lt;1/1/1990,"",IF(Main[[#This Row],[Class]]="C",WORKDAY(Main[[#This Row],[Tech Start Date]],19),IF(Main[[#This Row],[Class]]="B", WORKDAY(Main[[#This Row],[Tech Start Date]],12),IF(Main[[#This Row],[Class]]="A",WORKDAY(Main[[#This Row],[Tech Start Date]],4),""))))</f>
        <v/>
      </c>
      <c r="O232" s="77" t="str">
        <f>IF(Main[[#This Row],[Tech Start Date]]&lt;1/1/1990,"",IF(Main[[#This Row],[Class]]="C",WORKDAY(Main[[#This Row],[Tech Start Date]],23),IF(Main[[#This Row],[Class]]="B", WORKDAY(Main[[#This Row],[Tech Start Date]],15),IF(Main[[#This Row],[Class]]="A",WORKDAY(Main[[#This Row],[Tech Start Date]],5),""))))</f>
        <v/>
      </c>
      <c r="P232" s="77" t="str">
        <f>IF(Main[[#This Row],[Tech Start Date]]&lt;1/1/1990,"",IF(Main[[#This Row],[Class]]="C",WORKDAY(Main[[#This Row],[Tech Start Date]],28),IF(Main[[#This Row],[Class]]="B", WORKDAY(Main[[#This Row],[Tech Start Date]],19),IF(Main[[#This Row],[Class]]="A",WORKDAY(Main[[#This Row],[Tech Start Date]],9),""))))</f>
        <v/>
      </c>
      <c r="Q232" s="74">
        <v>40508</v>
      </c>
      <c r="R232" s="74"/>
      <c r="S232" s="72" t="s">
        <v>6</v>
      </c>
      <c r="T232" s="80" t="s">
        <v>4</v>
      </c>
      <c r="U232" s="72" t="s">
        <v>7</v>
      </c>
      <c r="V232" s="72" t="s">
        <v>1917</v>
      </c>
      <c r="W232" s="72" t="s">
        <v>4</v>
      </c>
      <c r="X232" s="72" t="s">
        <v>2825</v>
      </c>
      <c r="Y232" s="72" t="s">
        <v>2938</v>
      </c>
      <c r="Z232" s="72" t="s">
        <v>4</v>
      </c>
      <c r="AA232" s="146" t="s">
        <v>2825</v>
      </c>
    </row>
    <row r="233" spans="1:27" ht="18.600000000000001" customHeight="1">
      <c r="A233" s="139" t="str">
        <f>IF(priority(Main[[#This Row],[Comments]])&lt;&gt;0, priority(Main[[#This Row],[Comments]]),"")</f>
        <v/>
      </c>
      <c r="B233" s="89" t="s">
        <v>1010</v>
      </c>
      <c r="C233" s="72" t="s">
        <v>4</v>
      </c>
      <c r="D233" s="73" t="s">
        <v>8</v>
      </c>
      <c r="E233" s="74">
        <v>40679.251782407409</v>
      </c>
      <c r="F233" s="74"/>
      <c r="G233" s="75" t="str">
        <f>IF(stdProdLT(Main[[#This Row],[Comments]])=0.1,"N/A",IF(stdProdLT(Main[[#This Row],[Comments]])=0,"",stdProdLT(Main[[#This Row],[Comments]])))</f>
        <v/>
      </c>
      <c r="H233" s="76" t="str">
        <f>IF(AND(Main[[#This Row],[In Stock Date]]&lt;&gt;"",Main[[#This Row],[Revised Due Date]]&lt;&gt;""),Main[[#This Row],[In Stock Date]]-Main[[#This Row],[Revised Due Date]],"")</f>
        <v/>
      </c>
      <c r="I233" s="72" t="s">
        <v>4</v>
      </c>
      <c r="J233" s="72" t="s">
        <v>4</v>
      </c>
      <c r="K233" s="72" t="s">
        <v>4</v>
      </c>
      <c r="L233" s="74"/>
      <c r="M233" s="77" t="str">
        <f>IF(Main[[#This Row],[Tech Start Date]]&lt;1/1/1990,"",IF(Main[[#This Row],[Class]]="C",WORKDAY(Main[[#This Row],[Tech Start Date]],9),IF(Main[[#This Row],[Class]]="B", WORKDAY(Main[[#This Row],[Tech Start Date]],6),IF(Main[[#This Row],[Class]]="A",WORKDAY(Main[[#This Row],[Tech Start Date]],2),""))))</f>
        <v/>
      </c>
      <c r="N233" s="77" t="str">
        <f>IF(Main[[#This Row],[Tech Start Date]]&lt;1/1/1990,"",IF(Main[[#This Row],[Class]]="C",WORKDAY(Main[[#This Row],[Tech Start Date]],19),IF(Main[[#This Row],[Class]]="B", WORKDAY(Main[[#This Row],[Tech Start Date]],12),IF(Main[[#This Row],[Class]]="A",WORKDAY(Main[[#This Row],[Tech Start Date]],4),""))))</f>
        <v/>
      </c>
      <c r="O233" s="77" t="str">
        <f>IF(Main[[#This Row],[Tech Start Date]]&lt;1/1/1990,"",IF(Main[[#This Row],[Class]]="C",WORKDAY(Main[[#This Row],[Tech Start Date]],23),IF(Main[[#This Row],[Class]]="B", WORKDAY(Main[[#This Row],[Tech Start Date]],15),IF(Main[[#This Row],[Class]]="A",WORKDAY(Main[[#This Row],[Tech Start Date]],5),""))))</f>
        <v/>
      </c>
      <c r="P233" s="77" t="str">
        <f>IF(Main[[#This Row],[Tech Start Date]]&lt;1/1/1990,"",IF(Main[[#This Row],[Class]]="C",WORKDAY(Main[[#This Row],[Tech Start Date]],28),IF(Main[[#This Row],[Class]]="B", WORKDAY(Main[[#This Row],[Tech Start Date]],19),IF(Main[[#This Row],[Class]]="A",WORKDAY(Main[[#This Row],[Tech Start Date]],9),""))))</f>
        <v/>
      </c>
      <c r="Q233" s="74"/>
      <c r="R233" s="74"/>
      <c r="S233" s="72" t="s">
        <v>6</v>
      </c>
      <c r="T233" s="80" t="s">
        <v>4</v>
      </c>
      <c r="U233" s="72" t="s">
        <v>7</v>
      </c>
      <c r="V233" s="72" t="s">
        <v>1917</v>
      </c>
      <c r="W233" s="72" t="s">
        <v>4</v>
      </c>
      <c r="X233" s="72" t="s">
        <v>2828</v>
      </c>
      <c r="Y233" s="72" t="s">
        <v>2944</v>
      </c>
      <c r="Z233" s="72" t="s">
        <v>4</v>
      </c>
      <c r="AA233" s="146" t="s">
        <v>2828</v>
      </c>
    </row>
    <row r="234" spans="1:27" ht="18.600000000000001" customHeight="1">
      <c r="A234" s="139" t="str">
        <f>IF(priority(Main[[#This Row],[Comments]])&lt;&gt;0, priority(Main[[#This Row],[Comments]]),"")</f>
        <v/>
      </c>
      <c r="B234" s="89" t="s">
        <v>1011</v>
      </c>
      <c r="C234" s="72" t="s">
        <v>9</v>
      </c>
      <c r="D234" s="73" t="s">
        <v>10</v>
      </c>
      <c r="E234" s="74"/>
      <c r="F234" s="74"/>
      <c r="G234" s="75" t="str">
        <f>IF(stdProdLT(Main[[#This Row],[Comments]])=0.1,"N/A",IF(stdProdLT(Main[[#This Row],[Comments]])=0,"",stdProdLT(Main[[#This Row],[Comments]])))</f>
        <v/>
      </c>
      <c r="H234" s="76" t="str">
        <f>IF(AND(Main[[#This Row],[In Stock Date]]&lt;&gt;"",Main[[#This Row],[Revised Due Date]]&lt;&gt;""),Main[[#This Row],[In Stock Date]]-Main[[#This Row],[Revised Due Date]],"")</f>
        <v/>
      </c>
      <c r="I234" s="72" t="s">
        <v>4</v>
      </c>
      <c r="J234" s="72" t="s">
        <v>4</v>
      </c>
      <c r="K234" s="72" t="s">
        <v>4</v>
      </c>
      <c r="L234" s="74"/>
      <c r="M234" s="77" t="str">
        <f>IF(Main[[#This Row],[Tech Start Date]]&lt;1/1/1990,"",IF(Main[[#This Row],[Class]]="C",WORKDAY(Main[[#This Row],[Tech Start Date]],9),IF(Main[[#This Row],[Class]]="B", WORKDAY(Main[[#This Row],[Tech Start Date]],6),IF(Main[[#This Row],[Class]]="A",WORKDAY(Main[[#This Row],[Tech Start Date]],2),""))))</f>
        <v/>
      </c>
      <c r="N234" s="77" t="str">
        <f>IF(Main[[#This Row],[Tech Start Date]]&lt;1/1/1990,"",IF(Main[[#This Row],[Class]]="C",WORKDAY(Main[[#This Row],[Tech Start Date]],19),IF(Main[[#This Row],[Class]]="B", WORKDAY(Main[[#This Row],[Tech Start Date]],12),IF(Main[[#This Row],[Class]]="A",WORKDAY(Main[[#This Row],[Tech Start Date]],4),""))))</f>
        <v/>
      </c>
      <c r="O234" s="77" t="str">
        <f>IF(Main[[#This Row],[Tech Start Date]]&lt;1/1/1990,"",IF(Main[[#This Row],[Class]]="C",WORKDAY(Main[[#This Row],[Tech Start Date]],23),IF(Main[[#This Row],[Class]]="B", WORKDAY(Main[[#This Row],[Tech Start Date]],15),IF(Main[[#This Row],[Class]]="A",WORKDAY(Main[[#This Row],[Tech Start Date]],5),""))))</f>
        <v/>
      </c>
      <c r="P234" s="77" t="str">
        <f>IF(Main[[#This Row],[Tech Start Date]]&lt;1/1/1990,"",IF(Main[[#This Row],[Class]]="C",WORKDAY(Main[[#This Row],[Tech Start Date]],28),IF(Main[[#This Row],[Class]]="B", WORKDAY(Main[[#This Row],[Tech Start Date]],19),IF(Main[[#This Row],[Class]]="A",WORKDAY(Main[[#This Row],[Tech Start Date]],9),""))))</f>
        <v/>
      </c>
      <c r="Q234" s="74">
        <v>40504</v>
      </c>
      <c r="R234" s="74"/>
      <c r="S234" s="72" t="s">
        <v>11</v>
      </c>
      <c r="T234" s="80" t="s">
        <v>4</v>
      </c>
      <c r="U234" s="72" t="s">
        <v>12</v>
      </c>
      <c r="V234" s="72" t="s">
        <v>1918</v>
      </c>
      <c r="W234" s="72" t="s">
        <v>1919</v>
      </c>
      <c r="X234" s="72" t="s">
        <v>2829</v>
      </c>
      <c r="Y234" s="72" t="s">
        <v>4</v>
      </c>
      <c r="Z234" s="72" t="s">
        <v>4</v>
      </c>
      <c r="AA234" s="146" t="s">
        <v>2829</v>
      </c>
    </row>
    <row r="235" spans="1:27" ht="18.600000000000001" customHeight="1">
      <c r="A235" s="139" t="str">
        <f>IF(priority(Main[[#This Row],[Comments]])&lt;&gt;0, priority(Main[[#This Row],[Comments]]),"")</f>
        <v/>
      </c>
      <c r="B235" s="89" t="s">
        <v>1012</v>
      </c>
      <c r="C235" s="72" t="s">
        <v>4</v>
      </c>
      <c r="D235" s="73" t="s">
        <v>13</v>
      </c>
      <c r="E235" s="74"/>
      <c r="F235" s="74"/>
      <c r="G235" s="75" t="str">
        <f>IF(stdProdLT(Main[[#This Row],[Comments]])=0.1,"N/A",IF(stdProdLT(Main[[#This Row],[Comments]])=0,"",stdProdLT(Main[[#This Row],[Comments]])))</f>
        <v/>
      </c>
      <c r="H235" s="76" t="str">
        <f>IF(AND(Main[[#This Row],[In Stock Date]]&lt;&gt;"",Main[[#This Row],[Revised Due Date]]&lt;&gt;""),Main[[#This Row],[In Stock Date]]-Main[[#This Row],[Revised Due Date]],"")</f>
        <v/>
      </c>
      <c r="I235" s="72" t="s">
        <v>4</v>
      </c>
      <c r="J235" s="72" t="s">
        <v>4</v>
      </c>
      <c r="K235" s="72" t="s">
        <v>4</v>
      </c>
      <c r="L235" s="74"/>
      <c r="M235" s="77" t="str">
        <f>IF(Main[[#This Row],[Tech Start Date]]&lt;1/1/1990,"",IF(Main[[#This Row],[Class]]="C",WORKDAY(Main[[#This Row],[Tech Start Date]],9),IF(Main[[#This Row],[Class]]="B", WORKDAY(Main[[#This Row],[Tech Start Date]],6),IF(Main[[#This Row],[Class]]="A",WORKDAY(Main[[#This Row],[Tech Start Date]],2),""))))</f>
        <v/>
      </c>
      <c r="N235" s="77" t="str">
        <f>IF(Main[[#This Row],[Tech Start Date]]&lt;1/1/1990,"",IF(Main[[#This Row],[Class]]="C",WORKDAY(Main[[#This Row],[Tech Start Date]],19),IF(Main[[#This Row],[Class]]="B", WORKDAY(Main[[#This Row],[Tech Start Date]],12),IF(Main[[#This Row],[Class]]="A",WORKDAY(Main[[#This Row],[Tech Start Date]],4),""))))</f>
        <v/>
      </c>
      <c r="O235" s="77" t="str">
        <f>IF(Main[[#This Row],[Tech Start Date]]&lt;1/1/1990,"",IF(Main[[#This Row],[Class]]="C",WORKDAY(Main[[#This Row],[Tech Start Date]],23),IF(Main[[#This Row],[Class]]="B", WORKDAY(Main[[#This Row],[Tech Start Date]],15),IF(Main[[#This Row],[Class]]="A",WORKDAY(Main[[#This Row],[Tech Start Date]],5),""))))</f>
        <v/>
      </c>
      <c r="P235" s="77" t="str">
        <f>IF(Main[[#This Row],[Tech Start Date]]&lt;1/1/1990,"",IF(Main[[#This Row],[Class]]="C",WORKDAY(Main[[#This Row],[Tech Start Date]],28),IF(Main[[#This Row],[Class]]="B", WORKDAY(Main[[#This Row],[Tech Start Date]],19),IF(Main[[#This Row],[Class]]="A",WORKDAY(Main[[#This Row],[Tech Start Date]],9),""))))</f>
        <v/>
      </c>
      <c r="Q235" s="74"/>
      <c r="R235" s="74"/>
      <c r="S235" s="72" t="s">
        <v>6</v>
      </c>
      <c r="T235" s="80" t="s">
        <v>4</v>
      </c>
      <c r="U235" s="72" t="s">
        <v>14</v>
      </c>
      <c r="V235" s="72" t="s">
        <v>1920</v>
      </c>
      <c r="W235" s="72" t="s">
        <v>1921</v>
      </c>
      <c r="X235" s="72" t="s">
        <v>306</v>
      </c>
      <c r="Y235" s="72" t="s">
        <v>4</v>
      </c>
      <c r="Z235" s="72" t="s">
        <v>4</v>
      </c>
      <c r="AA235" s="146" t="s">
        <v>654</v>
      </c>
    </row>
    <row r="236" spans="1:27" ht="18.600000000000001" customHeight="1">
      <c r="A236" s="139" t="str">
        <f>IF(priority(Main[[#This Row],[Comments]])&lt;&gt;0, priority(Main[[#This Row],[Comments]]),"")</f>
        <v/>
      </c>
      <c r="B236" s="89" t="s">
        <v>1105</v>
      </c>
      <c r="C236" s="72" t="s">
        <v>4</v>
      </c>
      <c r="D236" s="73" t="s">
        <v>125</v>
      </c>
      <c r="E236" s="74"/>
      <c r="F236" s="74"/>
      <c r="G236" s="75" t="str">
        <f>IF(stdProdLT(Main[[#This Row],[Comments]])=0.1,"N/A",IF(stdProdLT(Main[[#This Row],[Comments]])=0,"",stdProdLT(Main[[#This Row],[Comments]])))</f>
        <v/>
      </c>
      <c r="H236" s="76" t="str">
        <f>IF(AND(Main[[#This Row],[In Stock Date]]&lt;&gt;"",Main[[#This Row],[Revised Due Date]]&lt;&gt;""),Main[[#This Row],[In Stock Date]]-Main[[#This Row],[Revised Due Date]],"")</f>
        <v/>
      </c>
      <c r="I236" s="72" t="s">
        <v>126</v>
      </c>
      <c r="J236" s="72" t="s">
        <v>4</v>
      </c>
      <c r="K236" s="72" t="s">
        <v>4</v>
      </c>
      <c r="L236" s="74"/>
      <c r="M236" s="77" t="str">
        <f>IF(Main[[#This Row],[Tech Start Date]]&lt;1/1/1990,"",IF(Main[[#This Row],[Class]]="C",WORKDAY(Main[[#This Row],[Tech Start Date]],9),IF(Main[[#This Row],[Class]]="B", WORKDAY(Main[[#This Row],[Tech Start Date]],6),IF(Main[[#This Row],[Class]]="A",WORKDAY(Main[[#This Row],[Tech Start Date]],2),""))))</f>
        <v/>
      </c>
      <c r="N236" s="77" t="str">
        <f>IF(Main[[#This Row],[Tech Start Date]]&lt;1/1/1990,"",IF(Main[[#This Row],[Class]]="C",WORKDAY(Main[[#This Row],[Tech Start Date]],19),IF(Main[[#This Row],[Class]]="B", WORKDAY(Main[[#This Row],[Tech Start Date]],12),IF(Main[[#This Row],[Class]]="A",WORKDAY(Main[[#This Row],[Tech Start Date]],4),""))))</f>
        <v/>
      </c>
      <c r="O236" s="77" t="str">
        <f>IF(Main[[#This Row],[Tech Start Date]]&lt;1/1/1990,"",IF(Main[[#This Row],[Class]]="C",WORKDAY(Main[[#This Row],[Tech Start Date]],23),IF(Main[[#This Row],[Class]]="B", WORKDAY(Main[[#This Row],[Tech Start Date]],15),IF(Main[[#This Row],[Class]]="A",WORKDAY(Main[[#This Row],[Tech Start Date]],5),""))))</f>
        <v/>
      </c>
      <c r="P236" s="77" t="str">
        <f>IF(Main[[#This Row],[Tech Start Date]]&lt;1/1/1990,"",IF(Main[[#This Row],[Class]]="C",WORKDAY(Main[[#This Row],[Tech Start Date]],28),IF(Main[[#This Row],[Class]]="B", WORKDAY(Main[[#This Row],[Tech Start Date]],19),IF(Main[[#This Row],[Class]]="A",WORKDAY(Main[[#This Row],[Tech Start Date]],9),""))))</f>
        <v/>
      </c>
      <c r="Q236" s="74">
        <v>40025</v>
      </c>
      <c r="R236" s="74"/>
      <c r="S236" s="72" t="s">
        <v>11</v>
      </c>
      <c r="T236" s="80" t="s">
        <v>4</v>
      </c>
      <c r="U236" s="72" t="s">
        <v>14</v>
      </c>
      <c r="V236" s="72" t="s">
        <v>1917</v>
      </c>
      <c r="W236" s="72" t="s">
        <v>1925</v>
      </c>
      <c r="X236" s="72" t="s">
        <v>2859</v>
      </c>
      <c r="Y236" s="72" t="s">
        <v>2997</v>
      </c>
      <c r="Z236" s="72" t="s">
        <v>81</v>
      </c>
      <c r="AA236" s="146" t="s">
        <v>2859</v>
      </c>
    </row>
    <row r="237" spans="1:27" ht="18.600000000000001" customHeight="1">
      <c r="A237" s="139" t="str">
        <f>IF(priority(Main[[#This Row],[Comments]])&lt;&gt;0, priority(Main[[#This Row],[Comments]]),"")</f>
        <v/>
      </c>
      <c r="B237" s="89" t="s">
        <v>1106</v>
      </c>
      <c r="C237" s="72" t="s">
        <v>4</v>
      </c>
      <c r="D237" s="73" t="s">
        <v>127</v>
      </c>
      <c r="E237" s="74"/>
      <c r="F237" s="74"/>
      <c r="G237" s="75" t="str">
        <f>IF(stdProdLT(Main[[#This Row],[Comments]])=0.1,"N/A",IF(stdProdLT(Main[[#This Row],[Comments]])=0,"",stdProdLT(Main[[#This Row],[Comments]])))</f>
        <v/>
      </c>
      <c r="H237" s="76" t="str">
        <f>IF(AND(Main[[#This Row],[In Stock Date]]&lt;&gt;"",Main[[#This Row],[Revised Due Date]]&lt;&gt;""),Main[[#This Row],[In Stock Date]]-Main[[#This Row],[Revised Due Date]],"")</f>
        <v/>
      </c>
      <c r="I237" s="72" t="s">
        <v>30</v>
      </c>
      <c r="J237" s="72" t="s">
        <v>21</v>
      </c>
      <c r="K237" s="81" t="s">
        <v>4</v>
      </c>
      <c r="L237" s="74"/>
      <c r="M237" s="77" t="str">
        <f>IF(Main[[#This Row],[Tech Start Date]]&lt;1/1/1990,"",IF(Main[[#This Row],[Class]]="C",WORKDAY(Main[[#This Row],[Tech Start Date]],9),IF(Main[[#This Row],[Class]]="B", WORKDAY(Main[[#This Row],[Tech Start Date]],6),IF(Main[[#This Row],[Class]]="A",WORKDAY(Main[[#This Row],[Tech Start Date]],2),""))))</f>
        <v/>
      </c>
      <c r="N237" s="77" t="str">
        <f>IF(Main[[#This Row],[Tech Start Date]]&lt;1/1/1990,"",IF(Main[[#This Row],[Class]]="C",WORKDAY(Main[[#This Row],[Tech Start Date]],19),IF(Main[[#This Row],[Class]]="B", WORKDAY(Main[[#This Row],[Tech Start Date]],12),IF(Main[[#This Row],[Class]]="A",WORKDAY(Main[[#This Row],[Tech Start Date]],4),""))))</f>
        <v/>
      </c>
      <c r="O237" s="77" t="str">
        <f>IF(Main[[#This Row],[Tech Start Date]]&lt;1/1/1990,"",IF(Main[[#This Row],[Class]]="C",WORKDAY(Main[[#This Row],[Tech Start Date]],23),IF(Main[[#This Row],[Class]]="B", WORKDAY(Main[[#This Row],[Tech Start Date]],15),IF(Main[[#This Row],[Class]]="A",WORKDAY(Main[[#This Row],[Tech Start Date]],5),""))))</f>
        <v/>
      </c>
      <c r="P237" s="77" t="str">
        <f>IF(Main[[#This Row],[Tech Start Date]]&lt;1/1/1990,"",IF(Main[[#This Row],[Class]]="C",WORKDAY(Main[[#This Row],[Tech Start Date]],28),IF(Main[[#This Row],[Class]]="B", WORKDAY(Main[[#This Row],[Tech Start Date]],19),IF(Main[[#This Row],[Class]]="A",WORKDAY(Main[[#This Row],[Tech Start Date]],9),""))))</f>
        <v/>
      </c>
      <c r="Q237" s="74">
        <v>40508</v>
      </c>
      <c r="R237" s="74"/>
      <c r="S237" s="72" t="s">
        <v>6</v>
      </c>
      <c r="T237" s="80" t="s">
        <v>4</v>
      </c>
      <c r="U237" s="72" t="s">
        <v>14</v>
      </c>
      <c r="V237" s="72" t="s">
        <v>1920</v>
      </c>
      <c r="W237" s="72" t="s">
        <v>1919</v>
      </c>
      <c r="X237" s="72" t="s">
        <v>2824</v>
      </c>
      <c r="Y237" s="72" t="s">
        <v>2935</v>
      </c>
      <c r="Z237" s="72" t="s">
        <v>530</v>
      </c>
      <c r="AA237" s="146" t="s">
        <v>2824</v>
      </c>
    </row>
    <row r="238" spans="1:27" ht="18.600000000000001" customHeight="1">
      <c r="A238" s="155" t="str">
        <f>IF(priority(Main[[#This Row],[Comments]])&lt;&gt;0, priority(Main[[#This Row],[Comments]]),"")</f>
        <v/>
      </c>
      <c r="B238" s="156" t="s">
        <v>3256</v>
      </c>
      <c r="C238" s="157" t="s">
        <v>72</v>
      </c>
      <c r="D238" s="158" t="s">
        <v>3257</v>
      </c>
      <c r="E238" s="160"/>
      <c r="F238" s="160"/>
      <c r="G238" s="162" t="str">
        <f>IF(stdProdLT(Main[[#This Row],[Comments]])=0.1,"N/A",IF(stdProdLT(Main[[#This Row],[Comments]])=0,"",stdProdLT(Main[[#This Row],[Comments]])))</f>
        <v/>
      </c>
      <c r="H238" s="164" t="str">
        <f>IF(AND(Main[[#This Row],[In Stock Date]]&lt;&gt;"",Main[[#This Row],[Revised Due Date]]&lt;&gt;""),Main[[#This Row],[In Stock Date]]-Main[[#This Row],[Revised Due Date]],"")</f>
        <v/>
      </c>
      <c r="I238" s="157" t="s">
        <v>4</v>
      </c>
      <c r="J238" s="157" t="s">
        <v>4</v>
      </c>
      <c r="K238" s="157" t="s">
        <v>4</v>
      </c>
      <c r="L238" s="160"/>
      <c r="M238" s="167" t="str">
        <f>IF(Main[[#This Row],[Tech Start Date]]&lt;1/1/1990,"",IF(Main[[#This Row],[Class]]="C",WORKDAY(Main[[#This Row],[Tech Start Date]],9),IF(Main[[#This Row],[Class]]="B", WORKDAY(Main[[#This Row],[Tech Start Date]],6),IF(Main[[#This Row],[Class]]="A",WORKDAY(Main[[#This Row],[Tech Start Date]],2),""))))</f>
        <v/>
      </c>
      <c r="N238" s="167" t="str">
        <f>IF(Main[[#This Row],[Tech Start Date]]&lt;1/1/1990,"",IF(Main[[#This Row],[Class]]="C",WORKDAY(Main[[#This Row],[Tech Start Date]],19),IF(Main[[#This Row],[Class]]="B", WORKDAY(Main[[#This Row],[Tech Start Date]],12),IF(Main[[#This Row],[Class]]="A",WORKDAY(Main[[#This Row],[Tech Start Date]],4),""))))</f>
        <v/>
      </c>
      <c r="O238" s="167" t="str">
        <f>IF(Main[[#This Row],[Tech Start Date]]&lt;1/1/1990,"",IF(Main[[#This Row],[Class]]="C",WORKDAY(Main[[#This Row],[Tech Start Date]],23),IF(Main[[#This Row],[Class]]="B", WORKDAY(Main[[#This Row],[Tech Start Date]],15),IF(Main[[#This Row],[Class]]="A",WORKDAY(Main[[#This Row],[Tech Start Date]],5),""))))</f>
        <v/>
      </c>
      <c r="P238" s="167" t="str">
        <f>IF(Main[[#This Row],[Tech Start Date]]&lt;1/1/1990,"",IF(Main[[#This Row],[Class]]="C",WORKDAY(Main[[#This Row],[Tech Start Date]],28),IF(Main[[#This Row],[Class]]="B", WORKDAY(Main[[#This Row],[Tech Start Date]],19),IF(Main[[#This Row],[Class]]="A",WORKDAY(Main[[#This Row],[Tech Start Date]],9),""))))</f>
        <v/>
      </c>
      <c r="Q238" s="160"/>
      <c r="R238" s="160"/>
      <c r="S238" s="157" t="s">
        <v>11</v>
      </c>
      <c r="T238" s="171" t="s">
        <v>4</v>
      </c>
      <c r="U238" s="157" t="s">
        <v>14</v>
      </c>
      <c r="V238" s="157" t="s">
        <v>1918</v>
      </c>
      <c r="W238" s="157" t="s">
        <v>1925</v>
      </c>
      <c r="X238" s="157" t="s">
        <v>2853</v>
      </c>
      <c r="Y238" s="157" t="s">
        <v>2984</v>
      </c>
      <c r="Z238" s="157" t="s">
        <v>4</v>
      </c>
      <c r="AA238" s="153" t="s">
        <v>2853</v>
      </c>
    </row>
    <row r="239" spans="1:27" ht="18.600000000000001" customHeight="1">
      <c r="A239" s="139" t="str">
        <f>IF(priority(Main[[#This Row],[Comments]])&lt;&gt;0, priority(Main[[#This Row],[Comments]]),"")</f>
        <v/>
      </c>
      <c r="B239" s="89" t="s">
        <v>1107</v>
      </c>
      <c r="C239" s="72" t="s">
        <v>4</v>
      </c>
      <c r="D239" s="73" t="s">
        <v>128</v>
      </c>
      <c r="E239" s="74"/>
      <c r="F239" s="74"/>
      <c r="G239" s="75" t="str">
        <f>IF(stdProdLT(Main[[#This Row],[Comments]])=0.1,"N/A",IF(stdProdLT(Main[[#This Row],[Comments]])=0,"",stdProdLT(Main[[#This Row],[Comments]])))</f>
        <v/>
      </c>
      <c r="H239" s="76" t="str">
        <f>IF(AND(Main[[#This Row],[In Stock Date]]&lt;&gt;"",Main[[#This Row],[Revised Due Date]]&lt;&gt;""),Main[[#This Row],[In Stock Date]]-Main[[#This Row],[Revised Due Date]],"")</f>
        <v/>
      </c>
      <c r="I239" s="72" t="s">
        <v>129</v>
      </c>
      <c r="J239" s="72" t="s">
        <v>4</v>
      </c>
      <c r="K239" s="72" t="s">
        <v>4</v>
      </c>
      <c r="L239" s="74"/>
      <c r="M239" s="77" t="str">
        <f>IF(Main[[#This Row],[Tech Start Date]]&lt;1/1/1990,"",IF(Main[[#This Row],[Class]]="C",WORKDAY(Main[[#This Row],[Tech Start Date]],9),IF(Main[[#This Row],[Class]]="B", WORKDAY(Main[[#This Row],[Tech Start Date]],6),IF(Main[[#This Row],[Class]]="A",WORKDAY(Main[[#This Row],[Tech Start Date]],2),""))))</f>
        <v/>
      </c>
      <c r="N239" s="77" t="str">
        <f>IF(Main[[#This Row],[Tech Start Date]]&lt;1/1/1990,"",IF(Main[[#This Row],[Class]]="C",WORKDAY(Main[[#This Row],[Tech Start Date]],19),IF(Main[[#This Row],[Class]]="B", WORKDAY(Main[[#This Row],[Tech Start Date]],12),IF(Main[[#This Row],[Class]]="A",WORKDAY(Main[[#This Row],[Tech Start Date]],4),""))))</f>
        <v/>
      </c>
      <c r="O239" s="77" t="str">
        <f>IF(Main[[#This Row],[Tech Start Date]]&lt;1/1/1990,"",IF(Main[[#This Row],[Class]]="C",WORKDAY(Main[[#This Row],[Tech Start Date]],23),IF(Main[[#This Row],[Class]]="B", WORKDAY(Main[[#This Row],[Tech Start Date]],15),IF(Main[[#This Row],[Class]]="A",WORKDAY(Main[[#This Row],[Tech Start Date]],5),""))))</f>
        <v/>
      </c>
      <c r="P239" s="77" t="str">
        <f>IF(Main[[#This Row],[Tech Start Date]]&lt;1/1/1990,"",IF(Main[[#This Row],[Class]]="C",WORKDAY(Main[[#This Row],[Tech Start Date]],28),IF(Main[[#This Row],[Class]]="B", WORKDAY(Main[[#This Row],[Tech Start Date]],19),IF(Main[[#This Row],[Class]]="A",WORKDAY(Main[[#This Row],[Tech Start Date]],9),""))))</f>
        <v/>
      </c>
      <c r="Q239" s="74"/>
      <c r="R239" s="154"/>
      <c r="S239" s="72" t="s">
        <v>17</v>
      </c>
      <c r="T239" s="80" t="s">
        <v>4</v>
      </c>
      <c r="U239" s="72" t="s">
        <v>14</v>
      </c>
      <c r="V239" s="72" t="s">
        <v>1917</v>
      </c>
      <c r="W239" s="72" t="s">
        <v>1921</v>
      </c>
      <c r="X239" s="72" t="s">
        <v>924</v>
      </c>
      <c r="Y239" s="72" t="s">
        <v>2998</v>
      </c>
      <c r="Z239" s="72" t="s">
        <v>4</v>
      </c>
      <c r="AA239" s="146" t="s">
        <v>129</v>
      </c>
    </row>
    <row r="240" spans="1:27" ht="18.600000000000001" customHeight="1">
      <c r="A240" s="139" t="str">
        <f>IF(priority(Main[[#This Row],[Comments]])&lt;&gt;0, priority(Main[[#This Row],[Comments]]),"")</f>
        <v/>
      </c>
      <c r="B240" s="89" t="s">
        <v>2786</v>
      </c>
      <c r="C240" s="72" t="s">
        <v>2727</v>
      </c>
      <c r="D240" s="73" t="s">
        <v>2787</v>
      </c>
      <c r="E240" s="74">
        <v>40960.921631944446</v>
      </c>
      <c r="F240" s="74">
        <v>41061</v>
      </c>
      <c r="G240" s="75">
        <f>IF(stdProdLT(Main[[#This Row],[Comments]])=0.1,"N/A",IF(stdProdLT(Main[[#This Row],[Comments]])=0,"",stdProdLT(Main[[#This Row],[Comments]])))</f>
        <v>168</v>
      </c>
      <c r="H240" s="76" t="str">
        <f>IF(AND(Main[[#This Row],[In Stock Date]]&lt;&gt;"",Main[[#This Row],[Revised Due Date]]&lt;&gt;""),Main[[#This Row],[In Stock Date]]-Main[[#This Row],[Revised Due Date]],"")</f>
        <v/>
      </c>
      <c r="I240" s="72" t="s">
        <v>4</v>
      </c>
      <c r="J240" s="72" t="s">
        <v>4</v>
      </c>
      <c r="K240" s="72" t="s">
        <v>4</v>
      </c>
      <c r="L240" s="74"/>
      <c r="M240" s="77" t="str">
        <f>IF(Main[[#This Row],[Tech Start Date]]&lt;1/1/1990,"",IF(Main[[#This Row],[Class]]="C",WORKDAY(Main[[#This Row],[Tech Start Date]],9),IF(Main[[#This Row],[Class]]="B", WORKDAY(Main[[#This Row],[Tech Start Date]],6),IF(Main[[#This Row],[Class]]="A",WORKDAY(Main[[#This Row],[Tech Start Date]],2),""))))</f>
        <v/>
      </c>
      <c r="N240" s="77" t="str">
        <f>IF(Main[[#This Row],[Tech Start Date]]&lt;1/1/1990,"",IF(Main[[#This Row],[Class]]="C",WORKDAY(Main[[#This Row],[Tech Start Date]],19),IF(Main[[#This Row],[Class]]="B", WORKDAY(Main[[#This Row],[Tech Start Date]],12),IF(Main[[#This Row],[Class]]="A",WORKDAY(Main[[#This Row],[Tech Start Date]],4),""))))</f>
        <v/>
      </c>
      <c r="O240" s="77" t="str">
        <f>IF(Main[[#This Row],[Tech Start Date]]&lt;1/1/1990,"",IF(Main[[#This Row],[Class]]="C",WORKDAY(Main[[#This Row],[Tech Start Date]],23),IF(Main[[#This Row],[Class]]="B", WORKDAY(Main[[#This Row],[Tech Start Date]],15),IF(Main[[#This Row],[Class]]="A",WORKDAY(Main[[#This Row],[Tech Start Date]],5),""))))</f>
        <v/>
      </c>
      <c r="P240" s="77" t="str">
        <f>IF(Main[[#This Row],[Tech Start Date]]&lt;1/1/1990,"",IF(Main[[#This Row],[Class]]="C",WORKDAY(Main[[#This Row],[Tech Start Date]],28),IF(Main[[#This Row],[Class]]="B", WORKDAY(Main[[#This Row],[Tech Start Date]],19),IF(Main[[#This Row],[Class]]="A",WORKDAY(Main[[#This Row],[Tech Start Date]],9),""))))</f>
        <v/>
      </c>
      <c r="Q240" s="74"/>
      <c r="R240" s="74"/>
      <c r="S240" s="72" t="s">
        <v>11</v>
      </c>
      <c r="T240" s="80" t="s">
        <v>3599</v>
      </c>
      <c r="U240" s="72" t="s">
        <v>696</v>
      </c>
      <c r="V240" s="72" t="s">
        <v>1920</v>
      </c>
      <c r="W240" s="72" t="s">
        <v>1922</v>
      </c>
      <c r="X240" s="72" t="s">
        <v>2899</v>
      </c>
      <c r="Y240" s="72" t="s">
        <v>3061</v>
      </c>
      <c r="Z240" s="72" t="s">
        <v>4</v>
      </c>
      <c r="AA240" s="146" t="s">
        <v>2899</v>
      </c>
    </row>
    <row r="241" spans="1:27" ht="18.600000000000001" customHeight="1">
      <c r="A241" s="139" t="str">
        <f>IF(priority(Main[[#This Row],[Comments]])&lt;&gt;0, priority(Main[[#This Row],[Comments]]),"")</f>
        <v/>
      </c>
      <c r="B241" s="89" t="s">
        <v>2686</v>
      </c>
      <c r="C241" s="72" t="s">
        <v>42</v>
      </c>
      <c r="D241" s="73" t="s">
        <v>2687</v>
      </c>
      <c r="E241" s="74">
        <v>40897.730937499997</v>
      </c>
      <c r="F241" s="74"/>
      <c r="G241" s="75" t="str">
        <f>IF(stdProdLT(Main[[#This Row],[Comments]])=0.1,"N/A",IF(stdProdLT(Main[[#This Row],[Comments]])=0,"",stdProdLT(Main[[#This Row],[Comments]])))</f>
        <v/>
      </c>
      <c r="H241" s="76" t="str">
        <f>IF(AND(Main[[#This Row],[In Stock Date]]&lt;&gt;"",Main[[#This Row],[Revised Due Date]]&lt;&gt;""),Main[[#This Row],[In Stock Date]]-Main[[#This Row],[Revised Due Date]],"")</f>
        <v/>
      </c>
      <c r="I241" s="72" t="s">
        <v>239</v>
      </c>
      <c r="J241" s="72" t="s">
        <v>21</v>
      </c>
      <c r="K241" s="72" t="s">
        <v>1926</v>
      </c>
      <c r="L241" s="74"/>
      <c r="M241" s="77" t="str">
        <f>IF(Main[[#This Row],[Tech Start Date]]&lt;1/1/1990,"",IF(Main[[#This Row],[Class]]="C",WORKDAY(Main[[#This Row],[Tech Start Date]],9),IF(Main[[#This Row],[Class]]="B", WORKDAY(Main[[#This Row],[Tech Start Date]],6),IF(Main[[#This Row],[Class]]="A",WORKDAY(Main[[#This Row],[Tech Start Date]],2),""))))</f>
        <v/>
      </c>
      <c r="N241" s="77" t="str">
        <f>IF(Main[[#This Row],[Tech Start Date]]&lt;1/1/1990,"",IF(Main[[#This Row],[Class]]="C",WORKDAY(Main[[#This Row],[Tech Start Date]],19),IF(Main[[#This Row],[Class]]="B", WORKDAY(Main[[#This Row],[Tech Start Date]],12),IF(Main[[#This Row],[Class]]="A",WORKDAY(Main[[#This Row],[Tech Start Date]],4),""))))</f>
        <v/>
      </c>
      <c r="O241" s="77" t="str">
        <f>IF(Main[[#This Row],[Tech Start Date]]&lt;1/1/1990,"",IF(Main[[#This Row],[Class]]="C",WORKDAY(Main[[#This Row],[Tech Start Date]],23),IF(Main[[#This Row],[Class]]="B", WORKDAY(Main[[#This Row],[Tech Start Date]],15),IF(Main[[#This Row],[Class]]="A",WORKDAY(Main[[#This Row],[Tech Start Date]],5),""))))</f>
        <v/>
      </c>
      <c r="P241" s="77" t="str">
        <f>IF(Main[[#This Row],[Tech Start Date]]&lt;1/1/1990,"",IF(Main[[#This Row],[Class]]="C",WORKDAY(Main[[#This Row],[Tech Start Date]],28),IF(Main[[#This Row],[Class]]="B", WORKDAY(Main[[#This Row],[Tech Start Date]],19),IF(Main[[#This Row],[Class]]="A",WORKDAY(Main[[#This Row],[Tech Start Date]],9),""))))</f>
        <v/>
      </c>
      <c r="Q241" s="74">
        <v>41244</v>
      </c>
      <c r="R241" s="74"/>
      <c r="S241" s="72" t="s">
        <v>6</v>
      </c>
      <c r="T241" s="80" t="s">
        <v>4</v>
      </c>
      <c r="U241" s="72" t="s">
        <v>29</v>
      </c>
      <c r="V241" s="72" t="s">
        <v>1927</v>
      </c>
      <c r="W241" s="72" t="s">
        <v>1919</v>
      </c>
      <c r="X241" s="72" t="s">
        <v>30</v>
      </c>
      <c r="Y241" s="72" t="s">
        <v>2946</v>
      </c>
      <c r="Z241" s="72" t="s">
        <v>530</v>
      </c>
      <c r="AA241" s="146" t="s">
        <v>30</v>
      </c>
    </row>
    <row r="242" spans="1:27" ht="18.600000000000001" customHeight="1">
      <c r="A242" s="139" t="str">
        <f>IF(priority(Main[[#This Row],[Comments]])&lt;&gt;0, priority(Main[[#This Row],[Comments]]),"")</f>
        <v/>
      </c>
      <c r="B242" s="89" t="s">
        <v>1084</v>
      </c>
      <c r="C242" s="72" t="s">
        <v>4</v>
      </c>
      <c r="D242" s="73" t="s">
        <v>132</v>
      </c>
      <c r="E242" s="74"/>
      <c r="F242" s="74">
        <v>40598</v>
      </c>
      <c r="G242" s="75" t="str">
        <f>IF(stdProdLT(Main[[#This Row],[Comments]])=0.1,"N/A",IF(stdProdLT(Main[[#This Row],[Comments]])=0,"",stdProdLT(Main[[#This Row],[Comments]])))</f>
        <v/>
      </c>
      <c r="H242" s="76" t="str">
        <f>IF(AND(Main[[#This Row],[In Stock Date]]&lt;&gt;"",Main[[#This Row],[Revised Due Date]]&lt;&gt;""),Main[[#This Row],[In Stock Date]]-Main[[#This Row],[Revised Due Date]],"")</f>
        <v/>
      </c>
      <c r="I242" s="72" t="s">
        <v>4</v>
      </c>
      <c r="J242" s="72" t="s">
        <v>4</v>
      </c>
      <c r="K242" s="72" t="s">
        <v>4</v>
      </c>
      <c r="L242" s="74"/>
      <c r="M242" s="77" t="str">
        <f>IF(Main[[#This Row],[Tech Start Date]]&lt;1/1/1990,"",IF(Main[[#This Row],[Class]]="C",WORKDAY(Main[[#This Row],[Tech Start Date]],9),IF(Main[[#This Row],[Class]]="B", WORKDAY(Main[[#This Row],[Tech Start Date]],6),IF(Main[[#This Row],[Class]]="A",WORKDAY(Main[[#This Row],[Tech Start Date]],2),""))))</f>
        <v/>
      </c>
      <c r="N242" s="77" t="str">
        <f>IF(Main[[#This Row],[Tech Start Date]]&lt;1/1/1990,"",IF(Main[[#This Row],[Class]]="C",WORKDAY(Main[[#This Row],[Tech Start Date]],19),IF(Main[[#This Row],[Class]]="B", WORKDAY(Main[[#This Row],[Tech Start Date]],12),IF(Main[[#This Row],[Class]]="A",WORKDAY(Main[[#This Row],[Tech Start Date]],4),""))))</f>
        <v/>
      </c>
      <c r="O242" s="77" t="str">
        <f>IF(Main[[#This Row],[Tech Start Date]]&lt;1/1/1990,"",IF(Main[[#This Row],[Class]]="C",WORKDAY(Main[[#This Row],[Tech Start Date]],23),IF(Main[[#This Row],[Class]]="B", WORKDAY(Main[[#This Row],[Tech Start Date]],15),IF(Main[[#This Row],[Class]]="A",WORKDAY(Main[[#This Row],[Tech Start Date]],5),""))))</f>
        <v/>
      </c>
      <c r="P242" s="77" t="str">
        <f>IF(Main[[#This Row],[Tech Start Date]]&lt;1/1/1990,"",IF(Main[[#This Row],[Class]]="C",WORKDAY(Main[[#This Row],[Tech Start Date]],28),IF(Main[[#This Row],[Class]]="B", WORKDAY(Main[[#This Row],[Tech Start Date]],19),IF(Main[[#This Row],[Class]]="A",WORKDAY(Main[[#This Row],[Tech Start Date]],9),""))))</f>
        <v/>
      </c>
      <c r="Q242" s="74">
        <v>40598</v>
      </c>
      <c r="R242" s="74"/>
      <c r="S242" s="72" t="s">
        <v>11</v>
      </c>
      <c r="T242" s="80" t="s">
        <v>4</v>
      </c>
      <c r="U242" s="72" t="s">
        <v>14</v>
      </c>
      <c r="V242" s="72" t="s">
        <v>1927</v>
      </c>
      <c r="W242" s="72" t="s">
        <v>1923</v>
      </c>
      <c r="X242" s="72" t="s">
        <v>2854</v>
      </c>
      <c r="Y242" s="72" t="s">
        <v>2985</v>
      </c>
      <c r="Z242" s="72" t="s">
        <v>4</v>
      </c>
      <c r="AA242" s="146" t="s">
        <v>2854</v>
      </c>
    </row>
    <row r="243" spans="1:27" ht="18.600000000000001" customHeight="1">
      <c r="A243" s="139" t="str">
        <f>IF(priority(Main[[#This Row],[Comments]])&lt;&gt;0, priority(Main[[#This Row],[Comments]]),"")</f>
        <v/>
      </c>
      <c r="B243" s="89" t="s">
        <v>1086</v>
      </c>
      <c r="C243" s="72" t="s">
        <v>4</v>
      </c>
      <c r="D243" s="73" t="s">
        <v>134</v>
      </c>
      <c r="E243" s="74">
        <v>40683.594340277778</v>
      </c>
      <c r="F243" s="74"/>
      <c r="G243" s="75" t="str">
        <f>IF(stdProdLT(Main[[#This Row],[Comments]])=0.1,"N/A",IF(stdProdLT(Main[[#This Row],[Comments]])=0,"",stdProdLT(Main[[#This Row],[Comments]])))</f>
        <v/>
      </c>
      <c r="H243" s="76" t="str">
        <f>IF(AND(Main[[#This Row],[In Stock Date]]&lt;&gt;"",Main[[#This Row],[Revised Due Date]]&lt;&gt;""),Main[[#This Row],[In Stock Date]]-Main[[#This Row],[Revised Due Date]],"")</f>
        <v/>
      </c>
      <c r="I243" s="72" t="s">
        <v>4</v>
      </c>
      <c r="J243" s="72" t="s">
        <v>4</v>
      </c>
      <c r="K243" s="72" t="s">
        <v>4</v>
      </c>
      <c r="L243" s="74"/>
      <c r="M243" s="77" t="str">
        <f>IF(Main[[#This Row],[Tech Start Date]]&lt;1/1/1990,"",IF(Main[[#This Row],[Class]]="C",WORKDAY(Main[[#This Row],[Tech Start Date]],9),IF(Main[[#This Row],[Class]]="B", WORKDAY(Main[[#This Row],[Tech Start Date]],6),IF(Main[[#This Row],[Class]]="A",WORKDAY(Main[[#This Row],[Tech Start Date]],2),""))))</f>
        <v/>
      </c>
      <c r="N243" s="77" t="str">
        <f>IF(Main[[#This Row],[Tech Start Date]]&lt;1/1/1990,"",IF(Main[[#This Row],[Class]]="C",WORKDAY(Main[[#This Row],[Tech Start Date]],19),IF(Main[[#This Row],[Class]]="B", WORKDAY(Main[[#This Row],[Tech Start Date]],12),IF(Main[[#This Row],[Class]]="A",WORKDAY(Main[[#This Row],[Tech Start Date]],4),""))))</f>
        <v/>
      </c>
      <c r="O243" s="77" t="str">
        <f>IF(Main[[#This Row],[Tech Start Date]]&lt;1/1/1990,"",IF(Main[[#This Row],[Class]]="C",WORKDAY(Main[[#This Row],[Tech Start Date]],23),IF(Main[[#This Row],[Class]]="B", WORKDAY(Main[[#This Row],[Tech Start Date]],15),IF(Main[[#This Row],[Class]]="A",WORKDAY(Main[[#This Row],[Tech Start Date]],5),""))))</f>
        <v/>
      </c>
      <c r="P243" s="77" t="str">
        <f>IF(Main[[#This Row],[Tech Start Date]]&lt;1/1/1990,"",IF(Main[[#This Row],[Class]]="C",WORKDAY(Main[[#This Row],[Tech Start Date]],28),IF(Main[[#This Row],[Class]]="B", WORKDAY(Main[[#This Row],[Tech Start Date]],19),IF(Main[[#This Row],[Class]]="A",WORKDAY(Main[[#This Row],[Tech Start Date]],9),""))))</f>
        <v/>
      </c>
      <c r="Q243" s="74">
        <v>40718</v>
      </c>
      <c r="R243" s="74"/>
      <c r="S243" s="72" t="s">
        <v>6</v>
      </c>
      <c r="T243" s="80" t="s">
        <v>4</v>
      </c>
      <c r="U243" s="72" t="s">
        <v>7</v>
      </c>
      <c r="V243" s="72" t="s">
        <v>1917</v>
      </c>
      <c r="W243" s="72" t="s">
        <v>1925</v>
      </c>
      <c r="X243" s="72" t="s">
        <v>2827</v>
      </c>
      <c r="Y243" s="72" t="s">
        <v>2942</v>
      </c>
      <c r="Z243" s="72" t="s">
        <v>4</v>
      </c>
      <c r="AA243" s="146" t="s">
        <v>2827</v>
      </c>
    </row>
    <row r="244" spans="1:27" ht="18.600000000000001" customHeight="1">
      <c r="A244" s="139" t="str">
        <f>IF(priority(Main[[#This Row],[Comments]])&lt;&gt;0, priority(Main[[#This Row],[Comments]]),"")</f>
        <v/>
      </c>
      <c r="B244" s="89" t="s">
        <v>1087</v>
      </c>
      <c r="C244" s="72" t="s">
        <v>4</v>
      </c>
      <c r="D244" s="73" t="s">
        <v>135</v>
      </c>
      <c r="E244" s="74">
        <v>40312.634143518517</v>
      </c>
      <c r="F244" s="74"/>
      <c r="G244" s="75" t="str">
        <f>IF(stdProdLT(Main[[#This Row],[Comments]])=0.1,"N/A",IF(stdProdLT(Main[[#This Row],[Comments]])=0,"",stdProdLT(Main[[#This Row],[Comments]])))</f>
        <v/>
      </c>
      <c r="H244" s="76" t="str">
        <f>IF(AND(Main[[#This Row],[In Stock Date]]&lt;&gt;"",Main[[#This Row],[Revised Due Date]]&lt;&gt;""),Main[[#This Row],[In Stock Date]]-Main[[#This Row],[Revised Due Date]],"")</f>
        <v/>
      </c>
      <c r="I244" s="72" t="s">
        <v>129</v>
      </c>
      <c r="J244" s="72" t="s">
        <v>4</v>
      </c>
      <c r="K244" s="72" t="s">
        <v>4</v>
      </c>
      <c r="L244" s="74"/>
      <c r="M244" s="77" t="str">
        <f>IF(Main[[#This Row],[Tech Start Date]]&lt;1/1/1990,"",IF(Main[[#This Row],[Class]]="C",WORKDAY(Main[[#This Row],[Tech Start Date]],9),IF(Main[[#This Row],[Class]]="B", WORKDAY(Main[[#This Row],[Tech Start Date]],6),IF(Main[[#This Row],[Class]]="A",WORKDAY(Main[[#This Row],[Tech Start Date]],2),""))))</f>
        <v/>
      </c>
      <c r="N244" s="77" t="str">
        <f>IF(Main[[#This Row],[Tech Start Date]]&lt;1/1/1990,"",IF(Main[[#This Row],[Class]]="C",WORKDAY(Main[[#This Row],[Tech Start Date]],19),IF(Main[[#This Row],[Class]]="B", WORKDAY(Main[[#This Row],[Tech Start Date]],12),IF(Main[[#This Row],[Class]]="A",WORKDAY(Main[[#This Row],[Tech Start Date]],4),""))))</f>
        <v/>
      </c>
      <c r="O244" s="77" t="str">
        <f>IF(Main[[#This Row],[Tech Start Date]]&lt;1/1/1990,"",IF(Main[[#This Row],[Class]]="C",WORKDAY(Main[[#This Row],[Tech Start Date]],23),IF(Main[[#This Row],[Class]]="B", WORKDAY(Main[[#This Row],[Tech Start Date]],15),IF(Main[[#This Row],[Class]]="A",WORKDAY(Main[[#This Row],[Tech Start Date]],5),""))))</f>
        <v/>
      </c>
      <c r="P244" s="77" t="str">
        <f>IF(Main[[#This Row],[Tech Start Date]]&lt;1/1/1990,"",IF(Main[[#This Row],[Class]]="C",WORKDAY(Main[[#This Row],[Tech Start Date]],28),IF(Main[[#This Row],[Class]]="B", WORKDAY(Main[[#This Row],[Tech Start Date]],19),IF(Main[[#This Row],[Class]]="A",WORKDAY(Main[[#This Row],[Tech Start Date]],9),""))))</f>
        <v/>
      </c>
      <c r="Q244" s="74">
        <v>40329</v>
      </c>
      <c r="R244" s="74"/>
      <c r="S244" s="72" t="s">
        <v>6</v>
      </c>
      <c r="T244" s="80" t="s">
        <v>4</v>
      </c>
      <c r="U244" s="72" t="s">
        <v>7</v>
      </c>
      <c r="V244" s="72" t="s">
        <v>1917</v>
      </c>
      <c r="W244" s="72" t="s">
        <v>1919</v>
      </c>
      <c r="X244" s="72" t="s">
        <v>417</v>
      </c>
      <c r="Y244" s="72" t="s">
        <v>2986</v>
      </c>
      <c r="Z244" s="72" t="s">
        <v>4</v>
      </c>
      <c r="AA244" s="146" t="s">
        <v>3390</v>
      </c>
    </row>
    <row r="245" spans="1:27" ht="18.600000000000001" customHeight="1">
      <c r="A245" s="139" t="str">
        <f>IF(priority(Main[[#This Row],[Comments]])&lt;&gt;0, priority(Main[[#This Row],[Comments]]),"")</f>
        <v/>
      </c>
      <c r="B245" s="89" t="s">
        <v>1088</v>
      </c>
      <c r="C245" s="72" t="s">
        <v>4</v>
      </c>
      <c r="D245" s="73" t="s">
        <v>97</v>
      </c>
      <c r="E245" s="74"/>
      <c r="F245" s="74"/>
      <c r="G245" s="75" t="str">
        <f>IF(stdProdLT(Main[[#This Row],[Comments]])=0.1,"N/A",IF(stdProdLT(Main[[#This Row],[Comments]])=0,"",stdProdLT(Main[[#This Row],[Comments]])))</f>
        <v/>
      </c>
      <c r="H245" s="76" t="str">
        <f>IF(AND(Main[[#This Row],[In Stock Date]]&lt;&gt;"",Main[[#This Row],[Revised Due Date]]&lt;&gt;""),Main[[#This Row],[In Stock Date]]-Main[[#This Row],[Revised Due Date]],"")</f>
        <v/>
      </c>
      <c r="I245" s="72" t="s">
        <v>4</v>
      </c>
      <c r="J245" s="72" t="s">
        <v>4</v>
      </c>
      <c r="K245" s="72" t="s">
        <v>4</v>
      </c>
      <c r="L245" s="74"/>
      <c r="M245" s="77" t="str">
        <f>IF(Main[[#This Row],[Tech Start Date]]&lt;1/1/1990,"",IF(Main[[#This Row],[Class]]="C",WORKDAY(Main[[#This Row],[Tech Start Date]],9),IF(Main[[#This Row],[Class]]="B", WORKDAY(Main[[#This Row],[Tech Start Date]],6),IF(Main[[#This Row],[Class]]="A",WORKDAY(Main[[#This Row],[Tech Start Date]],2),""))))</f>
        <v/>
      </c>
      <c r="N245" s="77" t="str">
        <f>IF(Main[[#This Row],[Tech Start Date]]&lt;1/1/1990,"",IF(Main[[#This Row],[Class]]="C",WORKDAY(Main[[#This Row],[Tech Start Date]],19),IF(Main[[#This Row],[Class]]="B", WORKDAY(Main[[#This Row],[Tech Start Date]],12),IF(Main[[#This Row],[Class]]="A",WORKDAY(Main[[#This Row],[Tech Start Date]],4),""))))</f>
        <v/>
      </c>
      <c r="O245" s="77" t="str">
        <f>IF(Main[[#This Row],[Tech Start Date]]&lt;1/1/1990,"",IF(Main[[#This Row],[Class]]="C",WORKDAY(Main[[#This Row],[Tech Start Date]],23),IF(Main[[#This Row],[Class]]="B", WORKDAY(Main[[#This Row],[Tech Start Date]],15),IF(Main[[#This Row],[Class]]="A",WORKDAY(Main[[#This Row],[Tech Start Date]],5),""))))</f>
        <v/>
      </c>
      <c r="P245" s="77" t="str">
        <f>IF(Main[[#This Row],[Tech Start Date]]&lt;1/1/1990,"",IF(Main[[#This Row],[Class]]="C",WORKDAY(Main[[#This Row],[Tech Start Date]],28),IF(Main[[#This Row],[Class]]="B", WORKDAY(Main[[#This Row],[Tech Start Date]],19),IF(Main[[#This Row],[Class]]="A",WORKDAY(Main[[#This Row],[Tech Start Date]],9),""))))</f>
        <v/>
      </c>
      <c r="Q245" s="74">
        <v>40858</v>
      </c>
      <c r="R245" s="74"/>
      <c r="S245" s="72" t="s">
        <v>17</v>
      </c>
      <c r="T245" s="80" t="s">
        <v>4</v>
      </c>
      <c r="U245" s="72" t="s">
        <v>14</v>
      </c>
      <c r="V245" s="72" t="s">
        <v>1917</v>
      </c>
      <c r="W245" s="72" t="s">
        <v>1922</v>
      </c>
      <c r="X245" s="72" t="s">
        <v>50</v>
      </c>
      <c r="Y245" s="72" t="s">
        <v>2965</v>
      </c>
      <c r="Z245" s="72" t="s">
        <v>4</v>
      </c>
      <c r="AA245" s="146" t="s">
        <v>2834</v>
      </c>
    </row>
    <row r="246" spans="1:27" ht="18.600000000000001" customHeight="1">
      <c r="A246" s="139" t="str">
        <f>IF(priority(Main[[#This Row],[Comments]])&lt;&gt;0, priority(Main[[#This Row],[Comments]]),"")</f>
        <v/>
      </c>
      <c r="B246" s="89" t="s">
        <v>1673</v>
      </c>
      <c r="C246" s="72" t="s">
        <v>4</v>
      </c>
      <c r="D246" s="73" t="s">
        <v>732</v>
      </c>
      <c r="E246" s="74"/>
      <c r="F246" s="74"/>
      <c r="G246" s="75" t="str">
        <f>IF(stdProdLT(Main[[#This Row],[Comments]])=0.1,"N/A",IF(stdProdLT(Main[[#This Row],[Comments]])=0,"",stdProdLT(Main[[#This Row],[Comments]])))</f>
        <v/>
      </c>
      <c r="H246" s="76" t="str">
        <f>IF(AND(Main[[#This Row],[In Stock Date]]&lt;&gt;"",Main[[#This Row],[Revised Due Date]]&lt;&gt;""),Main[[#This Row],[In Stock Date]]-Main[[#This Row],[Revised Due Date]],"")</f>
        <v/>
      </c>
      <c r="I246" s="72" t="s">
        <v>4</v>
      </c>
      <c r="J246" s="72" t="s">
        <v>4</v>
      </c>
      <c r="K246" s="72" t="s">
        <v>4</v>
      </c>
      <c r="L246" s="74"/>
      <c r="M246" s="77" t="str">
        <f>IF(Main[[#This Row],[Tech Start Date]]&lt;1/1/1990,"",IF(Main[[#This Row],[Class]]="C",WORKDAY(Main[[#This Row],[Tech Start Date]],9),IF(Main[[#This Row],[Class]]="B", WORKDAY(Main[[#This Row],[Tech Start Date]],6),IF(Main[[#This Row],[Class]]="A",WORKDAY(Main[[#This Row],[Tech Start Date]],2),""))))</f>
        <v/>
      </c>
      <c r="N246" s="77" t="str">
        <f>IF(Main[[#This Row],[Tech Start Date]]&lt;1/1/1990,"",IF(Main[[#This Row],[Class]]="C",WORKDAY(Main[[#This Row],[Tech Start Date]],19),IF(Main[[#This Row],[Class]]="B", WORKDAY(Main[[#This Row],[Tech Start Date]],12),IF(Main[[#This Row],[Class]]="A",WORKDAY(Main[[#This Row],[Tech Start Date]],4),""))))</f>
        <v/>
      </c>
      <c r="O246" s="77" t="str">
        <f>IF(Main[[#This Row],[Tech Start Date]]&lt;1/1/1990,"",IF(Main[[#This Row],[Class]]="C",WORKDAY(Main[[#This Row],[Tech Start Date]],23),IF(Main[[#This Row],[Class]]="B", WORKDAY(Main[[#This Row],[Tech Start Date]],15),IF(Main[[#This Row],[Class]]="A",WORKDAY(Main[[#This Row],[Tech Start Date]],5),""))))</f>
        <v/>
      </c>
      <c r="P246" s="77" t="str">
        <f>IF(Main[[#This Row],[Tech Start Date]]&lt;1/1/1990,"",IF(Main[[#This Row],[Class]]="C",WORKDAY(Main[[#This Row],[Tech Start Date]],28),IF(Main[[#This Row],[Class]]="B", WORKDAY(Main[[#This Row],[Tech Start Date]],19),IF(Main[[#This Row],[Class]]="A",WORKDAY(Main[[#This Row],[Tech Start Date]],9),""))))</f>
        <v/>
      </c>
      <c r="Q246" s="74"/>
      <c r="R246" s="74"/>
      <c r="S246" s="72" t="s">
        <v>23</v>
      </c>
      <c r="T246" s="80" t="s">
        <v>4</v>
      </c>
      <c r="U246" s="72" t="s">
        <v>14</v>
      </c>
      <c r="V246" s="72" t="s">
        <v>1917</v>
      </c>
      <c r="W246" s="72" t="s">
        <v>1921</v>
      </c>
      <c r="X246" s="72" t="s">
        <v>399</v>
      </c>
      <c r="Y246" s="72" t="s">
        <v>4</v>
      </c>
      <c r="Z246" s="72" t="s">
        <v>4</v>
      </c>
      <c r="AA246" s="146" t="s">
        <v>3402</v>
      </c>
    </row>
    <row r="247" spans="1:27" ht="18.600000000000001" customHeight="1">
      <c r="A247" s="139" t="str">
        <f>IF(priority(Main[[#This Row],[Comments]])&lt;&gt;0, priority(Main[[#This Row],[Comments]]),"")</f>
        <v/>
      </c>
      <c r="B247" s="89" t="s">
        <v>1089</v>
      </c>
      <c r="C247" s="72" t="s">
        <v>113</v>
      </c>
      <c r="D247" s="73" t="s">
        <v>136</v>
      </c>
      <c r="E247" s="74"/>
      <c r="F247" s="74"/>
      <c r="G247" s="75" t="str">
        <f>IF(stdProdLT(Main[[#This Row],[Comments]])=0.1,"N/A",IF(stdProdLT(Main[[#This Row],[Comments]])=0,"",stdProdLT(Main[[#This Row],[Comments]])))</f>
        <v/>
      </c>
      <c r="H247" s="76" t="str">
        <f>IF(AND(Main[[#This Row],[In Stock Date]]&lt;&gt;"",Main[[#This Row],[Revised Due Date]]&lt;&gt;""),Main[[#This Row],[In Stock Date]]-Main[[#This Row],[Revised Due Date]],"")</f>
        <v/>
      </c>
      <c r="I247" s="72" t="s">
        <v>4</v>
      </c>
      <c r="J247" s="72" t="s">
        <v>4</v>
      </c>
      <c r="K247" s="72" t="s">
        <v>4</v>
      </c>
      <c r="L247" s="74"/>
      <c r="M247" s="77" t="str">
        <f>IF(Main[[#This Row],[Tech Start Date]]&lt;1/1/1990,"",IF(Main[[#This Row],[Class]]="C",WORKDAY(Main[[#This Row],[Tech Start Date]],9),IF(Main[[#This Row],[Class]]="B", WORKDAY(Main[[#This Row],[Tech Start Date]],6),IF(Main[[#This Row],[Class]]="A",WORKDAY(Main[[#This Row],[Tech Start Date]],2),""))))</f>
        <v/>
      </c>
      <c r="N247" s="77" t="str">
        <f>IF(Main[[#This Row],[Tech Start Date]]&lt;1/1/1990,"",IF(Main[[#This Row],[Class]]="C",WORKDAY(Main[[#This Row],[Tech Start Date]],19),IF(Main[[#This Row],[Class]]="B", WORKDAY(Main[[#This Row],[Tech Start Date]],12),IF(Main[[#This Row],[Class]]="A",WORKDAY(Main[[#This Row],[Tech Start Date]],4),""))))</f>
        <v/>
      </c>
      <c r="O247" s="77" t="str">
        <f>IF(Main[[#This Row],[Tech Start Date]]&lt;1/1/1990,"",IF(Main[[#This Row],[Class]]="C",WORKDAY(Main[[#This Row],[Tech Start Date]],23),IF(Main[[#This Row],[Class]]="B", WORKDAY(Main[[#This Row],[Tech Start Date]],15),IF(Main[[#This Row],[Class]]="A",WORKDAY(Main[[#This Row],[Tech Start Date]],5),""))))</f>
        <v/>
      </c>
      <c r="P247" s="77" t="str">
        <f>IF(Main[[#This Row],[Tech Start Date]]&lt;1/1/1990,"",IF(Main[[#This Row],[Class]]="C",WORKDAY(Main[[#This Row],[Tech Start Date]],28),IF(Main[[#This Row],[Class]]="B", WORKDAY(Main[[#This Row],[Tech Start Date]],19),IF(Main[[#This Row],[Class]]="A",WORKDAY(Main[[#This Row],[Tech Start Date]],9),""))))</f>
        <v/>
      </c>
      <c r="Q247" s="74">
        <v>40641</v>
      </c>
      <c r="R247" s="74"/>
      <c r="S247" s="72" t="s">
        <v>11</v>
      </c>
      <c r="T247" s="80" t="s">
        <v>4</v>
      </c>
      <c r="U247" s="72" t="s">
        <v>14</v>
      </c>
      <c r="V247" s="72" t="s">
        <v>1917</v>
      </c>
      <c r="W247" s="72" t="s">
        <v>1925</v>
      </c>
      <c r="X247" s="72" t="s">
        <v>2845</v>
      </c>
      <c r="Y247" s="72" t="s">
        <v>2987</v>
      </c>
      <c r="Z247" s="72" t="s">
        <v>4</v>
      </c>
      <c r="AA247" s="146" t="s">
        <v>2845</v>
      </c>
    </row>
    <row r="248" spans="1:27" ht="18.600000000000001" customHeight="1">
      <c r="A248" s="139" t="str">
        <f>IF(priority(Main[[#This Row],[Comments]])&lt;&gt;0, priority(Main[[#This Row],[Comments]]),"")</f>
        <v/>
      </c>
      <c r="B248" s="89" t="s">
        <v>1090</v>
      </c>
      <c r="C248" s="72" t="s">
        <v>137</v>
      </c>
      <c r="D248" s="73" t="s">
        <v>138</v>
      </c>
      <c r="E248" s="74"/>
      <c r="F248" s="74"/>
      <c r="G248" s="75" t="str">
        <f>IF(stdProdLT(Main[[#This Row],[Comments]])=0.1,"N/A",IF(stdProdLT(Main[[#This Row],[Comments]])=0,"",stdProdLT(Main[[#This Row],[Comments]])))</f>
        <v/>
      </c>
      <c r="H248" s="76" t="str">
        <f>IF(AND(Main[[#This Row],[In Stock Date]]&lt;&gt;"",Main[[#This Row],[Revised Due Date]]&lt;&gt;""),Main[[#This Row],[In Stock Date]]-Main[[#This Row],[Revised Due Date]],"")</f>
        <v/>
      </c>
      <c r="I248" s="72" t="s">
        <v>4</v>
      </c>
      <c r="J248" s="72" t="s">
        <v>4</v>
      </c>
      <c r="K248" s="72" t="s">
        <v>4</v>
      </c>
      <c r="L248" s="74"/>
      <c r="M248" s="77" t="str">
        <f>IF(Main[[#This Row],[Tech Start Date]]&lt;1/1/1990,"",IF(Main[[#This Row],[Class]]="C",WORKDAY(Main[[#This Row],[Tech Start Date]],9),IF(Main[[#This Row],[Class]]="B", WORKDAY(Main[[#This Row],[Tech Start Date]],6),IF(Main[[#This Row],[Class]]="A",WORKDAY(Main[[#This Row],[Tech Start Date]],2),""))))</f>
        <v/>
      </c>
      <c r="N248" s="77" t="str">
        <f>IF(Main[[#This Row],[Tech Start Date]]&lt;1/1/1990,"",IF(Main[[#This Row],[Class]]="C",WORKDAY(Main[[#This Row],[Tech Start Date]],19),IF(Main[[#This Row],[Class]]="B", WORKDAY(Main[[#This Row],[Tech Start Date]],12),IF(Main[[#This Row],[Class]]="A",WORKDAY(Main[[#This Row],[Tech Start Date]],4),""))))</f>
        <v/>
      </c>
      <c r="O248" s="77" t="str">
        <f>IF(Main[[#This Row],[Tech Start Date]]&lt;1/1/1990,"",IF(Main[[#This Row],[Class]]="C",WORKDAY(Main[[#This Row],[Tech Start Date]],23),IF(Main[[#This Row],[Class]]="B", WORKDAY(Main[[#This Row],[Tech Start Date]],15),IF(Main[[#This Row],[Class]]="A",WORKDAY(Main[[#This Row],[Tech Start Date]],5),""))))</f>
        <v/>
      </c>
      <c r="P248" s="77" t="str">
        <f>IF(Main[[#This Row],[Tech Start Date]]&lt;1/1/1990,"",IF(Main[[#This Row],[Class]]="C",WORKDAY(Main[[#This Row],[Tech Start Date]],28),IF(Main[[#This Row],[Class]]="B", WORKDAY(Main[[#This Row],[Tech Start Date]],19),IF(Main[[#This Row],[Class]]="A",WORKDAY(Main[[#This Row],[Tech Start Date]],9),""))))</f>
        <v/>
      </c>
      <c r="Q248" s="74">
        <v>40641</v>
      </c>
      <c r="R248" s="74"/>
      <c r="S248" s="72" t="s">
        <v>11</v>
      </c>
      <c r="T248" s="80" t="s">
        <v>4</v>
      </c>
      <c r="U248" s="72" t="s">
        <v>14</v>
      </c>
      <c r="V248" s="72" t="s">
        <v>1917</v>
      </c>
      <c r="W248" s="72" t="s">
        <v>1925</v>
      </c>
      <c r="X248" s="72" t="s">
        <v>2845</v>
      </c>
      <c r="Y248" s="72" t="s">
        <v>2976</v>
      </c>
      <c r="Z248" s="72" t="s">
        <v>4</v>
      </c>
      <c r="AA248" s="146" t="s">
        <v>2845</v>
      </c>
    </row>
    <row r="249" spans="1:27" ht="18.600000000000001" customHeight="1">
      <c r="A249" s="139" t="str">
        <f>IF(priority(Main[[#This Row],[Comments]])&lt;&gt;0, priority(Main[[#This Row],[Comments]]),"")</f>
        <v/>
      </c>
      <c r="B249" s="89" t="s">
        <v>1092</v>
      </c>
      <c r="C249" s="72" t="s">
        <v>33</v>
      </c>
      <c r="D249" s="73" t="s">
        <v>139</v>
      </c>
      <c r="E249" s="74"/>
      <c r="F249" s="74"/>
      <c r="G249" s="75" t="str">
        <f>IF(stdProdLT(Main[[#This Row],[Comments]])=0.1,"N/A",IF(stdProdLT(Main[[#This Row],[Comments]])=0,"",stdProdLT(Main[[#This Row],[Comments]])))</f>
        <v/>
      </c>
      <c r="H249" s="76" t="str">
        <f>IF(AND(Main[[#This Row],[In Stock Date]]&lt;&gt;"",Main[[#This Row],[Revised Due Date]]&lt;&gt;""),Main[[#This Row],[In Stock Date]]-Main[[#This Row],[Revised Due Date]],"")</f>
        <v/>
      </c>
      <c r="I249" s="72" t="s">
        <v>4</v>
      </c>
      <c r="J249" s="72" t="s">
        <v>4</v>
      </c>
      <c r="K249" s="72" t="s">
        <v>4</v>
      </c>
      <c r="L249" s="74"/>
      <c r="M249" s="77" t="str">
        <f>IF(Main[[#This Row],[Tech Start Date]]&lt;1/1/1990,"",IF(Main[[#This Row],[Class]]="C",WORKDAY(Main[[#This Row],[Tech Start Date]],9),IF(Main[[#This Row],[Class]]="B", WORKDAY(Main[[#This Row],[Tech Start Date]],6),IF(Main[[#This Row],[Class]]="A",WORKDAY(Main[[#This Row],[Tech Start Date]],2),""))))</f>
        <v/>
      </c>
      <c r="N249" s="77" t="str">
        <f>IF(Main[[#This Row],[Tech Start Date]]&lt;1/1/1990,"",IF(Main[[#This Row],[Class]]="C",WORKDAY(Main[[#This Row],[Tech Start Date]],19),IF(Main[[#This Row],[Class]]="B", WORKDAY(Main[[#This Row],[Tech Start Date]],12),IF(Main[[#This Row],[Class]]="A",WORKDAY(Main[[#This Row],[Tech Start Date]],4),""))))</f>
        <v/>
      </c>
      <c r="O249" s="77" t="str">
        <f>IF(Main[[#This Row],[Tech Start Date]]&lt;1/1/1990,"",IF(Main[[#This Row],[Class]]="C",WORKDAY(Main[[#This Row],[Tech Start Date]],23),IF(Main[[#This Row],[Class]]="B", WORKDAY(Main[[#This Row],[Tech Start Date]],15),IF(Main[[#This Row],[Class]]="A",WORKDAY(Main[[#This Row],[Tech Start Date]],5),""))))</f>
        <v/>
      </c>
      <c r="P249" s="77" t="str">
        <f>IF(Main[[#This Row],[Tech Start Date]]&lt;1/1/1990,"",IF(Main[[#This Row],[Class]]="C",WORKDAY(Main[[#This Row],[Tech Start Date]],28),IF(Main[[#This Row],[Class]]="B", WORKDAY(Main[[#This Row],[Tech Start Date]],19),IF(Main[[#This Row],[Class]]="A",WORKDAY(Main[[#This Row],[Tech Start Date]],9),""))))</f>
        <v/>
      </c>
      <c r="Q249" s="74"/>
      <c r="R249" s="74"/>
      <c r="S249" s="72" t="s">
        <v>11</v>
      </c>
      <c r="T249" s="80" t="s">
        <v>4</v>
      </c>
      <c r="U249" s="72" t="s">
        <v>14</v>
      </c>
      <c r="V249" s="72" t="s">
        <v>1918</v>
      </c>
      <c r="W249" s="72" t="s">
        <v>1925</v>
      </c>
      <c r="X249" s="72" t="s">
        <v>2833</v>
      </c>
      <c r="Y249" s="72" t="s">
        <v>2954</v>
      </c>
      <c r="Z249" s="72" t="s">
        <v>4</v>
      </c>
      <c r="AA249" s="146" t="s">
        <v>2833</v>
      </c>
    </row>
    <row r="250" spans="1:27" ht="18.600000000000001" customHeight="1">
      <c r="A250" s="139" t="str">
        <f>IF(priority(Main[[#This Row],[Comments]])&lt;&gt;0, priority(Main[[#This Row],[Comments]]),"")</f>
        <v/>
      </c>
      <c r="B250" s="89" t="s">
        <v>1093</v>
      </c>
      <c r="C250" s="72" t="s">
        <v>4</v>
      </c>
      <c r="D250" s="73" t="s">
        <v>140</v>
      </c>
      <c r="E250" s="74">
        <v>40436.663981481484</v>
      </c>
      <c r="F250" s="74"/>
      <c r="G250" s="75" t="str">
        <f>IF(stdProdLT(Main[[#This Row],[Comments]])=0.1,"N/A",IF(stdProdLT(Main[[#This Row],[Comments]])=0,"",stdProdLT(Main[[#This Row],[Comments]])))</f>
        <v/>
      </c>
      <c r="H250" s="76" t="str">
        <f>IF(AND(Main[[#This Row],[In Stock Date]]&lt;&gt;"",Main[[#This Row],[Revised Due Date]]&lt;&gt;""),Main[[#This Row],[In Stock Date]]-Main[[#This Row],[Revised Due Date]],"")</f>
        <v/>
      </c>
      <c r="I250" s="72" t="s">
        <v>4</v>
      </c>
      <c r="J250" s="72" t="s">
        <v>4</v>
      </c>
      <c r="K250" s="81" t="s">
        <v>4</v>
      </c>
      <c r="L250" s="74"/>
      <c r="M250" s="77" t="str">
        <f>IF(Main[[#This Row],[Tech Start Date]]&lt;1/1/1990,"",IF(Main[[#This Row],[Class]]="C",WORKDAY(Main[[#This Row],[Tech Start Date]],9),IF(Main[[#This Row],[Class]]="B", WORKDAY(Main[[#This Row],[Tech Start Date]],6),IF(Main[[#This Row],[Class]]="A",WORKDAY(Main[[#This Row],[Tech Start Date]],2),""))))</f>
        <v/>
      </c>
      <c r="N250" s="77" t="str">
        <f>IF(Main[[#This Row],[Tech Start Date]]&lt;1/1/1990,"",IF(Main[[#This Row],[Class]]="C",WORKDAY(Main[[#This Row],[Tech Start Date]],19),IF(Main[[#This Row],[Class]]="B", WORKDAY(Main[[#This Row],[Tech Start Date]],12),IF(Main[[#This Row],[Class]]="A",WORKDAY(Main[[#This Row],[Tech Start Date]],4),""))))</f>
        <v/>
      </c>
      <c r="O250" s="77" t="str">
        <f>IF(Main[[#This Row],[Tech Start Date]]&lt;1/1/1990,"",IF(Main[[#This Row],[Class]]="C",WORKDAY(Main[[#This Row],[Tech Start Date]],23),IF(Main[[#This Row],[Class]]="B", WORKDAY(Main[[#This Row],[Tech Start Date]],15),IF(Main[[#This Row],[Class]]="A",WORKDAY(Main[[#This Row],[Tech Start Date]],5),""))))</f>
        <v/>
      </c>
      <c r="P250" s="77" t="str">
        <f>IF(Main[[#This Row],[Tech Start Date]]&lt;1/1/1990,"",IF(Main[[#This Row],[Class]]="C",WORKDAY(Main[[#This Row],[Tech Start Date]],28),IF(Main[[#This Row],[Class]]="B", WORKDAY(Main[[#This Row],[Tech Start Date]],19),IF(Main[[#This Row],[Class]]="A",WORKDAY(Main[[#This Row],[Tech Start Date]],9),""))))</f>
        <v/>
      </c>
      <c r="Q250" s="74"/>
      <c r="R250" s="74"/>
      <c r="S250" s="72" t="s">
        <v>17</v>
      </c>
      <c r="T250" s="80" t="s">
        <v>141</v>
      </c>
      <c r="U250" s="72" t="s">
        <v>7</v>
      </c>
      <c r="V250" s="72" t="s">
        <v>1918</v>
      </c>
      <c r="W250" s="72" t="s">
        <v>1925</v>
      </c>
      <c r="X250" s="72" t="s">
        <v>924</v>
      </c>
      <c r="Y250" s="72" t="s">
        <v>2988</v>
      </c>
      <c r="Z250" s="72" t="s">
        <v>4</v>
      </c>
      <c r="AA250" s="146" t="s">
        <v>924</v>
      </c>
    </row>
    <row r="251" spans="1:27" ht="18.600000000000001" customHeight="1">
      <c r="A251" s="139" t="str">
        <f>IF(priority(Main[[#This Row],[Comments]])&lt;&gt;0, priority(Main[[#This Row],[Comments]]),"")</f>
        <v/>
      </c>
      <c r="B251" s="89" t="s">
        <v>1095</v>
      </c>
      <c r="C251" s="72" t="s">
        <v>31</v>
      </c>
      <c r="D251" s="73" t="s">
        <v>142</v>
      </c>
      <c r="E251" s="74"/>
      <c r="F251" s="74"/>
      <c r="G251" s="75" t="str">
        <f>IF(stdProdLT(Main[[#This Row],[Comments]])=0.1,"N/A",IF(stdProdLT(Main[[#This Row],[Comments]])=0,"",stdProdLT(Main[[#This Row],[Comments]])))</f>
        <v/>
      </c>
      <c r="H251" s="76" t="str">
        <f>IF(AND(Main[[#This Row],[In Stock Date]]&lt;&gt;"",Main[[#This Row],[Revised Due Date]]&lt;&gt;""),Main[[#This Row],[In Stock Date]]-Main[[#This Row],[Revised Due Date]],"")</f>
        <v/>
      </c>
      <c r="I251" s="72" t="s">
        <v>4</v>
      </c>
      <c r="J251" s="72" t="s">
        <v>4</v>
      </c>
      <c r="K251" s="72" t="s">
        <v>4</v>
      </c>
      <c r="L251" s="74"/>
      <c r="M251" s="77" t="str">
        <f>IF(Main[[#This Row],[Tech Start Date]]&lt;1/1/1990,"",IF(Main[[#This Row],[Class]]="C",WORKDAY(Main[[#This Row],[Tech Start Date]],9),IF(Main[[#This Row],[Class]]="B", WORKDAY(Main[[#This Row],[Tech Start Date]],6),IF(Main[[#This Row],[Class]]="A",WORKDAY(Main[[#This Row],[Tech Start Date]],2),""))))</f>
        <v/>
      </c>
      <c r="N251" s="77" t="str">
        <f>IF(Main[[#This Row],[Tech Start Date]]&lt;1/1/1990,"",IF(Main[[#This Row],[Class]]="C",WORKDAY(Main[[#This Row],[Tech Start Date]],19),IF(Main[[#This Row],[Class]]="B", WORKDAY(Main[[#This Row],[Tech Start Date]],12),IF(Main[[#This Row],[Class]]="A",WORKDAY(Main[[#This Row],[Tech Start Date]],4),""))))</f>
        <v/>
      </c>
      <c r="O251" s="77" t="str">
        <f>IF(Main[[#This Row],[Tech Start Date]]&lt;1/1/1990,"",IF(Main[[#This Row],[Class]]="C",WORKDAY(Main[[#This Row],[Tech Start Date]],23),IF(Main[[#This Row],[Class]]="B", WORKDAY(Main[[#This Row],[Tech Start Date]],15),IF(Main[[#This Row],[Class]]="A",WORKDAY(Main[[#This Row],[Tech Start Date]],5),""))))</f>
        <v/>
      </c>
      <c r="P251" s="77" t="str">
        <f>IF(Main[[#This Row],[Tech Start Date]]&lt;1/1/1990,"",IF(Main[[#This Row],[Class]]="C",WORKDAY(Main[[#This Row],[Tech Start Date]],28),IF(Main[[#This Row],[Class]]="B", WORKDAY(Main[[#This Row],[Tech Start Date]],19),IF(Main[[#This Row],[Class]]="A",WORKDAY(Main[[#This Row],[Tech Start Date]],9),""))))</f>
        <v/>
      </c>
      <c r="Q251" s="74">
        <v>40318</v>
      </c>
      <c r="R251" s="74"/>
      <c r="S251" s="72" t="s">
        <v>11</v>
      </c>
      <c r="T251" s="80" t="s">
        <v>4</v>
      </c>
      <c r="U251" s="72" t="s">
        <v>14</v>
      </c>
      <c r="V251" s="72" t="s">
        <v>1920</v>
      </c>
      <c r="W251" s="72" t="s">
        <v>1919</v>
      </c>
      <c r="X251" s="72" t="s">
        <v>2836</v>
      </c>
      <c r="Y251" s="72" t="s">
        <v>4</v>
      </c>
      <c r="Z251" s="72" t="s">
        <v>4</v>
      </c>
      <c r="AA251" s="146" t="s">
        <v>2836</v>
      </c>
    </row>
    <row r="252" spans="1:27" ht="18.600000000000001" customHeight="1">
      <c r="A252" s="139" t="str">
        <f>IF(priority(Main[[#This Row],[Comments]])&lt;&gt;0, priority(Main[[#This Row],[Comments]]),"")</f>
        <v/>
      </c>
      <c r="B252" s="89" t="s">
        <v>2340</v>
      </c>
      <c r="C252" s="72" t="s">
        <v>347</v>
      </c>
      <c r="D252" s="73" t="s">
        <v>2341</v>
      </c>
      <c r="E252" s="74"/>
      <c r="F252" s="74"/>
      <c r="G252" s="75" t="str">
        <f>IF(stdProdLT(Main[[#This Row],[Comments]])=0.1,"N/A",IF(stdProdLT(Main[[#This Row],[Comments]])=0,"",stdProdLT(Main[[#This Row],[Comments]])))</f>
        <v/>
      </c>
      <c r="H252" s="76" t="str">
        <f>IF(AND(Main[[#This Row],[In Stock Date]]&lt;&gt;"",Main[[#This Row],[Revised Due Date]]&lt;&gt;""),Main[[#This Row],[In Stock Date]]-Main[[#This Row],[Revised Due Date]],"")</f>
        <v/>
      </c>
      <c r="I252" s="72" t="s">
        <v>4</v>
      </c>
      <c r="J252" s="72" t="s">
        <v>4</v>
      </c>
      <c r="K252" s="72" t="s">
        <v>4</v>
      </c>
      <c r="L252" s="74"/>
      <c r="M252" s="77" t="str">
        <f>IF(Main[[#This Row],[Tech Start Date]]&lt;1/1/1990,"",IF(Main[[#This Row],[Class]]="C",WORKDAY(Main[[#This Row],[Tech Start Date]],9),IF(Main[[#This Row],[Class]]="B", WORKDAY(Main[[#This Row],[Tech Start Date]],6),IF(Main[[#This Row],[Class]]="A",WORKDAY(Main[[#This Row],[Tech Start Date]],2),""))))</f>
        <v/>
      </c>
      <c r="N252" s="77" t="str">
        <f>IF(Main[[#This Row],[Tech Start Date]]&lt;1/1/1990,"",IF(Main[[#This Row],[Class]]="C",WORKDAY(Main[[#This Row],[Tech Start Date]],19),IF(Main[[#This Row],[Class]]="B", WORKDAY(Main[[#This Row],[Tech Start Date]],12),IF(Main[[#This Row],[Class]]="A",WORKDAY(Main[[#This Row],[Tech Start Date]],4),""))))</f>
        <v/>
      </c>
      <c r="O252" s="77" t="str">
        <f>IF(Main[[#This Row],[Tech Start Date]]&lt;1/1/1990,"",IF(Main[[#This Row],[Class]]="C",WORKDAY(Main[[#This Row],[Tech Start Date]],23),IF(Main[[#This Row],[Class]]="B", WORKDAY(Main[[#This Row],[Tech Start Date]],15),IF(Main[[#This Row],[Class]]="A",WORKDAY(Main[[#This Row],[Tech Start Date]],5),""))))</f>
        <v/>
      </c>
      <c r="P252" s="77" t="str">
        <f>IF(Main[[#This Row],[Tech Start Date]]&lt;1/1/1990,"",IF(Main[[#This Row],[Class]]="C",WORKDAY(Main[[#This Row],[Tech Start Date]],28),IF(Main[[#This Row],[Class]]="B", WORKDAY(Main[[#This Row],[Tech Start Date]],19),IF(Main[[#This Row],[Class]]="A",WORKDAY(Main[[#This Row],[Tech Start Date]],9),""))))</f>
        <v/>
      </c>
      <c r="Q252" s="74">
        <v>40847</v>
      </c>
      <c r="R252" s="74"/>
      <c r="S252" s="72" t="s">
        <v>4</v>
      </c>
      <c r="T252" s="80" t="s">
        <v>4</v>
      </c>
      <c r="U252" s="72" t="s">
        <v>12</v>
      </c>
      <c r="V252" s="72" t="s">
        <v>1917</v>
      </c>
      <c r="W252" s="72" t="s">
        <v>4</v>
      </c>
      <c r="X252" s="72" t="s">
        <v>2855</v>
      </c>
      <c r="Y252" s="72" t="s">
        <v>2989</v>
      </c>
      <c r="Z252" s="72" t="s">
        <v>4</v>
      </c>
      <c r="AA252" s="146" t="s">
        <v>2855</v>
      </c>
    </row>
    <row r="253" spans="1:27" ht="18.600000000000001" customHeight="1">
      <c r="A253" s="139" t="str">
        <f>IF(priority(Main[[#This Row],[Comments]])&lt;&gt;0, priority(Main[[#This Row],[Comments]]),"")</f>
        <v/>
      </c>
      <c r="B253" s="89" t="s">
        <v>2070</v>
      </c>
      <c r="C253" s="72" t="s">
        <v>4</v>
      </c>
      <c r="D253" s="73" t="s">
        <v>2071</v>
      </c>
      <c r="E253" s="74"/>
      <c r="F253" s="74"/>
      <c r="G253" s="75" t="str">
        <f>IF(stdProdLT(Main[[#This Row],[Comments]])=0.1,"N/A",IF(stdProdLT(Main[[#This Row],[Comments]])=0,"",stdProdLT(Main[[#This Row],[Comments]])))</f>
        <v/>
      </c>
      <c r="H253" s="76" t="str">
        <f>IF(AND(Main[[#This Row],[In Stock Date]]&lt;&gt;"",Main[[#This Row],[Revised Due Date]]&lt;&gt;""),Main[[#This Row],[In Stock Date]]-Main[[#This Row],[Revised Due Date]],"")</f>
        <v/>
      </c>
      <c r="I253" s="72" t="s">
        <v>4</v>
      </c>
      <c r="J253" s="72" t="s">
        <v>4</v>
      </c>
      <c r="K253" s="81" t="s">
        <v>4</v>
      </c>
      <c r="L253" s="74"/>
      <c r="M253" s="77" t="str">
        <f>IF(Main[[#This Row],[Tech Start Date]]&lt;1/1/1990,"",IF(Main[[#This Row],[Class]]="C",WORKDAY(Main[[#This Row],[Tech Start Date]],9),IF(Main[[#This Row],[Class]]="B", WORKDAY(Main[[#This Row],[Tech Start Date]],6),IF(Main[[#This Row],[Class]]="A",WORKDAY(Main[[#This Row],[Tech Start Date]],2),""))))</f>
        <v/>
      </c>
      <c r="N253" s="77" t="str">
        <f>IF(Main[[#This Row],[Tech Start Date]]&lt;1/1/1990,"",IF(Main[[#This Row],[Class]]="C",WORKDAY(Main[[#This Row],[Tech Start Date]],19),IF(Main[[#This Row],[Class]]="B", WORKDAY(Main[[#This Row],[Tech Start Date]],12),IF(Main[[#This Row],[Class]]="A",WORKDAY(Main[[#This Row],[Tech Start Date]],4),""))))</f>
        <v/>
      </c>
      <c r="O253" s="77" t="str">
        <f>IF(Main[[#This Row],[Tech Start Date]]&lt;1/1/1990,"",IF(Main[[#This Row],[Class]]="C",WORKDAY(Main[[#This Row],[Tech Start Date]],23),IF(Main[[#This Row],[Class]]="B", WORKDAY(Main[[#This Row],[Tech Start Date]],15),IF(Main[[#This Row],[Class]]="A",WORKDAY(Main[[#This Row],[Tech Start Date]],5),""))))</f>
        <v/>
      </c>
      <c r="P253" s="77" t="str">
        <f>IF(Main[[#This Row],[Tech Start Date]]&lt;1/1/1990,"",IF(Main[[#This Row],[Class]]="C",WORKDAY(Main[[#This Row],[Tech Start Date]],28),IF(Main[[#This Row],[Class]]="B", WORKDAY(Main[[#This Row],[Tech Start Date]],19),IF(Main[[#This Row],[Class]]="A",WORKDAY(Main[[#This Row],[Tech Start Date]],9),""))))</f>
        <v/>
      </c>
      <c r="Q253" s="74"/>
      <c r="R253" s="74"/>
      <c r="S253" s="72" t="s">
        <v>6</v>
      </c>
      <c r="T253" s="80" t="s">
        <v>4</v>
      </c>
      <c r="U253" s="72" t="s">
        <v>14</v>
      </c>
      <c r="V253" s="72" t="s">
        <v>1927</v>
      </c>
      <c r="W253" s="72" t="s">
        <v>1921</v>
      </c>
      <c r="X253" s="72" t="s">
        <v>306</v>
      </c>
      <c r="Y253" s="72" t="s">
        <v>4</v>
      </c>
      <c r="Z253" s="72" t="s">
        <v>4</v>
      </c>
      <c r="AA253" s="146" t="s">
        <v>4</v>
      </c>
    </row>
    <row r="254" spans="1:27" ht="18.600000000000001" customHeight="1">
      <c r="A254" s="139" t="str">
        <f>IF(priority(Main[[#This Row],[Comments]])&lt;&gt;0, priority(Main[[#This Row],[Comments]]),"")</f>
        <v/>
      </c>
      <c r="B254" s="89" t="s">
        <v>2342</v>
      </c>
      <c r="C254" s="72" t="s">
        <v>4</v>
      </c>
      <c r="D254" s="73" t="s">
        <v>2343</v>
      </c>
      <c r="E254" s="74">
        <v>40841.293483796297</v>
      </c>
      <c r="F254" s="74"/>
      <c r="G254" s="75" t="str">
        <f>IF(stdProdLT(Main[[#This Row],[Comments]])=0.1,"N/A",IF(stdProdLT(Main[[#This Row],[Comments]])=0,"",stdProdLT(Main[[#This Row],[Comments]])))</f>
        <v/>
      </c>
      <c r="H254" s="76" t="str">
        <f>IF(AND(Main[[#This Row],[In Stock Date]]&lt;&gt;"",Main[[#This Row],[Revised Due Date]]&lt;&gt;""),Main[[#This Row],[In Stock Date]]-Main[[#This Row],[Revised Due Date]],"")</f>
        <v/>
      </c>
      <c r="I254" s="72" t="s">
        <v>914</v>
      </c>
      <c r="J254" s="72" t="s">
        <v>52</v>
      </c>
      <c r="K254" s="81" t="s">
        <v>4</v>
      </c>
      <c r="L254" s="74"/>
      <c r="M254" s="77" t="str">
        <f>IF(Main[[#This Row],[Tech Start Date]]&lt;1/1/1990,"",IF(Main[[#This Row],[Class]]="C",WORKDAY(Main[[#This Row],[Tech Start Date]],9),IF(Main[[#This Row],[Class]]="B", WORKDAY(Main[[#This Row],[Tech Start Date]],6),IF(Main[[#This Row],[Class]]="A",WORKDAY(Main[[#This Row],[Tech Start Date]],2),""))))</f>
        <v/>
      </c>
      <c r="N254" s="77" t="str">
        <f>IF(Main[[#This Row],[Tech Start Date]]&lt;1/1/1990,"",IF(Main[[#This Row],[Class]]="C",WORKDAY(Main[[#This Row],[Tech Start Date]],19),IF(Main[[#This Row],[Class]]="B", WORKDAY(Main[[#This Row],[Tech Start Date]],12),IF(Main[[#This Row],[Class]]="A",WORKDAY(Main[[#This Row],[Tech Start Date]],4),""))))</f>
        <v/>
      </c>
      <c r="O254" s="77" t="str">
        <f>IF(Main[[#This Row],[Tech Start Date]]&lt;1/1/1990,"",IF(Main[[#This Row],[Class]]="C",WORKDAY(Main[[#This Row],[Tech Start Date]],23),IF(Main[[#This Row],[Class]]="B", WORKDAY(Main[[#This Row],[Tech Start Date]],15),IF(Main[[#This Row],[Class]]="A",WORKDAY(Main[[#This Row],[Tech Start Date]],5),""))))</f>
        <v/>
      </c>
      <c r="P254" s="77" t="str">
        <f>IF(Main[[#This Row],[Tech Start Date]]&lt;1/1/1990,"",IF(Main[[#This Row],[Class]]="C",WORKDAY(Main[[#This Row],[Tech Start Date]],28),IF(Main[[#This Row],[Class]]="B", WORKDAY(Main[[#This Row],[Tech Start Date]],19),IF(Main[[#This Row],[Class]]="A",WORKDAY(Main[[#This Row],[Tech Start Date]],9),""))))</f>
        <v/>
      </c>
      <c r="Q254" s="74"/>
      <c r="R254" s="74"/>
      <c r="S254" s="72" t="s">
        <v>6</v>
      </c>
      <c r="T254" s="80" t="s">
        <v>4</v>
      </c>
      <c r="U254" s="72" t="s">
        <v>29</v>
      </c>
      <c r="V254" s="72" t="s">
        <v>1917</v>
      </c>
      <c r="W254" s="72" t="s">
        <v>1921</v>
      </c>
      <c r="X254" s="72" t="s">
        <v>939</v>
      </c>
      <c r="Y254" s="72" t="s">
        <v>2990</v>
      </c>
      <c r="Z254" s="72" t="s">
        <v>4</v>
      </c>
      <c r="AA254" s="146" t="s">
        <v>939</v>
      </c>
    </row>
    <row r="255" spans="1:27" ht="18.600000000000001" customHeight="1">
      <c r="A255" s="139" t="str">
        <f>IF(priority(Main[[#This Row],[Comments]])&lt;&gt;0, priority(Main[[#This Row],[Comments]]),"")</f>
        <v/>
      </c>
      <c r="B255" s="123" t="s">
        <v>1096</v>
      </c>
      <c r="C255" s="116" t="s">
        <v>33</v>
      </c>
      <c r="D255" s="117" t="s">
        <v>143</v>
      </c>
      <c r="E255" s="118"/>
      <c r="F255" s="118">
        <v>40422</v>
      </c>
      <c r="G255" s="119" t="str">
        <f>IF(stdProdLT(Main[[#This Row],[Comments]])=0.1,"N/A",IF(stdProdLT(Main[[#This Row],[Comments]])=0,"",stdProdLT(Main[[#This Row],[Comments]])))</f>
        <v/>
      </c>
      <c r="H255" s="120" t="str">
        <f>IF(AND(Main[[#This Row],[In Stock Date]]&lt;&gt;"",Main[[#This Row],[Revised Due Date]]&lt;&gt;""),Main[[#This Row],[In Stock Date]]-Main[[#This Row],[Revised Due Date]],"")</f>
        <v/>
      </c>
      <c r="I255" s="116" t="s">
        <v>4</v>
      </c>
      <c r="J255" s="116" t="s">
        <v>4</v>
      </c>
      <c r="K255" s="116" t="s">
        <v>4</v>
      </c>
      <c r="L255" s="118"/>
      <c r="M255" s="121" t="str">
        <f>IF(Main[[#This Row],[Tech Start Date]]&lt;1/1/1990,"",IF(Main[[#This Row],[Class]]="C",WORKDAY(Main[[#This Row],[Tech Start Date]],9),IF(Main[[#This Row],[Class]]="B", WORKDAY(Main[[#This Row],[Tech Start Date]],6),IF(Main[[#This Row],[Class]]="A",WORKDAY(Main[[#This Row],[Tech Start Date]],2),""))))</f>
        <v/>
      </c>
      <c r="N255" s="121" t="str">
        <f>IF(Main[[#This Row],[Tech Start Date]]&lt;1/1/1990,"",IF(Main[[#This Row],[Class]]="C",WORKDAY(Main[[#This Row],[Tech Start Date]],19),IF(Main[[#This Row],[Class]]="B", WORKDAY(Main[[#This Row],[Tech Start Date]],12),IF(Main[[#This Row],[Class]]="A",WORKDAY(Main[[#This Row],[Tech Start Date]],4),""))))</f>
        <v/>
      </c>
      <c r="O255" s="121" t="str">
        <f>IF(Main[[#This Row],[Tech Start Date]]&lt;1/1/1990,"",IF(Main[[#This Row],[Class]]="C",WORKDAY(Main[[#This Row],[Tech Start Date]],23),IF(Main[[#This Row],[Class]]="B", WORKDAY(Main[[#This Row],[Tech Start Date]],15),IF(Main[[#This Row],[Class]]="A",WORKDAY(Main[[#This Row],[Tech Start Date]],5),""))))</f>
        <v/>
      </c>
      <c r="P255" s="121" t="str">
        <f>IF(Main[[#This Row],[Tech Start Date]]&lt;1/1/1990,"",IF(Main[[#This Row],[Class]]="C",WORKDAY(Main[[#This Row],[Tech Start Date]],28),IF(Main[[#This Row],[Class]]="B", WORKDAY(Main[[#This Row],[Tech Start Date]],19),IF(Main[[#This Row],[Class]]="A",WORKDAY(Main[[#This Row],[Tech Start Date]],9),""))))</f>
        <v/>
      </c>
      <c r="Q255" s="118">
        <v>40282</v>
      </c>
      <c r="R255" s="118"/>
      <c r="S255" s="116" t="s">
        <v>11</v>
      </c>
      <c r="T255" s="122" t="s">
        <v>4</v>
      </c>
      <c r="U255" s="116" t="s">
        <v>14</v>
      </c>
      <c r="V255" s="116" t="s">
        <v>1920</v>
      </c>
      <c r="W255" s="116" t="s">
        <v>1922</v>
      </c>
      <c r="X255" s="116" t="s">
        <v>2856</v>
      </c>
      <c r="Y255" s="116" t="s">
        <v>4</v>
      </c>
      <c r="Z255" s="116" t="s">
        <v>4</v>
      </c>
      <c r="AA255" s="146" t="s">
        <v>2856</v>
      </c>
    </row>
    <row r="256" spans="1:27" ht="18.600000000000001" customHeight="1">
      <c r="A256" s="139" t="str">
        <f>IF(priority(Main[[#This Row],[Comments]])&lt;&gt;0, priority(Main[[#This Row],[Comments]]),"")</f>
        <v/>
      </c>
      <c r="B256" s="89" t="s">
        <v>1097</v>
      </c>
      <c r="C256" s="72" t="s">
        <v>4</v>
      </c>
      <c r="D256" s="73" t="s">
        <v>144</v>
      </c>
      <c r="E256" s="74">
        <v>40395.405358796299</v>
      </c>
      <c r="F256" s="74">
        <v>40574</v>
      </c>
      <c r="G256" s="75" t="str">
        <f>IF(stdProdLT(Main[[#This Row],[Comments]])=0.1,"N/A",IF(stdProdLT(Main[[#This Row],[Comments]])=0,"",stdProdLT(Main[[#This Row],[Comments]])))</f>
        <v/>
      </c>
      <c r="H256" s="76" t="str">
        <f>IF(AND(Main[[#This Row],[In Stock Date]]&lt;&gt;"",Main[[#This Row],[Revised Due Date]]&lt;&gt;""),Main[[#This Row],[In Stock Date]]-Main[[#This Row],[Revised Due Date]],"")</f>
        <v/>
      </c>
      <c r="I256" s="72" t="s">
        <v>4</v>
      </c>
      <c r="J256" s="72" t="s">
        <v>28</v>
      </c>
      <c r="K256" s="81" t="s">
        <v>4</v>
      </c>
      <c r="L256" s="74"/>
      <c r="M256" s="77" t="str">
        <f>IF(Main[[#This Row],[Tech Start Date]]&lt;1/1/1990,"",IF(Main[[#This Row],[Class]]="C",WORKDAY(Main[[#This Row],[Tech Start Date]],9),IF(Main[[#This Row],[Class]]="B", WORKDAY(Main[[#This Row],[Tech Start Date]],6),IF(Main[[#This Row],[Class]]="A",WORKDAY(Main[[#This Row],[Tech Start Date]],2),""))))</f>
        <v/>
      </c>
      <c r="N256" s="77" t="str">
        <f>IF(Main[[#This Row],[Tech Start Date]]&lt;1/1/1990,"",IF(Main[[#This Row],[Class]]="C",WORKDAY(Main[[#This Row],[Tech Start Date]],19),IF(Main[[#This Row],[Class]]="B", WORKDAY(Main[[#This Row],[Tech Start Date]],12),IF(Main[[#This Row],[Class]]="A",WORKDAY(Main[[#This Row],[Tech Start Date]],4),""))))</f>
        <v/>
      </c>
      <c r="O256" s="77" t="str">
        <f>IF(Main[[#This Row],[Tech Start Date]]&lt;1/1/1990,"",IF(Main[[#This Row],[Class]]="C",WORKDAY(Main[[#This Row],[Tech Start Date]],23),IF(Main[[#This Row],[Class]]="B", WORKDAY(Main[[#This Row],[Tech Start Date]],15),IF(Main[[#This Row],[Class]]="A",WORKDAY(Main[[#This Row],[Tech Start Date]],5),""))))</f>
        <v/>
      </c>
      <c r="P256" s="77" t="str">
        <f>IF(Main[[#This Row],[Tech Start Date]]&lt;1/1/1990,"",IF(Main[[#This Row],[Class]]="C",WORKDAY(Main[[#This Row],[Tech Start Date]],28),IF(Main[[#This Row],[Class]]="B", WORKDAY(Main[[#This Row],[Tech Start Date]],19),IF(Main[[#This Row],[Class]]="A",WORKDAY(Main[[#This Row],[Tech Start Date]],9),""))))</f>
        <v/>
      </c>
      <c r="Q256" s="74"/>
      <c r="R256" s="74"/>
      <c r="S256" s="72" t="s">
        <v>17</v>
      </c>
      <c r="T256" s="80" t="s">
        <v>4</v>
      </c>
      <c r="U256" s="72" t="s">
        <v>7</v>
      </c>
      <c r="V256" s="72" t="s">
        <v>1918</v>
      </c>
      <c r="W256" s="72" t="s">
        <v>1922</v>
      </c>
      <c r="X256" s="72" t="s">
        <v>50</v>
      </c>
      <c r="Y256" s="72" t="s">
        <v>2991</v>
      </c>
      <c r="Z256" s="72" t="s">
        <v>2868</v>
      </c>
      <c r="AA256" s="146" t="s">
        <v>65</v>
      </c>
    </row>
    <row r="257" spans="1:27" ht="18.600000000000001" customHeight="1">
      <c r="A257" s="139" t="str">
        <f>IF(priority(Main[[#This Row],[Comments]])&lt;&gt;0, priority(Main[[#This Row],[Comments]]),"")</f>
        <v/>
      </c>
      <c r="B257" s="89" t="s">
        <v>1085</v>
      </c>
      <c r="C257" s="72" t="s">
        <v>4</v>
      </c>
      <c r="D257" s="73" t="s">
        <v>133</v>
      </c>
      <c r="E257" s="74"/>
      <c r="F257" s="74"/>
      <c r="G257" s="75" t="str">
        <f>IF(stdProdLT(Main[[#This Row],[Comments]])=0.1,"N/A",IF(stdProdLT(Main[[#This Row],[Comments]])=0,"",stdProdLT(Main[[#This Row],[Comments]])))</f>
        <v/>
      </c>
      <c r="H257" s="76" t="str">
        <f>IF(AND(Main[[#This Row],[In Stock Date]]&lt;&gt;"",Main[[#This Row],[Revised Due Date]]&lt;&gt;""),Main[[#This Row],[In Stock Date]]-Main[[#This Row],[Revised Due Date]],"")</f>
        <v/>
      </c>
      <c r="I257" s="72" t="s">
        <v>69</v>
      </c>
      <c r="J257" s="72" t="s">
        <v>70</v>
      </c>
      <c r="K257" s="81" t="s">
        <v>1926</v>
      </c>
      <c r="L257" s="74"/>
      <c r="M257" s="77" t="str">
        <f>IF(Main[[#This Row],[Tech Start Date]]&lt;1/1/1990,"",IF(Main[[#This Row],[Class]]="C",WORKDAY(Main[[#This Row],[Tech Start Date]],9),IF(Main[[#This Row],[Class]]="B", WORKDAY(Main[[#This Row],[Tech Start Date]],6),IF(Main[[#This Row],[Class]]="A",WORKDAY(Main[[#This Row],[Tech Start Date]],2),""))))</f>
        <v/>
      </c>
      <c r="N257" s="77" t="str">
        <f>IF(Main[[#This Row],[Tech Start Date]]&lt;1/1/1990,"",IF(Main[[#This Row],[Class]]="C",WORKDAY(Main[[#This Row],[Tech Start Date]],19),IF(Main[[#This Row],[Class]]="B", WORKDAY(Main[[#This Row],[Tech Start Date]],12),IF(Main[[#This Row],[Class]]="A",WORKDAY(Main[[#This Row],[Tech Start Date]],4),""))))</f>
        <v/>
      </c>
      <c r="O257" s="77" t="str">
        <f>IF(Main[[#This Row],[Tech Start Date]]&lt;1/1/1990,"",IF(Main[[#This Row],[Class]]="C",WORKDAY(Main[[#This Row],[Tech Start Date]],23),IF(Main[[#This Row],[Class]]="B", WORKDAY(Main[[#This Row],[Tech Start Date]],15),IF(Main[[#This Row],[Class]]="A",WORKDAY(Main[[#This Row],[Tech Start Date]],5),""))))</f>
        <v/>
      </c>
      <c r="P257" s="77" t="str">
        <f>IF(Main[[#This Row],[Tech Start Date]]&lt;1/1/1990,"",IF(Main[[#This Row],[Class]]="C",WORKDAY(Main[[#This Row],[Tech Start Date]],28),IF(Main[[#This Row],[Class]]="B", WORKDAY(Main[[#This Row],[Tech Start Date]],19),IF(Main[[#This Row],[Class]]="A",WORKDAY(Main[[#This Row],[Tech Start Date]],9),""))))</f>
        <v/>
      </c>
      <c r="Q257" s="74">
        <v>40633</v>
      </c>
      <c r="R257" s="74"/>
      <c r="S257" s="72" t="s">
        <v>6</v>
      </c>
      <c r="T257" s="80" t="s">
        <v>4</v>
      </c>
      <c r="U257" s="72" t="s">
        <v>14</v>
      </c>
      <c r="V257" s="72" t="s">
        <v>1920</v>
      </c>
      <c r="W257" s="72" t="s">
        <v>1921</v>
      </c>
      <c r="X257" s="72" t="s">
        <v>2825</v>
      </c>
      <c r="Y257" s="72" t="s">
        <v>2938</v>
      </c>
      <c r="Z257" s="72" t="s">
        <v>44</v>
      </c>
      <c r="AA257" s="146" t="s">
        <v>2825</v>
      </c>
    </row>
    <row r="258" spans="1:27" ht="18.600000000000001" customHeight="1">
      <c r="A258" s="139" t="str">
        <f>IF(priority(Main[[#This Row],[Comments]])&lt;&gt;0, priority(Main[[#This Row],[Comments]]),"")</f>
        <v/>
      </c>
      <c r="B258" s="89" t="s">
        <v>1099</v>
      </c>
      <c r="C258" s="72" t="s">
        <v>47</v>
      </c>
      <c r="D258" s="73" t="s">
        <v>146</v>
      </c>
      <c r="E258" s="74"/>
      <c r="F258" s="74"/>
      <c r="G258" s="75" t="str">
        <f>IF(stdProdLT(Main[[#This Row],[Comments]])=0.1,"N/A",IF(stdProdLT(Main[[#This Row],[Comments]])=0,"",stdProdLT(Main[[#This Row],[Comments]])))</f>
        <v/>
      </c>
      <c r="H258" s="76" t="str">
        <f>IF(AND(Main[[#This Row],[In Stock Date]]&lt;&gt;"",Main[[#This Row],[Revised Due Date]]&lt;&gt;""),Main[[#This Row],[In Stock Date]]-Main[[#This Row],[Revised Due Date]],"")</f>
        <v/>
      </c>
      <c r="I258" s="72" t="s">
        <v>4</v>
      </c>
      <c r="J258" s="72" t="s">
        <v>4</v>
      </c>
      <c r="K258" s="72" t="s">
        <v>4</v>
      </c>
      <c r="L258" s="74"/>
      <c r="M258" s="77" t="str">
        <f>IF(Main[[#This Row],[Tech Start Date]]&lt;1/1/1990,"",IF(Main[[#This Row],[Class]]="C",WORKDAY(Main[[#This Row],[Tech Start Date]],9),IF(Main[[#This Row],[Class]]="B", WORKDAY(Main[[#This Row],[Tech Start Date]],6),IF(Main[[#This Row],[Class]]="A",WORKDAY(Main[[#This Row],[Tech Start Date]],2),""))))</f>
        <v/>
      </c>
      <c r="N258" s="77" t="str">
        <f>IF(Main[[#This Row],[Tech Start Date]]&lt;1/1/1990,"",IF(Main[[#This Row],[Class]]="C",WORKDAY(Main[[#This Row],[Tech Start Date]],19),IF(Main[[#This Row],[Class]]="B", WORKDAY(Main[[#This Row],[Tech Start Date]],12),IF(Main[[#This Row],[Class]]="A",WORKDAY(Main[[#This Row],[Tech Start Date]],4),""))))</f>
        <v/>
      </c>
      <c r="O258" s="77" t="str">
        <f>IF(Main[[#This Row],[Tech Start Date]]&lt;1/1/1990,"",IF(Main[[#This Row],[Class]]="C",WORKDAY(Main[[#This Row],[Tech Start Date]],23),IF(Main[[#This Row],[Class]]="B", WORKDAY(Main[[#This Row],[Tech Start Date]],15),IF(Main[[#This Row],[Class]]="A",WORKDAY(Main[[#This Row],[Tech Start Date]],5),""))))</f>
        <v/>
      </c>
      <c r="P258" s="77" t="str">
        <f>IF(Main[[#This Row],[Tech Start Date]]&lt;1/1/1990,"",IF(Main[[#This Row],[Class]]="C",WORKDAY(Main[[#This Row],[Tech Start Date]],28),IF(Main[[#This Row],[Class]]="B", WORKDAY(Main[[#This Row],[Tech Start Date]],19),IF(Main[[#This Row],[Class]]="A",WORKDAY(Main[[#This Row],[Tech Start Date]],9),""))))</f>
        <v/>
      </c>
      <c r="Q258" s="74"/>
      <c r="R258" s="74"/>
      <c r="S258" s="72" t="s">
        <v>11</v>
      </c>
      <c r="T258" s="80" t="s">
        <v>4</v>
      </c>
      <c r="U258" s="72" t="s">
        <v>14</v>
      </c>
      <c r="V258" s="72" t="s">
        <v>1918</v>
      </c>
      <c r="W258" s="72" t="s">
        <v>1921</v>
      </c>
      <c r="X258" s="72" t="s">
        <v>399</v>
      </c>
      <c r="Y258" s="72" t="s">
        <v>4</v>
      </c>
      <c r="Z258" s="72" t="s">
        <v>4</v>
      </c>
      <c r="AA258" s="146" t="s">
        <v>399</v>
      </c>
    </row>
    <row r="259" spans="1:27" ht="18.600000000000001" customHeight="1">
      <c r="A259" s="139" t="str">
        <f>IF(priority(Main[[#This Row],[Comments]])&lt;&gt;0, priority(Main[[#This Row],[Comments]]),"")</f>
        <v/>
      </c>
      <c r="B259" s="89" t="s">
        <v>3258</v>
      </c>
      <c r="C259" s="72" t="s">
        <v>4</v>
      </c>
      <c r="D259" s="73" t="s">
        <v>3259</v>
      </c>
      <c r="E259" s="74">
        <v>40928.503738425927</v>
      </c>
      <c r="F259" s="74"/>
      <c r="G259" s="75" t="str">
        <f>IF(stdProdLT(Main[[#This Row],[Comments]])=0.1,"N/A",IF(stdProdLT(Main[[#This Row],[Comments]])=0,"",stdProdLT(Main[[#This Row],[Comments]])))</f>
        <v/>
      </c>
      <c r="H259" s="76" t="str">
        <f>IF(AND(Main[[#This Row],[In Stock Date]]&lt;&gt;"",Main[[#This Row],[Revised Due Date]]&lt;&gt;""),Main[[#This Row],[In Stock Date]]-Main[[#This Row],[Revised Due Date]],"")</f>
        <v/>
      </c>
      <c r="I259" s="72" t="s">
        <v>4</v>
      </c>
      <c r="J259" s="72" t="s">
        <v>4</v>
      </c>
      <c r="K259" s="72" t="s">
        <v>4</v>
      </c>
      <c r="L259" s="74"/>
      <c r="M259" s="77" t="str">
        <f>IF(Main[[#This Row],[Tech Start Date]]&lt;1/1/1990,"",IF(Main[[#This Row],[Class]]="C",WORKDAY(Main[[#This Row],[Tech Start Date]],9),IF(Main[[#This Row],[Class]]="B", WORKDAY(Main[[#This Row],[Tech Start Date]],6),IF(Main[[#This Row],[Class]]="A",WORKDAY(Main[[#This Row],[Tech Start Date]],2),""))))</f>
        <v/>
      </c>
      <c r="N259" s="77" t="str">
        <f>IF(Main[[#This Row],[Tech Start Date]]&lt;1/1/1990,"",IF(Main[[#This Row],[Class]]="C",WORKDAY(Main[[#This Row],[Tech Start Date]],19),IF(Main[[#This Row],[Class]]="B", WORKDAY(Main[[#This Row],[Tech Start Date]],12),IF(Main[[#This Row],[Class]]="A",WORKDAY(Main[[#This Row],[Tech Start Date]],4),""))))</f>
        <v/>
      </c>
      <c r="O259" s="77" t="str">
        <f>IF(Main[[#This Row],[Tech Start Date]]&lt;1/1/1990,"",IF(Main[[#This Row],[Class]]="C",WORKDAY(Main[[#This Row],[Tech Start Date]],23),IF(Main[[#This Row],[Class]]="B", WORKDAY(Main[[#This Row],[Tech Start Date]],15),IF(Main[[#This Row],[Class]]="A",WORKDAY(Main[[#This Row],[Tech Start Date]],5),""))))</f>
        <v/>
      </c>
      <c r="P259" s="77" t="str">
        <f>IF(Main[[#This Row],[Tech Start Date]]&lt;1/1/1990,"",IF(Main[[#This Row],[Class]]="C",WORKDAY(Main[[#This Row],[Tech Start Date]],28),IF(Main[[#This Row],[Class]]="B", WORKDAY(Main[[#This Row],[Tech Start Date]],19),IF(Main[[#This Row],[Class]]="A",WORKDAY(Main[[#This Row],[Tech Start Date]],9),""))))</f>
        <v/>
      </c>
      <c r="Q259" s="74"/>
      <c r="R259" s="74"/>
      <c r="S259" s="72" t="s">
        <v>6</v>
      </c>
      <c r="T259" s="80" t="s">
        <v>4</v>
      </c>
      <c r="U259" s="72" t="s">
        <v>29</v>
      </c>
      <c r="V259" s="72" t="s">
        <v>1918</v>
      </c>
      <c r="W259" s="72" t="s">
        <v>1921</v>
      </c>
      <c r="X259" s="72" t="s">
        <v>2254</v>
      </c>
      <c r="Y259" s="72" t="s">
        <v>4</v>
      </c>
      <c r="Z259" s="72" t="s">
        <v>4</v>
      </c>
      <c r="AA259" s="146" t="s">
        <v>4</v>
      </c>
    </row>
    <row r="260" spans="1:27" ht="18.600000000000001" customHeight="1">
      <c r="A260" s="139" t="str">
        <f>IF(priority(Main[[#This Row],[Comments]])&lt;&gt;0, priority(Main[[#This Row],[Comments]]),"")</f>
        <v/>
      </c>
      <c r="B260" s="89" t="s">
        <v>1100</v>
      </c>
      <c r="C260" s="72" t="s">
        <v>4</v>
      </c>
      <c r="D260" s="73" t="s">
        <v>147</v>
      </c>
      <c r="E260" s="74">
        <v>40666.180879629632</v>
      </c>
      <c r="F260" s="74"/>
      <c r="G260" s="75" t="str">
        <f>IF(stdProdLT(Main[[#This Row],[Comments]])=0.1,"N/A",IF(stdProdLT(Main[[#This Row],[Comments]])=0,"",stdProdLT(Main[[#This Row],[Comments]])))</f>
        <v/>
      </c>
      <c r="H260" s="76" t="str">
        <f>IF(AND(Main[[#This Row],[In Stock Date]]&lt;&gt;"",Main[[#This Row],[Revised Due Date]]&lt;&gt;""),Main[[#This Row],[In Stock Date]]-Main[[#This Row],[Revised Due Date]],"")</f>
        <v/>
      </c>
      <c r="I260" s="72" t="s">
        <v>4</v>
      </c>
      <c r="J260" s="72" t="s">
        <v>4</v>
      </c>
      <c r="K260" s="72" t="s">
        <v>4</v>
      </c>
      <c r="L260" s="74"/>
      <c r="M260" s="77" t="str">
        <f>IF(Main[[#This Row],[Tech Start Date]]&lt;1/1/1990,"",IF(Main[[#This Row],[Class]]="C",WORKDAY(Main[[#This Row],[Tech Start Date]],9),IF(Main[[#This Row],[Class]]="B", WORKDAY(Main[[#This Row],[Tech Start Date]],6),IF(Main[[#This Row],[Class]]="A",WORKDAY(Main[[#This Row],[Tech Start Date]],2),""))))</f>
        <v/>
      </c>
      <c r="N260" s="77" t="str">
        <f>IF(Main[[#This Row],[Tech Start Date]]&lt;1/1/1990,"",IF(Main[[#This Row],[Class]]="C",WORKDAY(Main[[#This Row],[Tech Start Date]],19),IF(Main[[#This Row],[Class]]="B", WORKDAY(Main[[#This Row],[Tech Start Date]],12),IF(Main[[#This Row],[Class]]="A",WORKDAY(Main[[#This Row],[Tech Start Date]],4),""))))</f>
        <v/>
      </c>
      <c r="O260" s="77" t="str">
        <f>IF(Main[[#This Row],[Tech Start Date]]&lt;1/1/1990,"",IF(Main[[#This Row],[Class]]="C",WORKDAY(Main[[#This Row],[Tech Start Date]],23),IF(Main[[#This Row],[Class]]="B", WORKDAY(Main[[#This Row],[Tech Start Date]],15),IF(Main[[#This Row],[Class]]="A",WORKDAY(Main[[#This Row],[Tech Start Date]],5),""))))</f>
        <v/>
      </c>
      <c r="P260" s="77" t="str">
        <f>IF(Main[[#This Row],[Tech Start Date]]&lt;1/1/1990,"",IF(Main[[#This Row],[Class]]="C",WORKDAY(Main[[#This Row],[Tech Start Date]],28),IF(Main[[#This Row],[Class]]="B", WORKDAY(Main[[#This Row],[Tech Start Date]],19),IF(Main[[#This Row],[Class]]="A",WORKDAY(Main[[#This Row],[Tech Start Date]],9),""))))</f>
        <v/>
      </c>
      <c r="Q260" s="74">
        <v>40687</v>
      </c>
      <c r="R260" s="74"/>
      <c r="S260" s="72" t="s">
        <v>6</v>
      </c>
      <c r="T260" s="80" t="s">
        <v>4</v>
      </c>
      <c r="U260" s="72" t="s">
        <v>7</v>
      </c>
      <c r="V260" s="72" t="s">
        <v>1917</v>
      </c>
      <c r="W260" s="72" t="s">
        <v>4</v>
      </c>
      <c r="X260" s="72" t="s">
        <v>2857</v>
      </c>
      <c r="Y260" s="72" t="s">
        <v>2992</v>
      </c>
      <c r="Z260" s="72" t="s">
        <v>4</v>
      </c>
      <c r="AA260" s="146" t="s">
        <v>2857</v>
      </c>
    </row>
    <row r="261" spans="1:27" ht="18.600000000000001" customHeight="1">
      <c r="A261" s="139" t="str">
        <f>IF(priority(Main[[#This Row],[Comments]])&lt;&gt;0, priority(Main[[#This Row],[Comments]]),"")</f>
        <v/>
      </c>
      <c r="B261" s="89" t="s">
        <v>1101</v>
      </c>
      <c r="C261" s="72" t="s">
        <v>148</v>
      </c>
      <c r="D261" s="73" t="s">
        <v>149</v>
      </c>
      <c r="E261" s="74"/>
      <c r="F261" s="74"/>
      <c r="G261" s="75" t="str">
        <f>IF(stdProdLT(Main[[#This Row],[Comments]])=0.1,"N/A",IF(stdProdLT(Main[[#This Row],[Comments]])=0,"",stdProdLT(Main[[#This Row],[Comments]])))</f>
        <v/>
      </c>
      <c r="H261" s="76" t="str">
        <f>IF(AND(Main[[#This Row],[In Stock Date]]&lt;&gt;"",Main[[#This Row],[Revised Due Date]]&lt;&gt;""),Main[[#This Row],[In Stock Date]]-Main[[#This Row],[Revised Due Date]],"")</f>
        <v/>
      </c>
      <c r="I261" s="72" t="s">
        <v>4</v>
      </c>
      <c r="J261" s="72" t="s">
        <v>28</v>
      </c>
      <c r="K261" s="72" t="s">
        <v>4</v>
      </c>
      <c r="L261" s="74"/>
      <c r="M261" s="77" t="str">
        <f>IF(Main[[#This Row],[Tech Start Date]]&lt;1/1/1990,"",IF(Main[[#This Row],[Class]]="C",WORKDAY(Main[[#This Row],[Tech Start Date]],9),IF(Main[[#This Row],[Class]]="B", WORKDAY(Main[[#This Row],[Tech Start Date]],6),IF(Main[[#This Row],[Class]]="A",WORKDAY(Main[[#This Row],[Tech Start Date]],2),""))))</f>
        <v/>
      </c>
      <c r="N261" s="77" t="str">
        <f>IF(Main[[#This Row],[Tech Start Date]]&lt;1/1/1990,"",IF(Main[[#This Row],[Class]]="C",WORKDAY(Main[[#This Row],[Tech Start Date]],19),IF(Main[[#This Row],[Class]]="B", WORKDAY(Main[[#This Row],[Tech Start Date]],12),IF(Main[[#This Row],[Class]]="A",WORKDAY(Main[[#This Row],[Tech Start Date]],4),""))))</f>
        <v/>
      </c>
      <c r="O261" s="77" t="str">
        <f>IF(Main[[#This Row],[Tech Start Date]]&lt;1/1/1990,"",IF(Main[[#This Row],[Class]]="C",WORKDAY(Main[[#This Row],[Tech Start Date]],23),IF(Main[[#This Row],[Class]]="B", WORKDAY(Main[[#This Row],[Tech Start Date]],15),IF(Main[[#This Row],[Class]]="A",WORKDAY(Main[[#This Row],[Tech Start Date]],5),""))))</f>
        <v/>
      </c>
      <c r="P261" s="77" t="str">
        <f>IF(Main[[#This Row],[Tech Start Date]]&lt;1/1/1990,"",IF(Main[[#This Row],[Class]]="C",WORKDAY(Main[[#This Row],[Tech Start Date]],28),IF(Main[[#This Row],[Class]]="B", WORKDAY(Main[[#This Row],[Tech Start Date]],19),IF(Main[[#This Row],[Class]]="A",WORKDAY(Main[[#This Row],[Tech Start Date]],9),""))))</f>
        <v/>
      </c>
      <c r="Q261" s="74">
        <v>40511</v>
      </c>
      <c r="R261" s="74"/>
      <c r="S261" s="72" t="s">
        <v>11</v>
      </c>
      <c r="T261" s="80" t="s">
        <v>4</v>
      </c>
      <c r="U261" s="72" t="s">
        <v>14</v>
      </c>
      <c r="V261" s="72" t="s">
        <v>1920</v>
      </c>
      <c r="W261" s="72" t="s">
        <v>1919</v>
      </c>
      <c r="X261" s="72" t="s">
        <v>2849</v>
      </c>
      <c r="Y261" s="72" t="s">
        <v>2993</v>
      </c>
      <c r="Z261" s="72" t="s">
        <v>530</v>
      </c>
      <c r="AA261" s="146" t="s">
        <v>2849</v>
      </c>
    </row>
    <row r="262" spans="1:27" ht="18.600000000000001" customHeight="1">
      <c r="A262" s="139" t="str">
        <f>IF(priority(Main[[#This Row],[Comments]])&lt;&gt;0, priority(Main[[#This Row],[Comments]]),"")</f>
        <v/>
      </c>
      <c r="B262" s="89" t="s">
        <v>2704</v>
      </c>
      <c r="C262" s="72" t="s">
        <v>4</v>
      </c>
      <c r="D262" s="73" t="s">
        <v>2705</v>
      </c>
      <c r="E262" s="74">
        <v>40905.438483796293</v>
      </c>
      <c r="F262" s="74"/>
      <c r="G262" s="75" t="str">
        <f>IF(stdProdLT(Main[[#This Row],[Comments]])=0.1,"N/A",IF(stdProdLT(Main[[#This Row],[Comments]])=0,"",stdProdLT(Main[[#This Row],[Comments]])))</f>
        <v/>
      </c>
      <c r="H262" s="76" t="str">
        <f>IF(AND(Main[[#This Row],[In Stock Date]]&lt;&gt;"",Main[[#This Row],[Revised Due Date]]&lt;&gt;""),Main[[#This Row],[In Stock Date]]-Main[[#This Row],[Revised Due Date]],"")</f>
        <v/>
      </c>
      <c r="I262" s="72" t="s">
        <v>4</v>
      </c>
      <c r="J262" s="72" t="s">
        <v>4</v>
      </c>
      <c r="K262" s="72" t="s">
        <v>4</v>
      </c>
      <c r="L262" s="74"/>
      <c r="M262" s="77" t="str">
        <f>IF(Main[[#This Row],[Tech Start Date]]&lt;1/1/1990,"",IF(Main[[#This Row],[Class]]="C",WORKDAY(Main[[#This Row],[Tech Start Date]],9),IF(Main[[#This Row],[Class]]="B", WORKDAY(Main[[#This Row],[Tech Start Date]],6),IF(Main[[#This Row],[Class]]="A",WORKDAY(Main[[#This Row],[Tech Start Date]],2),""))))</f>
        <v/>
      </c>
      <c r="N262" s="77" t="str">
        <f>IF(Main[[#This Row],[Tech Start Date]]&lt;1/1/1990,"",IF(Main[[#This Row],[Class]]="C",WORKDAY(Main[[#This Row],[Tech Start Date]],19),IF(Main[[#This Row],[Class]]="B", WORKDAY(Main[[#This Row],[Tech Start Date]],12),IF(Main[[#This Row],[Class]]="A",WORKDAY(Main[[#This Row],[Tech Start Date]],4),""))))</f>
        <v/>
      </c>
      <c r="O262" s="77" t="str">
        <f>IF(Main[[#This Row],[Tech Start Date]]&lt;1/1/1990,"",IF(Main[[#This Row],[Class]]="C",WORKDAY(Main[[#This Row],[Tech Start Date]],23),IF(Main[[#This Row],[Class]]="B", WORKDAY(Main[[#This Row],[Tech Start Date]],15),IF(Main[[#This Row],[Class]]="A",WORKDAY(Main[[#This Row],[Tech Start Date]],5),""))))</f>
        <v/>
      </c>
      <c r="P262" s="77" t="str">
        <f>IF(Main[[#This Row],[Tech Start Date]]&lt;1/1/1990,"",IF(Main[[#This Row],[Class]]="C",WORKDAY(Main[[#This Row],[Tech Start Date]],28),IF(Main[[#This Row],[Class]]="B", WORKDAY(Main[[#This Row],[Tech Start Date]],19),IF(Main[[#This Row],[Class]]="A",WORKDAY(Main[[#This Row],[Tech Start Date]],9),""))))</f>
        <v/>
      </c>
      <c r="Q262" s="74"/>
      <c r="R262" s="74"/>
      <c r="S262" s="72" t="s">
        <v>6</v>
      </c>
      <c r="T262" s="80" t="s">
        <v>4</v>
      </c>
      <c r="U262" s="72" t="s">
        <v>29</v>
      </c>
      <c r="V262" s="72" t="s">
        <v>1917</v>
      </c>
      <c r="W262" s="72" t="s">
        <v>1921</v>
      </c>
      <c r="X262" s="72" t="s">
        <v>939</v>
      </c>
      <c r="Y262" s="72" t="s">
        <v>2990</v>
      </c>
      <c r="Z262" s="72" t="s">
        <v>4</v>
      </c>
      <c r="AA262" s="146" t="s">
        <v>939</v>
      </c>
    </row>
    <row r="263" spans="1:27" ht="18.600000000000001" customHeight="1">
      <c r="A263" s="139" t="str">
        <f>IF(priority(Main[[#This Row],[Comments]])&lt;&gt;0, priority(Main[[#This Row],[Comments]]),"")</f>
        <v/>
      </c>
      <c r="B263" s="89" t="s">
        <v>1102</v>
      </c>
      <c r="C263" s="72" t="s">
        <v>93</v>
      </c>
      <c r="D263" s="73" t="s">
        <v>150</v>
      </c>
      <c r="E263" s="74"/>
      <c r="F263" s="74"/>
      <c r="G263" s="75" t="str">
        <f>IF(stdProdLT(Main[[#This Row],[Comments]])=0.1,"N/A",IF(stdProdLT(Main[[#This Row],[Comments]])=0,"",stdProdLT(Main[[#This Row],[Comments]])))</f>
        <v/>
      </c>
      <c r="H263" s="76" t="str">
        <f>IF(AND(Main[[#This Row],[In Stock Date]]&lt;&gt;"",Main[[#This Row],[Revised Due Date]]&lt;&gt;""),Main[[#This Row],[In Stock Date]]-Main[[#This Row],[Revised Due Date]],"")</f>
        <v/>
      </c>
      <c r="I263" s="72" t="s">
        <v>4</v>
      </c>
      <c r="J263" s="72" t="s">
        <v>4</v>
      </c>
      <c r="K263" s="72" t="s">
        <v>4</v>
      </c>
      <c r="L263" s="74"/>
      <c r="M263" s="77" t="str">
        <f>IF(Main[[#This Row],[Tech Start Date]]&lt;1/1/1990,"",IF(Main[[#This Row],[Class]]="C",WORKDAY(Main[[#This Row],[Tech Start Date]],9),IF(Main[[#This Row],[Class]]="B", WORKDAY(Main[[#This Row],[Tech Start Date]],6),IF(Main[[#This Row],[Class]]="A",WORKDAY(Main[[#This Row],[Tech Start Date]],2),""))))</f>
        <v/>
      </c>
      <c r="N263" s="77" t="str">
        <f>IF(Main[[#This Row],[Tech Start Date]]&lt;1/1/1990,"",IF(Main[[#This Row],[Class]]="C",WORKDAY(Main[[#This Row],[Tech Start Date]],19),IF(Main[[#This Row],[Class]]="B", WORKDAY(Main[[#This Row],[Tech Start Date]],12),IF(Main[[#This Row],[Class]]="A",WORKDAY(Main[[#This Row],[Tech Start Date]],4),""))))</f>
        <v/>
      </c>
      <c r="O263" s="77" t="str">
        <f>IF(Main[[#This Row],[Tech Start Date]]&lt;1/1/1990,"",IF(Main[[#This Row],[Class]]="C",WORKDAY(Main[[#This Row],[Tech Start Date]],23),IF(Main[[#This Row],[Class]]="B", WORKDAY(Main[[#This Row],[Tech Start Date]],15),IF(Main[[#This Row],[Class]]="A",WORKDAY(Main[[#This Row],[Tech Start Date]],5),""))))</f>
        <v/>
      </c>
      <c r="P263" s="77" t="str">
        <f>IF(Main[[#This Row],[Tech Start Date]]&lt;1/1/1990,"",IF(Main[[#This Row],[Class]]="C",WORKDAY(Main[[#This Row],[Tech Start Date]],28),IF(Main[[#This Row],[Class]]="B", WORKDAY(Main[[#This Row],[Tech Start Date]],19),IF(Main[[#This Row],[Class]]="A",WORKDAY(Main[[#This Row],[Tech Start Date]],9),""))))</f>
        <v/>
      </c>
      <c r="Q263" s="74"/>
      <c r="R263" s="74"/>
      <c r="S263" s="72" t="s">
        <v>11</v>
      </c>
      <c r="T263" s="80" t="s">
        <v>4</v>
      </c>
      <c r="U263" s="72" t="s">
        <v>14</v>
      </c>
      <c r="V263" s="72" t="s">
        <v>1920</v>
      </c>
      <c r="W263" s="72" t="s">
        <v>1923</v>
      </c>
      <c r="X263" s="72" t="s">
        <v>554</v>
      </c>
      <c r="Y263" s="72" t="s">
        <v>2994</v>
      </c>
      <c r="Z263" s="72" t="s">
        <v>4</v>
      </c>
      <c r="AA263" s="146" t="s">
        <v>3403</v>
      </c>
    </row>
    <row r="264" spans="1:27" ht="18.600000000000001" customHeight="1">
      <c r="A264" s="139" t="str">
        <f>IF(priority(Main[[#This Row],[Comments]])&lt;&gt;0, priority(Main[[#This Row],[Comments]]),"")</f>
        <v/>
      </c>
      <c r="B264" s="89" t="s">
        <v>1103</v>
      </c>
      <c r="C264" s="72" t="s">
        <v>26</v>
      </c>
      <c r="D264" s="73" t="s">
        <v>151</v>
      </c>
      <c r="E264" s="74"/>
      <c r="F264" s="74">
        <v>40613</v>
      </c>
      <c r="G264" s="75" t="str">
        <f>IF(stdProdLT(Main[[#This Row],[Comments]])=0.1,"N/A",IF(stdProdLT(Main[[#This Row],[Comments]])=0,"",stdProdLT(Main[[#This Row],[Comments]])))</f>
        <v/>
      </c>
      <c r="H264" s="76" t="str">
        <f>IF(AND(Main[[#This Row],[In Stock Date]]&lt;&gt;"",Main[[#This Row],[Revised Due Date]]&lt;&gt;""),Main[[#This Row],[In Stock Date]]-Main[[#This Row],[Revised Due Date]],"")</f>
        <v/>
      </c>
      <c r="I264" s="72" t="s">
        <v>4</v>
      </c>
      <c r="J264" s="72" t="s">
        <v>28</v>
      </c>
      <c r="K264" s="72" t="s">
        <v>4</v>
      </c>
      <c r="L264" s="74"/>
      <c r="M264" s="77" t="str">
        <f>IF(Main[[#This Row],[Tech Start Date]]&lt;1/1/1990,"",IF(Main[[#This Row],[Class]]="C",WORKDAY(Main[[#This Row],[Tech Start Date]],9),IF(Main[[#This Row],[Class]]="B", WORKDAY(Main[[#This Row],[Tech Start Date]],6),IF(Main[[#This Row],[Class]]="A",WORKDAY(Main[[#This Row],[Tech Start Date]],2),""))))</f>
        <v/>
      </c>
      <c r="N264" s="77" t="str">
        <f>IF(Main[[#This Row],[Tech Start Date]]&lt;1/1/1990,"",IF(Main[[#This Row],[Class]]="C",WORKDAY(Main[[#This Row],[Tech Start Date]],19),IF(Main[[#This Row],[Class]]="B", WORKDAY(Main[[#This Row],[Tech Start Date]],12),IF(Main[[#This Row],[Class]]="A",WORKDAY(Main[[#This Row],[Tech Start Date]],4),""))))</f>
        <v/>
      </c>
      <c r="O264" s="77" t="str">
        <f>IF(Main[[#This Row],[Tech Start Date]]&lt;1/1/1990,"",IF(Main[[#This Row],[Class]]="C",WORKDAY(Main[[#This Row],[Tech Start Date]],23),IF(Main[[#This Row],[Class]]="B", WORKDAY(Main[[#This Row],[Tech Start Date]],15),IF(Main[[#This Row],[Class]]="A",WORKDAY(Main[[#This Row],[Tech Start Date]],5),""))))</f>
        <v/>
      </c>
      <c r="P264" s="77" t="str">
        <f>IF(Main[[#This Row],[Tech Start Date]]&lt;1/1/1990,"",IF(Main[[#This Row],[Class]]="C",WORKDAY(Main[[#This Row],[Tech Start Date]],28),IF(Main[[#This Row],[Class]]="B", WORKDAY(Main[[#This Row],[Tech Start Date]],19),IF(Main[[#This Row],[Class]]="A",WORKDAY(Main[[#This Row],[Tech Start Date]],9),""))))</f>
        <v/>
      </c>
      <c r="Q264" s="74"/>
      <c r="R264" s="74"/>
      <c r="S264" s="72" t="s">
        <v>11</v>
      </c>
      <c r="T264" s="80" t="s">
        <v>4</v>
      </c>
      <c r="U264" s="72" t="s">
        <v>14</v>
      </c>
      <c r="V264" s="72" t="s">
        <v>1917</v>
      </c>
      <c r="W264" s="72" t="s">
        <v>1925</v>
      </c>
      <c r="X264" s="72" t="s">
        <v>2848</v>
      </c>
      <c r="Y264" s="72" t="s">
        <v>2980</v>
      </c>
      <c r="Z264" s="72" t="s">
        <v>129</v>
      </c>
      <c r="AA264" s="146" t="s">
        <v>2848</v>
      </c>
    </row>
    <row r="265" spans="1:27" ht="18.600000000000001" customHeight="1">
      <c r="A265" s="139" t="str">
        <f>IF(priority(Main[[#This Row],[Comments]])&lt;&gt;0, priority(Main[[#This Row],[Comments]]),"")</f>
        <v/>
      </c>
      <c r="B265" s="89" t="s">
        <v>1108</v>
      </c>
      <c r="C265" s="72" t="s">
        <v>4</v>
      </c>
      <c r="D265" s="73" t="s">
        <v>152</v>
      </c>
      <c r="E265" s="74">
        <v>40584.587800925925</v>
      </c>
      <c r="F265" s="74"/>
      <c r="G265" s="75" t="str">
        <f>IF(stdProdLT(Main[[#This Row],[Comments]])=0.1,"N/A",IF(stdProdLT(Main[[#This Row],[Comments]])=0,"",stdProdLT(Main[[#This Row],[Comments]])))</f>
        <v/>
      </c>
      <c r="H265" s="76" t="str">
        <f>IF(AND(Main[[#This Row],[In Stock Date]]&lt;&gt;"",Main[[#This Row],[Revised Due Date]]&lt;&gt;""),Main[[#This Row],[In Stock Date]]-Main[[#This Row],[Revised Due Date]],"")</f>
        <v/>
      </c>
      <c r="I265" s="72" t="s">
        <v>4</v>
      </c>
      <c r="J265" s="72" t="s">
        <v>4</v>
      </c>
      <c r="K265" s="72" t="s">
        <v>4</v>
      </c>
      <c r="L265" s="74"/>
      <c r="M265" s="77" t="str">
        <f>IF(Main[[#This Row],[Tech Start Date]]&lt;1/1/1990,"",IF(Main[[#This Row],[Class]]="C",WORKDAY(Main[[#This Row],[Tech Start Date]],9),IF(Main[[#This Row],[Class]]="B", WORKDAY(Main[[#This Row],[Tech Start Date]],6),IF(Main[[#This Row],[Class]]="A",WORKDAY(Main[[#This Row],[Tech Start Date]],2),""))))</f>
        <v/>
      </c>
      <c r="N265" s="77" t="str">
        <f>IF(Main[[#This Row],[Tech Start Date]]&lt;1/1/1990,"",IF(Main[[#This Row],[Class]]="C",WORKDAY(Main[[#This Row],[Tech Start Date]],19),IF(Main[[#This Row],[Class]]="B", WORKDAY(Main[[#This Row],[Tech Start Date]],12),IF(Main[[#This Row],[Class]]="A",WORKDAY(Main[[#This Row],[Tech Start Date]],4),""))))</f>
        <v/>
      </c>
      <c r="O265" s="77" t="str">
        <f>IF(Main[[#This Row],[Tech Start Date]]&lt;1/1/1990,"",IF(Main[[#This Row],[Class]]="C",WORKDAY(Main[[#This Row],[Tech Start Date]],23),IF(Main[[#This Row],[Class]]="B", WORKDAY(Main[[#This Row],[Tech Start Date]],15),IF(Main[[#This Row],[Class]]="A",WORKDAY(Main[[#This Row],[Tech Start Date]],5),""))))</f>
        <v/>
      </c>
      <c r="P265" s="77" t="str">
        <f>IF(Main[[#This Row],[Tech Start Date]]&lt;1/1/1990,"",IF(Main[[#This Row],[Class]]="C",WORKDAY(Main[[#This Row],[Tech Start Date]],28),IF(Main[[#This Row],[Class]]="B", WORKDAY(Main[[#This Row],[Tech Start Date]],19),IF(Main[[#This Row],[Class]]="A",WORKDAY(Main[[#This Row],[Tech Start Date]],9),""))))</f>
        <v/>
      </c>
      <c r="Q265" s="74"/>
      <c r="R265" s="74"/>
      <c r="S265" s="72" t="s">
        <v>4</v>
      </c>
      <c r="T265" s="80" t="s">
        <v>4</v>
      </c>
      <c r="U265" s="72" t="s">
        <v>29</v>
      </c>
      <c r="V265" s="72" t="s">
        <v>1918</v>
      </c>
      <c r="W265" s="72" t="s">
        <v>4</v>
      </c>
      <c r="X265" s="72" t="s">
        <v>944</v>
      </c>
      <c r="Y265" s="72" t="s">
        <v>2995</v>
      </c>
      <c r="Z265" s="72" t="s">
        <v>4</v>
      </c>
      <c r="AA265" s="146" t="s">
        <v>944</v>
      </c>
    </row>
    <row r="266" spans="1:27" ht="18.600000000000001" customHeight="1">
      <c r="A266" s="139" t="str">
        <f>IF(priority(Main[[#This Row],[Comments]])&lt;&gt;0, priority(Main[[#This Row],[Comments]]),"")</f>
        <v/>
      </c>
      <c r="B266" s="89" t="s">
        <v>1109</v>
      </c>
      <c r="C266" s="72" t="s">
        <v>4</v>
      </c>
      <c r="D266" s="73" t="s">
        <v>153</v>
      </c>
      <c r="E266" s="74"/>
      <c r="F266" s="74"/>
      <c r="G266" s="75" t="str">
        <f>IF(stdProdLT(Main[[#This Row],[Comments]])=0.1,"N/A",IF(stdProdLT(Main[[#This Row],[Comments]])=0,"",stdProdLT(Main[[#This Row],[Comments]])))</f>
        <v/>
      </c>
      <c r="H266" s="76" t="str">
        <f>IF(AND(Main[[#This Row],[In Stock Date]]&lt;&gt;"",Main[[#This Row],[Revised Due Date]]&lt;&gt;""),Main[[#This Row],[In Stock Date]]-Main[[#This Row],[Revised Due Date]],"")</f>
        <v/>
      </c>
      <c r="I266" s="72" t="s">
        <v>30</v>
      </c>
      <c r="J266" s="72" t="s">
        <v>52</v>
      </c>
      <c r="K266" s="72" t="s">
        <v>4</v>
      </c>
      <c r="L266" s="74"/>
      <c r="M266" s="77" t="str">
        <f>IF(Main[[#This Row],[Tech Start Date]]&lt;1/1/1990,"",IF(Main[[#This Row],[Class]]="C",WORKDAY(Main[[#This Row],[Tech Start Date]],9),IF(Main[[#This Row],[Class]]="B", WORKDAY(Main[[#This Row],[Tech Start Date]],6),IF(Main[[#This Row],[Class]]="A",WORKDAY(Main[[#This Row],[Tech Start Date]],2),""))))</f>
        <v/>
      </c>
      <c r="N266" s="77" t="str">
        <f>IF(Main[[#This Row],[Tech Start Date]]&lt;1/1/1990,"",IF(Main[[#This Row],[Class]]="C",WORKDAY(Main[[#This Row],[Tech Start Date]],19),IF(Main[[#This Row],[Class]]="B", WORKDAY(Main[[#This Row],[Tech Start Date]],12),IF(Main[[#This Row],[Class]]="A",WORKDAY(Main[[#This Row],[Tech Start Date]],4),""))))</f>
        <v/>
      </c>
      <c r="O266" s="77" t="str">
        <f>IF(Main[[#This Row],[Tech Start Date]]&lt;1/1/1990,"",IF(Main[[#This Row],[Class]]="C",WORKDAY(Main[[#This Row],[Tech Start Date]],23),IF(Main[[#This Row],[Class]]="B", WORKDAY(Main[[#This Row],[Tech Start Date]],15),IF(Main[[#This Row],[Class]]="A",WORKDAY(Main[[#This Row],[Tech Start Date]],5),""))))</f>
        <v/>
      </c>
      <c r="P266" s="77" t="str">
        <f>IF(Main[[#This Row],[Tech Start Date]]&lt;1/1/1990,"",IF(Main[[#This Row],[Class]]="C",WORKDAY(Main[[#This Row],[Tech Start Date]],28),IF(Main[[#This Row],[Class]]="B", WORKDAY(Main[[#This Row],[Tech Start Date]],19),IF(Main[[#This Row],[Class]]="A",WORKDAY(Main[[#This Row],[Tech Start Date]],9),""))))</f>
        <v/>
      </c>
      <c r="Q266" s="74">
        <v>40448</v>
      </c>
      <c r="R266" s="74"/>
      <c r="S266" s="72" t="s">
        <v>6</v>
      </c>
      <c r="T266" s="80" t="s">
        <v>4</v>
      </c>
      <c r="U266" s="72" t="s">
        <v>14</v>
      </c>
      <c r="V266" s="72" t="s">
        <v>1920</v>
      </c>
      <c r="W266" s="72" t="s">
        <v>4</v>
      </c>
      <c r="X266" s="72" t="s">
        <v>2824</v>
      </c>
      <c r="Y266" s="72" t="s">
        <v>2935</v>
      </c>
      <c r="Z266" s="72" t="s">
        <v>530</v>
      </c>
      <c r="AA266" s="146" t="s">
        <v>2824</v>
      </c>
    </row>
    <row r="267" spans="1:27" ht="18.600000000000001" customHeight="1">
      <c r="A267" s="139" t="str">
        <f>IF(priority(Main[[#This Row],[Comments]])&lt;&gt;0, priority(Main[[#This Row],[Comments]]),"")</f>
        <v/>
      </c>
      <c r="B267" s="89" t="s">
        <v>3329</v>
      </c>
      <c r="C267" s="72" t="s">
        <v>4</v>
      </c>
      <c r="D267" s="73" t="s">
        <v>3330</v>
      </c>
      <c r="E267" s="74">
        <v>40939.457824074074</v>
      </c>
      <c r="F267" s="74"/>
      <c r="G267" s="75" t="str">
        <f>IF(stdProdLT(Main[[#This Row],[Comments]])=0.1,"N/A",IF(stdProdLT(Main[[#This Row],[Comments]])=0,"",stdProdLT(Main[[#This Row],[Comments]])))</f>
        <v/>
      </c>
      <c r="H267" s="76" t="str">
        <f>IF(AND(Main[[#This Row],[In Stock Date]]&lt;&gt;"",Main[[#This Row],[Revised Due Date]]&lt;&gt;""),Main[[#This Row],[In Stock Date]]-Main[[#This Row],[Revised Due Date]],"")</f>
        <v/>
      </c>
      <c r="I267" s="72" t="s">
        <v>4</v>
      </c>
      <c r="J267" s="72" t="s">
        <v>4</v>
      </c>
      <c r="K267" s="72" t="s">
        <v>4</v>
      </c>
      <c r="L267" s="74"/>
      <c r="M267" s="77" t="str">
        <f>IF(Main[[#This Row],[Tech Start Date]]&lt;1/1/1990,"",IF(Main[[#This Row],[Class]]="C",WORKDAY(Main[[#This Row],[Tech Start Date]],9),IF(Main[[#This Row],[Class]]="B", WORKDAY(Main[[#This Row],[Tech Start Date]],6),IF(Main[[#This Row],[Class]]="A",WORKDAY(Main[[#This Row],[Tech Start Date]],2),""))))</f>
        <v/>
      </c>
      <c r="N267" s="77" t="str">
        <f>IF(Main[[#This Row],[Tech Start Date]]&lt;1/1/1990,"",IF(Main[[#This Row],[Class]]="C",WORKDAY(Main[[#This Row],[Tech Start Date]],19),IF(Main[[#This Row],[Class]]="B", WORKDAY(Main[[#This Row],[Tech Start Date]],12),IF(Main[[#This Row],[Class]]="A",WORKDAY(Main[[#This Row],[Tech Start Date]],4),""))))</f>
        <v/>
      </c>
      <c r="O267" s="77" t="str">
        <f>IF(Main[[#This Row],[Tech Start Date]]&lt;1/1/1990,"",IF(Main[[#This Row],[Class]]="C",WORKDAY(Main[[#This Row],[Tech Start Date]],23),IF(Main[[#This Row],[Class]]="B", WORKDAY(Main[[#This Row],[Tech Start Date]],15),IF(Main[[#This Row],[Class]]="A",WORKDAY(Main[[#This Row],[Tech Start Date]],5),""))))</f>
        <v/>
      </c>
      <c r="P267" s="77" t="str">
        <f>IF(Main[[#This Row],[Tech Start Date]]&lt;1/1/1990,"",IF(Main[[#This Row],[Class]]="C",WORKDAY(Main[[#This Row],[Tech Start Date]],28),IF(Main[[#This Row],[Class]]="B", WORKDAY(Main[[#This Row],[Tech Start Date]],19),IF(Main[[#This Row],[Class]]="A",WORKDAY(Main[[#This Row],[Tech Start Date]],9),""))))</f>
        <v/>
      </c>
      <c r="Q267" s="74">
        <v>40968</v>
      </c>
      <c r="R267" s="74"/>
      <c r="S267" s="72" t="s">
        <v>6</v>
      </c>
      <c r="T267" s="80" t="s">
        <v>4</v>
      </c>
      <c r="U267" s="72" t="s">
        <v>7</v>
      </c>
      <c r="V267" s="72" t="s">
        <v>1917</v>
      </c>
      <c r="W267" s="72" t="s">
        <v>4</v>
      </c>
      <c r="X267" s="72" t="s">
        <v>2828</v>
      </c>
      <c r="Y267" s="72" t="s">
        <v>2944</v>
      </c>
      <c r="Z267" s="72" t="s">
        <v>4</v>
      </c>
      <c r="AA267" s="146" t="s">
        <v>2828</v>
      </c>
    </row>
    <row r="268" spans="1:27" ht="18.600000000000001" customHeight="1">
      <c r="A268" s="139" t="str">
        <f>IF(priority(Main[[#This Row],[Comments]])&lt;&gt;0, priority(Main[[#This Row],[Comments]]),"")</f>
        <v/>
      </c>
      <c r="B268" s="89" t="s">
        <v>1158</v>
      </c>
      <c r="C268" s="72" t="s">
        <v>4</v>
      </c>
      <c r="D268" s="73" t="s">
        <v>2344</v>
      </c>
      <c r="E268" s="74">
        <v>40274.393113425926</v>
      </c>
      <c r="F268" s="74"/>
      <c r="G268" s="75" t="str">
        <f>IF(stdProdLT(Main[[#This Row],[Comments]])=0.1,"N/A",IF(stdProdLT(Main[[#This Row],[Comments]])=0,"",stdProdLT(Main[[#This Row],[Comments]])))</f>
        <v/>
      </c>
      <c r="H268" s="76" t="str">
        <f>IF(AND(Main[[#This Row],[In Stock Date]]&lt;&gt;"",Main[[#This Row],[Revised Due Date]]&lt;&gt;""),Main[[#This Row],[In Stock Date]]-Main[[#This Row],[Revised Due Date]],"")</f>
        <v/>
      </c>
      <c r="I268" s="72" t="s">
        <v>4</v>
      </c>
      <c r="J268" s="72" t="s">
        <v>4</v>
      </c>
      <c r="K268" s="81" t="s">
        <v>4</v>
      </c>
      <c r="L268" s="74"/>
      <c r="M268" s="77" t="str">
        <f>IF(Main[[#This Row],[Tech Start Date]]&lt;1/1/1990,"",IF(Main[[#This Row],[Class]]="C",WORKDAY(Main[[#This Row],[Tech Start Date]],9),IF(Main[[#This Row],[Class]]="B", WORKDAY(Main[[#This Row],[Tech Start Date]],6),IF(Main[[#This Row],[Class]]="A",WORKDAY(Main[[#This Row],[Tech Start Date]],2),""))))</f>
        <v/>
      </c>
      <c r="N268" s="77" t="str">
        <f>IF(Main[[#This Row],[Tech Start Date]]&lt;1/1/1990,"",IF(Main[[#This Row],[Class]]="C",WORKDAY(Main[[#This Row],[Tech Start Date]],19),IF(Main[[#This Row],[Class]]="B", WORKDAY(Main[[#This Row],[Tech Start Date]],12),IF(Main[[#This Row],[Class]]="A",WORKDAY(Main[[#This Row],[Tech Start Date]],4),""))))</f>
        <v/>
      </c>
      <c r="O268" s="77" t="str">
        <f>IF(Main[[#This Row],[Tech Start Date]]&lt;1/1/1990,"",IF(Main[[#This Row],[Class]]="C",WORKDAY(Main[[#This Row],[Tech Start Date]],23),IF(Main[[#This Row],[Class]]="B", WORKDAY(Main[[#This Row],[Tech Start Date]],15),IF(Main[[#This Row],[Class]]="A",WORKDAY(Main[[#This Row],[Tech Start Date]],5),""))))</f>
        <v/>
      </c>
      <c r="P268" s="77" t="str">
        <f>IF(Main[[#This Row],[Tech Start Date]]&lt;1/1/1990,"",IF(Main[[#This Row],[Class]]="C",WORKDAY(Main[[#This Row],[Tech Start Date]],28),IF(Main[[#This Row],[Class]]="B", WORKDAY(Main[[#This Row],[Tech Start Date]],19),IF(Main[[#This Row],[Class]]="A",WORKDAY(Main[[#This Row],[Tech Start Date]],9),""))))</f>
        <v/>
      </c>
      <c r="Q268" s="74">
        <v>40302</v>
      </c>
      <c r="R268" s="74"/>
      <c r="S268" s="72" t="s">
        <v>6</v>
      </c>
      <c r="T268" s="80" t="s">
        <v>4</v>
      </c>
      <c r="U268" s="72" t="s">
        <v>7</v>
      </c>
      <c r="V268" s="72" t="s">
        <v>1917</v>
      </c>
      <c r="W268" s="72" t="s">
        <v>1919</v>
      </c>
      <c r="X268" s="72" t="s">
        <v>2827</v>
      </c>
      <c r="Y268" s="72" t="s">
        <v>2942</v>
      </c>
      <c r="Z268" s="72" t="s">
        <v>4</v>
      </c>
      <c r="AA268" s="146" t="s">
        <v>2827</v>
      </c>
    </row>
    <row r="269" spans="1:27" ht="18.600000000000001" customHeight="1">
      <c r="A269" s="139" t="str">
        <f>IF(priority(Main[[#This Row],[Comments]])&lt;&gt;0, priority(Main[[#This Row],[Comments]]),"")</f>
        <v/>
      </c>
      <c r="B269" s="89" t="s">
        <v>1391</v>
      </c>
      <c r="C269" s="72" t="s">
        <v>4</v>
      </c>
      <c r="D269" s="73" t="s">
        <v>2345</v>
      </c>
      <c r="E269" s="74">
        <v>40644.246631944443</v>
      </c>
      <c r="F269" s="74"/>
      <c r="G269" s="75" t="str">
        <f>IF(stdProdLT(Main[[#This Row],[Comments]])=0.1,"N/A",IF(stdProdLT(Main[[#This Row],[Comments]])=0,"",stdProdLT(Main[[#This Row],[Comments]])))</f>
        <v/>
      </c>
      <c r="H269" s="76" t="str">
        <f>IF(AND(Main[[#This Row],[In Stock Date]]&lt;&gt;"",Main[[#This Row],[Revised Due Date]]&lt;&gt;""),Main[[#This Row],[In Stock Date]]-Main[[#This Row],[Revised Due Date]],"")</f>
        <v/>
      </c>
      <c r="I269" s="72" t="s">
        <v>914</v>
      </c>
      <c r="J269" s="72" t="s">
        <v>52</v>
      </c>
      <c r="K269" s="72" t="s">
        <v>4</v>
      </c>
      <c r="L269" s="74"/>
      <c r="M269" s="77" t="str">
        <f>IF(Main[[#This Row],[Tech Start Date]]&lt;1/1/1990,"",IF(Main[[#This Row],[Class]]="C",WORKDAY(Main[[#This Row],[Tech Start Date]],9),IF(Main[[#This Row],[Class]]="B", WORKDAY(Main[[#This Row],[Tech Start Date]],6),IF(Main[[#This Row],[Class]]="A",WORKDAY(Main[[#This Row],[Tech Start Date]],2),""))))</f>
        <v/>
      </c>
      <c r="N269" s="77" t="str">
        <f>IF(Main[[#This Row],[Tech Start Date]]&lt;1/1/1990,"",IF(Main[[#This Row],[Class]]="C",WORKDAY(Main[[#This Row],[Tech Start Date]],19),IF(Main[[#This Row],[Class]]="B", WORKDAY(Main[[#This Row],[Tech Start Date]],12),IF(Main[[#This Row],[Class]]="A",WORKDAY(Main[[#This Row],[Tech Start Date]],4),""))))</f>
        <v/>
      </c>
      <c r="O269" s="77" t="str">
        <f>IF(Main[[#This Row],[Tech Start Date]]&lt;1/1/1990,"",IF(Main[[#This Row],[Class]]="C",WORKDAY(Main[[#This Row],[Tech Start Date]],23),IF(Main[[#This Row],[Class]]="B", WORKDAY(Main[[#This Row],[Tech Start Date]],15),IF(Main[[#This Row],[Class]]="A",WORKDAY(Main[[#This Row],[Tech Start Date]],5),""))))</f>
        <v/>
      </c>
      <c r="P269" s="77" t="str">
        <f>IF(Main[[#This Row],[Tech Start Date]]&lt;1/1/1990,"",IF(Main[[#This Row],[Class]]="C",WORKDAY(Main[[#This Row],[Tech Start Date]],28),IF(Main[[#This Row],[Class]]="B", WORKDAY(Main[[#This Row],[Tech Start Date]],19),IF(Main[[#This Row],[Class]]="A",WORKDAY(Main[[#This Row],[Tech Start Date]],9),""))))</f>
        <v/>
      </c>
      <c r="Q269" s="74">
        <v>40659</v>
      </c>
      <c r="R269" s="74"/>
      <c r="S269" s="72" t="s">
        <v>6</v>
      </c>
      <c r="T269" s="80" t="s">
        <v>4</v>
      </c>
      <c r="U269" s="72" t="s">
        <v>29</v>
      </c>
      <c r="V269" s="72" t="s">
        <v>1917</v>
      </c>
      <c r="W269" s="72" t="s">
        <v>1925</v>
      </c>
      <c r="X269" s="72" t="s">
        <v>2827</v>
      </c>
      <c r="Y269" s="72" t="s">
        <v>2942</v>
      </c>
      <c r="Z269" s="72" t="s">
        <v>4</v>
      </c>
      <c r="AA269" s="146" t="s">
        <v>2827</v>
      </c>
    </row>
    <row r="270" spans="1:27" ht="18.600000000000001" customHeight="1">
      <c r="A270" s="139" t="str">
        <f>IF(priority(Main[[#This Row],[Comments]])&lt;&gt;0, priority(Main[[#This Row],[Comments]]),"")</f>
        <v/>
      </c>
      <c r="B270" s="89" t="s">
        <v>1111</v>
      </c>
      <c r="C270" s="72" t="s">
        <v>155</v>
      </c>
      <c r="D270" s="73" t="s">
        <v>156</v>
      </c>
      <c r="E270" s="74"/>
      <c r="F270" s="74"/>
      <c r="G270" s="75" t="str">
        <f>IF(stdProdLT(Main[[#This Row],[Comments]])=0.1,"N/A",IF(stdProdLT(Main[[#This Row],[Comments]])=0,"",stdProdLT(Main[[#This Row],[Comments]])))</f>
        <v/>
      </c>
      <c r="H270" s="76" t="str">
        <f>IF(AND(Main[[#This Row],[In Stock Date]]&lt;&gt;"",Main[[#This Row],[Revised Due Date]]&lt;&gt;""),Main[[#This Row],[In Stock Date]]-Main[[#This Row],[Revised Due Date]],"")</f>
        <v/>
      </c>
      <c r="I270" s="72" t="s">
        <v>4</v>
      </c>
      <c r="J270" s="72" t="s">
        <v>4</v>
      </c>
      <c r="K270" s="72" t="s">
        <v>4</v>
      </c>
      <c r="L270" s="74"/>
      <c r="M270" s="77" t="str">
        <f>IF(Main[[#This Row],[Tech Start Date]]&lt;1/1/1990,"",IF(Main[[#This Row],[Class]]="C",WORKDAY(Main[[#This Row],[Tech Start Date]],9),IF(Main[[#This Row],[Class]]="B", WORKDAY(Main[[#This Row],[Tech Start Date]],6),IF(Main[[#This Row],[Class]]="A",WORKDAY(Main[[#This Row],[Tech Start Date]],2),""))))</f>
        <v/>
      </c>
      <c r="N270" s="77" t="str">
        <f>IF(Main[[#This Row],[Tech Start Date]]&lt;1/1/1990,"",IF(Main[[#This Row],[Class]]="C",WORKDAY(Main[[#This Row],[Tech Start Date]],19),IF(Main[[#This Row],[Class]]="B", WORKDAY(Main[[#This Row],[Tech Start Date]],12),IF(Main[[#This Row],[Class]]="A",WORKDAY(Main[[#This Row],[Tech Start Date]],4),""))))</f>
        <v/>
      </c>
      <c r="O270" s="77" t="str">
        <f>IF(Main[[#This Row],[Tech Start Date]]&lt;1/1/1990,"",IF(Main[[#This Row],[Class]]="C",WORKDAY(Main[[#This Row],[Tech Start Date]],23),IF(Main[[#This Row],[Class]]="B", WORKDAY(Main[[#This Row],[Tech Start Date]],15),IF(Main[[#This Row],[Class]]="A",WORKDAY(Main[[#This Row],[Tech Start Date]],5),""))))</f>
        <v/>
      </c>
      <c r="P270" s="77" t="str">
        <f>IF(Main[[#This Row],[Tech Start Date]]&lt;1/1/1990,"",IF(Main[[#This Row],[Class]]="C",WORKDAY(Main[[#This Row],[Tech Start Date]],28),IF(Main[[#This Row],[Class]]="B", WORKDAY(Main[[#This Row],[Tech Start Date]],19),IF(Main[[#This Row],[Class]]="A",WORKDAY(Main[[#This Row],[Tech Start Date]],9),""))))</f>
        <v/>
      </c>
      <c r="Q270" s="74">
        <v>40144</v>
      </c>
      <c r="R270" s="74"/>
      <c r="S270" s="72" t="s">
        <v>11</v>
      </c>
      <c r="T270" s="80" t="s">
        <v>4</v>
      </c>
      <c r="U270" s="72" t="s">
        <v>14</v>
      </c>
      <c r="V270" s="72" t="s">
        <v>1917</v>
      </c>
      <c r="W270" s="72" t="s">
        <v>1919</v>
      </c>
      <c r="X270" s="72" t="s">
        <v>2860</v>
      </c>
      <c r="Y270" s="72" t="s">
        <v>4</v>
      </c>
      <c r="Z270" s="72" t="s">
        <v>4</v>
      </c>
      <c r="AA270" s="146" t="s">
        <v>2860</v>
      </c>
    </row>
    <row r="271" spans="1:27" ht="18.600000000000001" customHeight="1">
      <c r="A271" s="139" t="str">
        <f>IF(priority(Main[[#This Row],[Comments]])&lt;&gt;0, priority(Main[[#This Row],[Comments]]),"")</f>
        <v/>
      </c>
      <c r="B271" s="89" t="s">
        <v>1112</v>
      </c>
      <c r="C271" s="72" t="s">
        <v>157</v>
      </c>
      <c r="D271" s="73" t="s">
        <v>158</v>
      </c>
      <c r="E271" s="74"/>
      <c r="F271" s="74"/>
      <c r="G271" s="75" t="str">
        <f>IF(stdProdLT(Main[[#This Row],[Comments]])=0.1,"N/A",IF(stdProdLT(Main[[#This Row],[Comments]])=0,"",stdProdLT(Main[[#This Row],[Comments]])))</f>
        <v/>
      </c>
      <c r="H271" s="76" t="str">
        <f>IF(AND(Main[[#This Row],[In Stock Date]]&lt;&gt;"",Main[[#This Row],[Revised Due Date]]&lt;&gt;""),Main[[#This Row],[In Stock Date]]-Main[[#This Row],[Revised Due Date]],"")</f>
        <v/>
      </c>
      <c r="I271" s="72" t="s">
        <v>4</v>
      </c>
      <c r="J271" s="72" t="s">
        <v>4</v>
      </c>
      <c r="K271" s="72" t="s">
        <v>4</v>
      </c>
      <c r="L271" s="74"/>
      <c r="M271" s="77" t="str">
        <f>IF(Main[[#This Row],[Tech Start Date]]&lt;1/1/1990,"",IF(Main[[#This Row],[Class]]="C",WORKDAY(Main[[#This Row],[Tech Start Date]],9),IF(Main[[#This Row],[Class]]="B", WORKDAY(Main[[#This Row],[Tech Start Date]],6),IF(Main[[#This Row],[Class]]="A",WORKDAY(Main[[#This Row],[Tech Start Date]],2),""))))</f>
        <v/>
      </c>
      <c r="N271" s="77" t="str">
        <f>IF(Main[[#This Row],[Tech Start Date]]&lt;1/1/1990,"",IF(Main[[#This Row],[Class]]="C",WORKDAY(Main[[#This Row],[Tech Start Date]],19),IF(Main[[#This Row],[Class]]="B", WORKDAY(Main[[#This Row],[Tech Start Date]],12),IF(Main[[#This Row],[Class]]="A",WORKDAY(Main[[#This Row],[Tech Start Date]],4),""))))</f>
        <v/>
      </c>
      <c r="O271" s="77" t="str">
        <f>IF(Main[[#This Row],[Tech Start Date]]&lt;1/1/1990,"",IF(Main[[#This Row],[Class]]="C",WORKDAY(Main[[#This Row],[Tech Start Date]],23),IF(Main[[#This Row],[Class]]="B", WORKDAY(Main[[#This Row],[Tech Start Date]],15),IF(Main[[#This Row],[Class]]="A",WORKDAY(Main[[#This Row],[Tech Start Date]],5),""))))</f>
        <v/>
      </c>
      <c r="P271" s="77" t="str">
        <f>IF(Main[[#This Row],[Tech Start Date]]&lt;1/1/1990,"",IF(Main[[#This Row],[Class]]="C",WORKDAY(Main[[#This Row],[Tech Start Date]],28),IF(Main[[#This Row],[Class]]="B", WORKDAY(Main[[#This Row],[Tech Start Date]],19),IF(Main[[#This Row],[Class]]="A",WORKDAY(Main[[#This Row],[Tech Start Date]],9),""))))</f>
        <v/>
      </c>
      <c r="Q271" s="74"/>
      <c r="R271" s="74"/>
      <c r="S271" s="72" t="s">
        <v>11</v>
      </c>
      <c r="T271" s="80" t="s">
        <v>4</v>
      </c>
      <c r="U271" s="72" t="s">
        <v>14</v>
      </c>
      <c r="V271" s="72" t="s">
        <v>1918</v>
      </c>
      <c r="W271" s="72" t="s">
        <v>1919</v>
      </c>
      <c r="X271" s="72" t="s">
        <v>2822</v>
      </c>
      <c r="Y271" s="72" t="s">
        <v>2999</v>
      </c>
      <c r="Z271" s="72" t="s">
        <v>4</v>
      </c>
      <c r="AA271" s="146" t="s">
        <v>3404</v>
      </c>
    </row>
    <row r="272" spans="1:27" ht="18.600000000000001" customHeight="1">
      <c r="A272" s="139" t="str">
        <f>IF(priority(Main[[#This Row],[Comments]])&lt;&gt;0, priority(Main[[#This Row],[Comments]]),"")</f>
        <v/>
      </c>
      <c r="B272" s="89" t="s">
        <v>1113</v>
      </c>
      <c r="C272" s="72" t="s">
        <v>159</v>
      </c>
      <c r="D272" s="73" t="s">
        <v>160</v>
      </c>
      <c r="E272" s="74"/>
      <c r="F272" s="74">
        <v>40513</v>
      </c>
      <c r="G272" s="75" t="str">
        <f>IF(stdProdLT(Main[[#This Row],[Comments]])=0.1,"N/A",IF(stdProdLT(Main[[#This Row],[Comments]])=0,"",stdProdLT(Main[[#This Row],[Comments]])))</f>
        <v/>
      </c>
      <c r="H272" s="76" t="str">
        <f>IF(AND(Main[[#This Row],[In Stock Date]]&lt;&gt;"",Main[[#This Row],[Revised Due Date]]&lt;&gt;""),Main[[#This Row],[In Stock Date]]-Main[[#This Row],[Revised Due Date]],"")</f>
        <v/>
      </c>
      <c r="I272" s="72" t="s">
        <v>4</v>
      </c>
      <c r="J272" s="72" t="s">
        <v>28</v>
      </c>
      <c r="K272" s="81" t="s">
        <v>4</v>
      </c>
      <c r="L272" s="74"/>
      <c r="M272" s="77" t="str">
        <f>IF(Main[[#This Row],[Tech Start Date]]&lt;1/1/1990,"",IF(Main[[#This Row],[Class]]="C",WORKDAY(Main[[#This Row],[Tech Start Date]],9),IF(Main[[#This Row],[Class]]="B", WORKDAY(Main[[#This Row],[Tech Start Date]],6),IF(Main[[#This Row],[Class]]="A",WORKDAY(Main[[#This Row],[Tech Start Date]],2),""))))</f>
        <v/>
      </c>
      <c r="N272" s="77" t="str">
        <f>IF(Main[[#This Row],[Tech Start Date]]&lt;1/1/1990,"",IF(Main[[#This Row],[Class]]="C",WORKDAY(Main[[#This Row],[Tech Start Date]],19),IF(Main[[#This Row],[Class]]="B", WORKDAY(Main[[#This Row],[Tech Start Date]],12),IF(Main[[#This Row],[Class]]="A",WORKDAY(Main[[#This Row],[Tech Start Date]],4),""))))</f>
        <v/>
      </c>
      <c r="O272" s="77" t="str">
        <f>IF(Main[[#This Row],[Tech Start Date]]&lt;1/1/1990,"",IF(Main[[#This Row],[Class]]="C",WORKDAY(Main[[#This Row],[Tech Start Date]],23),IF(Main[[#This Row],[Class]]="B", WORKDAY(Main[[#This Row],[Tech Start Date]],15),IF(Main[[#This Row],[Class]]="A",WORKDAY(Main[[#This Row],[Tech Start Date]],5),""))))</f>
        <v/>
      </c>
      <c r="P272" s="77" t="str">
        <f>IF(Main[[#This Row],[Tech Start Date]]&lt;1/1/1990,"",IF(Main[[#This Row],[Class]]="C",WORKDAY(Main[[#This Row],[Tech Start Date]],28),IF(Main[[#This Row],[Class]]="B", WORKDAY(Main[[#This Row],[Tech Start Date]],19),IF(Main[[#This Row],[Class]]="A",WORKDAY(Main[[#This Row],[Tech Start Date]],9),""))))</f>
        <v/>
      </c>
      <c r="Q272" s="74">
        <v>40382</v>
      </c>
      <c r="R272" s="74"/>
      <c r="S272" s="72" t="s">
        <v>11</v>
      </c>
      <c r="T272" s="80" t="s">
        <v>4</v>
      </c>
      <c r="U272" s="72" t="s">
        <v>14</v>
      </c>
      <c r="V272" s="72" t="s">
        <v>1917</v>
      </c>
      <c r="W272" s="72" t="s">
        <v>1925</v>
      </c>
      <c r="X272" s="72" t="s">
        <v>2861</v>
      </c>
      <c r="Y272" s="72" t="s">
        <v>3000</v>
      </c>
      <c r="Z272" s="72" t="s">
        <v>129</v>
      </c>
      <c r="AA272" s="146" t="s">
        <v>2861</v>
      </c>
    </row>
    <row r="273" spans="1:27" ht="18.600000000000001" customHeight="1">
      <c r="A273" s="139" t="str">
        <f>IF(priority(Main[[#This Row],[Comments]])&lt;&gt;0, priority(Main[[#This Row],[Comments]]),"")</f>
        <v/>
      </c>
      <c r="B273" s="89" t="s">
        <v>2172</v>
      </c>
      <c r="C273" s="72" t="s">
        <v>4</v>
      </c>
      <c r="D273" s="73" t="s">
        <v>2173</v>
      </c>
      <c r="E273" s="74">
        <v>40781.644953703704</v>
      </c>
      <c r="F273" s="74"/>
      <c r="G273" s="75" t="str">
        <f>IF(stdProdLT(Main[[#This Row],[Comments]])=0.1,"N/A",IF(stdProdLT(Main[[#This Row],[Comments]])=0,"",stdProdLT(Main[[#This Row],[Comments]])))</f>
        <v/>
      </c>
      <c r="H273" s="76" t="str">
        <f>IF(AND(Main[[#This Row],[In Stock Date]]&lt;&gt;"",Main[[#This Row],[Revised Due Date]]&lt;&gt;""),Main[[#This Row],[In Stock Date]]-Main[[#This Row],[Revised Due Date]],"")</f>
        <v/>
      </c>
      <c r="I273" s="72" t="s">
        <v>4</v>
      </c>
      <c r="J273" s="72" t="s">
        <v>4</v>
      </c>
      <c r="K273" s="72" t="s">
        <v>4</v>
      </c>
      <c r="L273" s="74"/>
      <c r="M273" s="77" t="str">
        <f>IF(Main[[#This Row],[Tech Start Date]]&lt;1/1/1990,"",IF(Main[[#This Row],[Class]]="C",WORKDAY(Main[[#This Row],[Tech Start Date]],9),IF(Main[[#This Row],[Class]]="B", WORKDAY(Main[[#This Row],[Tech Start Date]],6),IF(Main[[#This Row],[Class]]="A",WORKDAY(Main[[#This Row],[Tech Start Date]],2),""))))</f>
        <v/>
      </c>
      <c r="N273" s="77" t="str">
        <f>IF(Main[[#This Row],[Tech Start Date]]&lt;1/1/1990,"",IF(Main[[#This Row],[Class]]="C",WORKDAY(Main[[#This Row],[Tech Start Date]],19),IF(Main[[#This Row],[Class]]="B", WORKDAY(Main[[#This Row],[Tech Start Date]],12),IF(Main[[#This Row],[Class]]="A",WORKDAY(Main[[#This Row],[Tech Start Date]],4),""))))</f>
        <v/>
      </c>
      <c r="O273" s="77" t="str">
        <f>IF(Main[[#This Row],[Tech Start Date]]&lt;1/1/1990,"",IF(Main[[#This Row],[Class]]="C",WORKDAY(Main[[#This Row],[Tech Start Date]],23),IF(Main[[#This Row],[Class]]="B", WORKDAY(Main[[#This Row],[Tech Start Date]],15),IF(Main[[#This Row],[Class]]="A",WORKDAY(Main[[#This Row],[Tech Start Date]],5),""))))</f>
        <v/>
      </c>
      <c r="P273" s="77" t="str">
        <f>IF(Main[[#This Row],[Tech Start Date]]&lt;1/1/1990,"",IF(Main[[#This Row],[Class]]="C",WORKDAY(Main[[#This Row],[Tech Start Date]],28),IF(Main[[#This Row],[Class]]="B", WORKDAY(Main[[#This Row],[Tech Start Date]],19),IF(Main[[#This Row],[Class]]="A",WORKDAY(Main[[#This Row],[Tech Start Date]],9),""))))</f>
        <v/>
      </c>
      <c r="Q273" s="74">
        <v>40809</v>
      </c>
      <c r="R273" s="74"/>
      <c r="S273" s="72" t="s">
        <v>6</v>
      </c>
      <c r="T273" s="80" t="s">
        <v>4</v>
      </c>
      <c r="U273" s="72" t="s">
        <v>7</v>
      </c>
      <c r="V273" s="72" t="s">
        <v>1917</v>
      </c>
      <c r="W273" s="72" t="s">
        <v>4</v>
      </c>
      <c r="X273" s="72" t="s">
        <v>2825</v>
      </c>
      <c r="Y273" s="72" t="s">
        <v>2938</v>
      </c>
      <c r="Z273" s="72" t="s">
        <v>4</v>
      </c>
      <c r="AA273" s="146" t="s">
        <v>2825</v>
      </c>
    </row>
    <row r="274" spans="1:27" ht="18.600000000000001" customHeight="1">
      <c r="A274" s="139" t="str">
        <f>IF(priority(Main[[#This Row],[Comments]])&lt;&gt;0, priority(Main[[#This Row],[Comments]]),"")</f>
        <v/>
      </c>
      <c r="B274" s="89" t="s">
        <v>2707</v>
      </c>
      <c r="C274" s="72" t="s">
        <v>4</v>
      </c>
      <c r="D274" s="73" t="s">
        <v>2708</v>
      </c>
      <c r="E274" s="74">
        <v>40892.147916666669</v>
      </c>
      <c r="F274" s="74"/>
      <c r="G274" s="75" t="str">
        <f>IF(stdProdLT(Main[[#This Row],[Comments]])=0.1,"N/A",IF(stdProdLT(Main[[#This Row],[Comments]])=0,"",stdProdLT(Main[[#This Row],[Comments]])))</f>
        <v/>
      </c>
      <c r="H274" s="76" t="str">
        <f>IF(AND(Main[[#This Row],[In Stock Date]]&lt;&gt;"",Main[[#This Row],[Revised Due Date]]&lt;&gt;""),Main[[#This Row],[In Stock Date]]-Main[[#This Row],[Revised Due Date]],"")</f>
        <v/>
      </c>
      <c r="I274" s="72" t="s">
        <v>69</v>
      </c>
      <c r="J274" s="72" t="s">
        <v>70</v>
      </c>
      <c r="K274" s="72" t="s">
        <v>1926</v>
      </c>
      <c r="L274" s="74"/>
      <c r="M274" s="77" t="str">
        <f>IF(Main[[#This Row],[Tech Start Date]]&lt;1/1/1990,"",IF(Main[[#This Row],[Class]]="C",WORKDAY(Main[[#This Row],[Tech Start Date]],9),IF(Main[[#This Row],[Class]]="B", WORKDAY(Main[[#This Row],[Tech Start Date]],6),IF(Main[[#This Row],[Class]]="A",WORKDAY(Main[[#This Row],[Tech Start Date]],2),""))))</f>
        <v/>
      </c>
      <c r="N274" s="77" t="str">
        <f>IF(Main[[#This Row],[Tech Start Date]]&lt;1/1/1990,"",IF(Main[[#This Row],[Class]]="C",WORKDAY(Main[[#This Row],[Tech Start Date]],19),IF(Main[[#This Row],[Class]]="B", WORKDAY(Main[[#This Row],[Tech Start Date]],12),IF(Main[[#This Row],[Class]]="A",WORKDAY(Main[[#This Row],[Tech Start Date]],4),""))))</f>
        <v/>
      </c>
      <c r="O274" s="77" t="str">
        <f>IF(Main[[#This Row],[Tech Start Date]]&lt;1/1/1990,"",IF(Main[[#This Row],[Class]]="C",WORKDAY(Main[[#This Row],[Tech Start Date]],23),IF(Main[[#This Row],[Class]]="B", WORKDAY(Main[[#This Row],[Tech Start Date]],15),IF(Main[[#This Row],[Class]]="A",WORKDAY(Main[[#This Row],[Tech Start Date]],5),""))))</f>
        <v/>
      </c>
      <c r="P274" s="77" t="str">
        <f>IF(Main[[#This Row],[Tech Start Date]]&lt;1/1/1990,"",IF(Main[[#This Row],[Class]]="C",WORKDAY(Main[[#This Row],[Tech Start Date]],28),IF(Main[[#This Row],[Class]]="B", WORKDAY(Main[[#This Row],[Tech Start Date]],19),IF(Main[[#This Row],[Class]]="A",WORKDAY(Main[[#This Row],[Tech Start Date]],9),""))))</f>
        <v/>
      </c>
      <c r="Q274" s="74">
        <v>40914</v>
      </c>
      <c r="R274" s="74"/>
      <c r="S274" s="72" t="s">
        <v>6</v>
      </c>
      <c r="T274" s="80" t="s">
        <v>4</v>
      </c>
      <c r="U274" s="72" t="s">
        <v>29</v>
      </c>
      <c r="V274" s="72" t="s">
        <v>1920</v>
      </c>
      <c r="W274" s="72" t="s">
        <v>1921</v>
      </c>
      <c r="X274" s="72" t="s">
        <v>2857</v>
      </c>
      <c r="Y274" s="72" t="s">
        <v>2992</v>
      </c>
      <c r="Z274" s="72" t="s">
        <v>30</v>
      </c>
      <c r="AA274" s="146" t="s">
        <v>2857</v>
      </c>
    </row>
    <row r="275" spans="1:27" ht="18.600000000000001" customHeight="1">
      <c r="A275" s="139" t="str">
        <f>IF(priority(Main[[#This Row],[Comments]])&lt;&gt;0, priority(Main[[#This Row],[Comments]]),"")</f>
        <v/>
      </c>
      <c r="B275" s="89" t="s">
        <v>2347</v>
      </c>
      <c r="C275" s="72" t="s">
        <v>4</v>
      </c>
      <c r="D275" s="73" t="s">
        <v>2348</v>
      </c>
      <c r="E275" s="74">
        <v>40876.410104166665</v>
      </c>
      <c r="F275" s="74"/>
      <c r="G275" s="75" t="str">
        <f>IF(stdProdLT(Main[[#This Row],[Comments]])=0.1,"N/A",IF(stdProdLT(Main[[#This Row],[Comments]])=0,"",stdProdLT(Main[[#This Row],[Comments]])))</f>
        <v/>
      </c>
      <c r="H275" s="76" t="str">
        <f>IF(AND(Main[[#This Row],[In Stock Date]]&lt;&gt;"",Main[[#This Row],[Revised Due Date]]&lt;&gt;""),Main[[#This Row],[In Stock Date]]-Main[[#This Row],[Revised Due Date]],"")</f>
        <v/>
      </c>
      <c r="I275" s="72" t="s">
        <v>4</v>
      </c>
      <c r="J275" s="72" t="s">
        <v>4</v>
      </c>
      <c r="K275" s="81" t="s">
        <v>4</v>
      </c>
      <c r="L275" s="74"/>
      <c r="M275" s="77" t="str">
        <f>IF(Main[[#This Row],[Tech Start Date]]&lt;1/1/1990,"",IF(Main[[#This Row],[Class]]="C",WORKDAY(Main[[#This Row],[Tech Start Date]],9),IF(Main[[#This Row],[Class]]="B", WORKDAY(Main[[#This Row],[Tech Start Date]],6),IF(Main[[#This Row],[Class]]="A",WORKDAY(Main[[#This Row],[Tech Start Date]],2),""))))</f>
        <v/>
      </c>
      <c r="N275" s="77" t="str">
        <f>IF(Main[[#This Row],[Tech Start Date]]&lt;1/1/1990,"",IF(Main[[#This Row],[Class]]="C",WORKDAY(Main[[#This Row],[Tech Start Date]],19),IF(Main[[#This Row],[Class]]="B", WORKDAY(Main[[#This Row],[Tech Start Date]],12),IF(Main[[#This Row],[Class]]="A",WORKDAY(Main[[#This Row],[Tech Start Date]],4),""))))</f>
        <v/>
      </c>
      <c r="O275" s="77" t="str">
        <f>IF(Main[[#This Row],[Tech Start Date]]&lt;1/1/1990,"",IF(Main[[#This Row],[Class]]="C",WORKDAY(Main[[#This Row],[Tech Start Date]],23),IF(Main[[#This Row],[Class]]="B", WORKDAY(Main[[#This Row],[Tech Start Date]],15),IF(Main[[#This Row],[Class]]="A",WORKDAY(Main[[#This Row],[Tech Start Date]],5),""))))</f>
        <v/>
      </c>
      <c r="P275" s="77" t="str">
        <f>IF(Main[[#This Row],[Tech Start Date]]&lt;1/1/1990,"",IF(Main[[#This Row],[Class]]="C",WORKDAY(Main[[#This Row],[Tech Start Date]],28),IF(Main[[#This Row],[Class]]="B", WORKDAY(Main[[#This Row],[Tech Start Date]],19),IF(Main[[#This Row],[Class]]="A",WORKDAY(Main[[#This Row],[Tech Start Date]],9),""))))</f>
        <v/>
      </c>
      <c r="Q275" s="74">
        <v>40879</v>
      </c>
      <c r="R275" s="74"/>
      <c r="S275" s="72" t="s">
        <v>6</v>
      </c>
      <c r="T275" s="80" t="s">
        <v>4</v>
      </c>
      <c r="U275" s="72" t="s">
        <v>29</v>
      </c>
      <c r="V275" s="72" t="s">
        <v>1918</v>
      </c>
      <c r="W275" s="72" t="s">
        <v>1921</v>
      </c>
      <c r="X275" s="72" t="s">
        <v>943</v>
      </c>
      <c r="Y275" s="72" t="s">
        <v>3001</v>
      </c>
      <c r="Z275" s="72" t="s">
        <v>4</v>
      </c>
      <c r="AA275" s="146" t="s">
        <v>943</v>
      </c>
    </row>
    <row r="276" spans="1:27" ht="18.600000000000001" customHeight="1">
      <c r="A276" s="139" t="str">
        <f>IF(priority(Main[[#This Row],[Comments]])&lt;&gt;0, priority(Main[[#This Row],[Comments]]),"")</f>
        <v/>
      </c>
      <c r="B276" s="89" t="s">
        <v>2467</v>
      </c>
      <c r="C276" s="72" t="s">
        <v>4</v>
      </c>
      <c r="D276" s="73" t="s">
        <v>2468</v>
      </c>
      <c r="E276" s="74">
        <v>40876.411770833336</v>
      </c>
      <c r="F276" s="74"/>
      <c r="G276" s="75" t="str">
        <f>IF(stdProdLT(Main[[#This Row],[Comments]])=0.1,"N/A",IF(stdProdLT(Main[[#This Row],[Comments]])=0,"",stdProdLT(Main[[#This Row],[Comments]])))</f>
        <v/>
      </c>
      <c r="H276" s="76" t="str">
        <f>IF(AND(Main[[#This Row],[In Stock Date]]&lt;&gt;"",Main[[#This Row],[Revised Due Date]]&lt;&gt;""),Main[[#This Row],[In Stock Date]]-Main[[#This Row],[Revised Due Date]],"")</f>
        <v/>
      </c>
      <c r="I276" s="72" t="s">
        <v>4</v>
      </c>
      <c r="J276" s="72" t="s">
        <v>4</v>
      </c>
      <c r="K276" s="72" t="s">
        <v>4</v>
      </c>
      <c r="L276" s="74"/>
      <c r="M276" s="77" t="str">
        <f>IF(Main[[#This Row],[Tech Start Date]]&lt;1/1/1990,"",IF(Main[[#This Row],[Class]]="C",WORKDAY(Main[[#This Row],[Tech Start Date]],9),IF(Main[[#This Row],[Class]]="B", WORKDAY(Main[[#This Row],[Tech Start Date]],6),IF(Main[[#This Row],[Class]]="A",WORKDAY(Main[[#This Row],[Tech Start Date]],2),""))))</f>
        <v/>
      </c>
      <c r="N276" s="77" t="str">
        <f>IF(Main[[#This Row],[Tech Start Date]]&lt;1/1/1990,"",IF(Main[[#This Row],[Class]]="C",WORKDAY(Main[[#This Row],[Tech Start Date]],19),IF(Main[[#This Row],[Class]]="B", WORKDAY(Main[[#This Row],[Tech Start Date]],12),IF(Main[[#This Row],[Class]]="A",WORKDAY(Main[[#This Row],[Tech Start Date]],4),""))))</f>
        <v/>
      </c>
      <c r="O276" s="77" t="str">
        <f>IF(Main[[#This Row],[Tech Start Date]]&lt;1/1/1990,"",IF(Main[[#This Row],[Class]]="C",WORKDAY(Main[[#This Row],[Tech Start Date]],23),IF(Main[[#This Row],[Class]]="B", WORKDAY(Main[[#This Row],[Tech Start Date]],15),IF(Main[[#This Row],[Class]]="A",WORKDAY(Main[[#This Row],[Tech Start Date]],5),""))))</f>
        <v/>
      </c>
      <c r="P276" s="77" t="str">
        <f>IF(Main[[#This Row],[Tech Start Date]]&lt;1/1/1990,"",IF(Main[[#This Row],[Class]]="C",WORKDAY(Main[[#This Row],[Tech Start Date]],28),IF(Main[[#This Row],[Class]]="B", WORKDAY(Main[[#This Row],[Tech Start Date]],19),IF(Main[[#This Row],[Class]]="A",WORKDAY(Main[[#This Row],[Tech Start Date]],9),""))))</f>
        <v/>
      </c>
      <c r="Q276" s="74"/>
      <c r="R276" s="74"/>
      <c r="S276" s="72" t="s">
        <v>6</v>
      </c>
      <c r="T276" s="80" t="s">
        <v>4</v>
      </c>
      <c r="U276" s="72" t="s">
        <v>7</v>
      </c>
      <c r="V276" s="72" t="s">
        <v>1917</v>
      </c>
      <c r="W276" s="72" t="s">
        <v>1925</v>
      </c>
      <c r="X276" s="72" t="s">
        <v>306</v>
      </c>
      <c r="Y276" s="72" t="s">
        <v>4</v>
      </c>
      <c r="Z276" s="72" t="s">
        <v>4</v>
      </c>
      <c r="AA276" s="146" t="s">
        <v>3405</v>
      </c>
    </row>
    <row r="277" spans="1:27" ht="18.600000000000001" customHeight="1">
      <c r="A277" s="139" t="str">
        <f>IF(priority(Main[[#This Row],[Comments]])&lt;&gt;0, priority(Main[[#This Row],[Comments]]),"")</f>
        <v/>
      </c>
      <c r="B277" s="89" t="s">
        <v>1983</v>
      </c>
      <c r="C277" s="72" t="s">
        <v>1978</v>
      </c>
      <c r="D277" s="73" t="s">
        <v>1984</v>
      </c>
      <c r="E277" s="74"/>
      <c r="F277" s="74"/>
      <c r="G277" s="75" t="str">
        <f>IF(stdProdLT(Main[[#This Row],[Comments]])=0.1,"N/A",IF(stdProdLT(Main[[#This Row],[Comments]])=0,"",stdProdLT(Main[[#This Row],[Comments]])))</f>
        <v/>
      </c>
      <c r="H277" s="76" t="str">
        <f>IF(AND(Main[[#This Row],[In Stock Date]]&lt;&gt;"",Main[[#This Row],[Revised Due Date]]&lt;&gt;""),Main[[#This Row],[In Stock Date]]-Main[[#This Row],[Revised Due Date]],"")</f>
        <v/>
      </c>
      <c r="I277" s="72" t="s">
        <v>4</v>
      </c>
      <c r="J277" s="72" t="s">
        <v>4</v>
      </c>
      <c r="K277" s="72" t="s">
        <v>4</v>
      </c>
      <c r="L277" s="74"/>
      <c r="M277" s="77" t="str">
        <f>IF(Main[[#This Row],[Tech Start Date]]&lt;1/1/1990,"",IF(Main[[#This Row],[Class]]="C",WORKDAY(Main[[#This Row],[Tech Start Date]],9),IF(Main[[#This Row],[Class]]="B", WORKDAY(Main[[#This Row],[Tech Start Date]],6),IF(Main[[#This Row],[Class]]="A",WORKDAY(Main[[#This Row],[Tech Start Date]],2),""))))</f>
        <v/>
      </c>
      <c r="N277" s="77" t="str">
        <f>IF(Main[[#This Row],[Tech Start Date]]&lt;1/1/1990,"",IF(Main[[#This Row],[Class]]="C",WORKDAY(Main[[#This Row],[Tech Start Date]],19),IF(Main[[#This Row],[Class]]="B", WORKDAY(Main[[#This Row],[Tech Start Date]],12),IF(Main[[#This Row],[Class]]="A",WORKDAY(Main[[#This Row],[Tech Start Date]],4),""))))</f>
        <v/>
      </c>
      <c r="O277" s="77" t="str">
        <f>IF(Main[[#This Row],[Tech Start Date]]&lt;1/1/1990,"",IF(Main[[#This Row],[Class]]="C",WORKDAY(Main[[#This Row],[Tech Start Date]],23),IF(Main[[#This Row],[Class]]="B", WORKDAY(Main[[#This Row],[Tech Start Date]],15),IF(Main[[#This Row],[Class]]="A",WORKDAY(Main[[#This Row],[Tech Start Date]],5),""))))</f>
        <v/>
      </c>
      <c r="P277" s="77" t="str">
        <f>IF(Main[[#This Row],[Tech Start Date]]&lt;1/1/1990,"",IF(Main[[#This Row],[Class]]="C",WORKDAY(Main[[#This Row],[Tech Start Date]],28),IF(Main[[#This Row],[Class]]="B", WORKDAY(Main[[#This Row],[Tech Start Date]],19),IF(Main[[#This Row],[Class]]="A",WORKDAY(Main[[#This Row],[Tech Start Date]],9),""))))</f>
        <v/>
      </c>
      <c r="Q277" s="74">
        <v>40745</v>
      </c>
      <c r="R277" s="74"/>
      <c r="S277" s="72" t="s">
        <v>11</v>
      </c>
      <c r="T277" s="80" t="s">
        <v>4</v>
      </c>
      <c r="U277" s="72" t="s">
        <v>14</v>
      </c>
      <c r="V277" s="72" t="s">
        <v>1918</v>
      </c>
      <c r="W277" s="72" t="s">
        <v>1919</v>
      </c>
      <c r="X277" s="72" t="s">
        <v>2822</v>
      </c>
      <c r="Y277" s="72" t="s">
        <v>4</v>
      </c>
      <c r="Z277" s="72" t="s">
        <v>4</v>
      </c>
      <c r="AA277" s="146" t="s">
        <v>2822</v>
      </c>
    </row>
    <row r="278" spans="1:27" ht="18.600000000000001" customHeight="1">
      <c r="A278" s="139" t="str">
        <f>IF(priority(Main[[#This Row],[Comments]])&lt;&gt;0, priority(Main[[#This Row],[Comments]]),"")</f>
        <v/>
      </c>
      <c r="B278" s="89" t="s">
        <v>1117</v>
      </c>
      <c r="C278" s="72" t="s">
        <v>4</v>
      </c>
      <c r="D278" s="73" t="s">
        <v>164</v>
      </c>
      <c r="E278" s="74">
        <v>40315.288738425923</v>
      </c>
      <c r="F278" s="74"/>
      <c r="G278" s="75" t="str">
        <f>IF(stdProdLT(Main[[#This Row],[Comments]])=0.1,"N/A",IF(stdProdLT(Main[[#This Row],[Comments]])=0,"",stdProdLT(Main[[#This Row],[Comments]])))</f>
        <v/>
      </c>
      <c r="H278" s="76" t="str">
        <f>IF(AND(Main[[#This Row],[In Stock Date]]&lt;&gt;"",Main[[#This Row],[Revised Due Date]]&lt;&gt;""),Main[[#This Row],[In Stock Date]]-Main[[#This Row],[Revised Due Date]],"")</f>
        <v/>
      </c>
      <c r="I278" s="72" t="s">
        <v>129</v>
      </c>
      <c r="J278" s="72" t="s">
        <v>4</v>
      </c>
      <c r="K278" s="72" t="s">
        <v>4</v>
      </c>
      <c r="L278" s="74"/>
      <c r="M278" s="77" t="str">
        <f>IF(Main[[#This Row],[Tech Start Date]]&lt;1/1/1990,"",IF(Main[[#This Row],[Class]]="C",WORKDAY(Main[[#This Row],[Tech Start Date]],9),IF(Main[[#This Row],[Class]]="B", WORKDAY(Main[[#This Row],[Tech Start Date]],6),IF(Main[[#This Row],[Class]]="A",WORKDAY(Main[[#This Row],[Tech Start Date]],2),""))))</f>
        <v/>
      </c>
      <c r="N278" s="77" t="str">
        <f>IF(Main[[#This Row],[Tech Start Date]]&lt;1/1/1990,"",IF(Main[[#This Row],[Class]]="C",WORKDAY(Main[[#This Row],[Tech Start Date]],19),IF(Main[[#This Row],[Class]]="B", WORKDAY(Main[[#This Row],[Tech Start Date]],12),IF(Main[[#This Row],[Class]]="A",WORKDAY(Main[[#This Row],[Tech Start Date]],4),""))))</f>
        <v/>
      </c>
      <c r="O278" s="77" t="str">
        <f>IF(Main[[#This Row],[Tech Start Date]]&lt;1/1/1990,"",IF(Main[[#This Row],[Class]]="C",WORKDAY(Main[[#This Row],[Tech Start Date]],23),IF(Main[[#This Row],[Class]]="B", WORKDAY(Main[[#This Row],[Tech Start Date]],15),IF(Main[[#This Row],[Class]]="A",WORKDAY(Main[[#This Row],[Tech Start Date]],5),""))))</f>
        <v/>
      </c>
      <c r="P278" s="77" t="str">
        <f>IF(Main[[#This Row],[Tech Start Date]]&lt;1/1/1990,"",IF(Main[[#This Row],[Class]]="C",WORKDAY(Main[[#This Row],[Tech Start Date]],28),IF(Main[[#This Row],[Class]]="B", WORKDAY(Main[[#This Row],[Tech Start Date]],19),IF(Main[[#This Row],[Class]]="A",WORKDAY(Main[[#This Row],[Tech Start Date]],9),""))))</f>
        <v/>
      </c>
      <c r="Q278" s="74">
        <v>40359</v>
      </c>
      <c r="R278" s="74"/>
      <c r="S278" s="72" t="s">
        <v>6</v>
      </c>
      <c r="T278" s="80" t="s">
        <v>4</v>
      </c>
      <c r="U278" s="72" t="s">
        <v>7</v>
      </c>
      <c r="V278" s="72" t="s">
        <v>1917</v>
      </c>
      <c r="W278" s="72" t="s">
        <v>4</v>
      </c>
      <c r="X278" s="72" t="s">
        <v>2828</v>
      </c>
      <c r="Y278" s="72" t="s">
        <v>2944</v>
      </c>
      <c r="Z278" s="72" t="s">
        <v>4</v>
      </c>
      <c r="AA278" s="146" t="s">
        <v>2828</v>
      </c>
    </row>
    <row r="279" spans="1:27" ht="18.600000000000001" customHeight="1">
      <c r="A279" s="139" t="str">
        <f>IF(priority(Main[[#This Row],[Comments]])&lt;&gt;0, priority(Main[[#This Row],[Comments]]),"")</f>
        <v/>
      </c>
      <c r="B279" s="89" t="s">
        <v>1118</v>
      </c>
      <c r="C279" s="72" t="s">
        <v>31</v>
      </c>
      <c r="D279" s="73" t="s">
        <v>165</v>
      </c>
      <c r="E279" s="74">
        <v>40490.313692129632</v>
      </c>
      <c r="F279" s="74">
        <v>40546</v>
      </c>
      <c r="G279" s="75" t="str">
        <f>IF(stdProdLT(Main[[#This Row],[Comments]])=0.1,"N/A",IF(stdProdLT(Main[[#This Row],[Comments]])=0,"",stdProdLT(Main[[#This Row],[Comments]])))</f>
        <v/>
      </c>
      <c r="H279" s="76" t="str">
        <f>IF(AND(Main[[#This Row],[In Stock Date]]&lt;&gt;"",Main[[#This Row],[Revised Due Date]]&lt;&gt;""),Main[[#This Row],[In Stock Date]]-Main[[#This Row],[Revised Due Date]],"")</f>
        <v/>
      </c>
      <c r="I279" s="72" t="s">
        <v>4</v>
      </c>
      <c r="J279" s="72" t="s">
        <v>4</v>
      </c>
      <c r="K279" s="72" t="s">
        <v>4</v>
      </c>
      <c r="L279" s="74"/>
      <c r="M279" s="77" t="str">
        <f>IF(Main[[#This Row],[Tech Start Date]]&lt;1/1/1990,"",IF(Main[[#This Row],[Class]]="C",WORKDAY(Main[[#This Row],[Tech Start Date]],9),IF(Main[[#This Row],[Class]]="B", WORKDAY(Main[[#This Row],[Tech Start Date]],6),IF(Main[[#This Row],[Class]]="A",WORKDAY(Main[[#This Row],[Tech Start Date]],2),""))))</f>
        <v/>
      </c>
      <c r="N279" s="77" t="str">
        <f>IF(Main[[#This Row],[Tech Start Date]]&lt;1/1/1990,"",IF(Main[[#This Row],[Class]]="C",WORKDAY(Main[[#This Row],[Tech Start Date]],19),IF(Main[[#This Row],[Class]]="B", WORKDAY(Main[[#This Row],[Tech Start Date]],12),IF(Main[[#This Row],[Class]]="A",WORKDAY(Main[[#This Row],[Tech Start Date]],4),""))))</f>
        <v/>
      </c>
      <c r="O279" s="77" t="str">
        <f>IF(Main[[#This Row],[Tech Start Date]]&lt;1/1/1990,"",IF(Main[[#This Row],[Class]]="C",WORKDAY(Main[[#This Row],[Tech Start Date]],23),IF(Main[[#This Row],[Class]]="B", WORKDAY(Main[[#This Row],[Tech Start Date]],15),IF(Main[[#This Row],[Class]]="A",WORKDAY(Main[[#This Row],[Tech Start Date]],5),""))))</f>
        <v/>
      </c>
      <c r="P279" s="77" t="str">
        <f>IF(Main[[#This Row],[Tech Start Date]]&lt;1/1/1990,"",IF(Main[[#This Row],[Class]]="C",WORKDAY(Main[[#This Row],[Tech Start Date]],28),IF(Main[[#This Row],[Class]]="B", WORKDAY(Main[[#This Row],[Tech Start Date]],19),IF(Main[[#This Row],[Class]]="A",WORKDAY(Main[[#This Row],[Tech Start Date]],9),""))))</f>
        <v/>
      </c>
      <c r="Q279" s="74">
        <v>40543</v>
      </c>
      <c r="R279" s="74"/>
      <c r="S279" s="72" t="s">
        <v>17</v>
      </c>
      <c r="T279" s="80" t="s">
        <v>4</v>
      </c>
      <c r="U279" s="72" t="s">
        <v>7</v>
      </c>
      <c r="V279" s="72" t="s">
        <v>1920</v>
      </c>
      <c r="W279" s="72" t="s">
        <v>4</v>
      </c>
      <c r="X279" s="72" t="s">
        <v>2862</v>
      </c>
      <c r="Y279" s="72" t="s">
        <v>3003</v>
      </c>
      <c r="Z279" s="72" t="s">
        <v>4</v>
      </c>
      <c r="AA279" s="146" t="s">
        <v>2862</v>
      </c>
    </row>
    <row r="280" spans="1:27" ht="18.600000000000001" customHeight="1">
      <c r="A280" s="139" t="str">
        <f>IF(priority(Main[[#This Row],[Comments]])&lt;&gt;0, priority(Main[[#This Row],[Comments]]),"")</f>
        <v/>
      </c>
      <c r="B280" s="89" t="s">
        <v>1119</v>
      </c>
      <c r="C280" s="72" t="s">
        <v>4</v>
      </c>
      <c r="D280" s="73" t="s">
        <v>166</v>
      </c>
      <c r="E280" s="74">
        <v>40455.90861111111</v>
      </c>
      <c r="F280" s="74"/>
      <c r="G280" s="75" t="str">
        <f>IF(stdProdLT(Main[[#This Row],[Comments]])=0.1,"N/A",IF(stdProdLT(Main[[#This Row],[Comments]])=0,"",stdProdLT(Main[[#This Row],[Comments]])))</f>
        <v/>
      </c>
      <c r="H280" s="76" t="str">
        <f>IF(AND(Main[[#This Row],[In Stock Date]]&lt;&gt;"",Main[[#This Row],[Revised Due Date]]&lt;&gt;""),Main[[#This Row],[In Stock Date]]-Main[[#This Row],[Revised Due Date]],"")</f>
        <v/>
      </c>
      <c r="I280" s="72" t="s">
        <v>4</v>
      </c>
      <c r="J280" s="72" t="s">
        <v>28</v>
      </c>
      <c r="K280" s="72" t="s">
        <v>1929</v>
      </c>
      <c r="L280" s="74"/>
      <c r="M280" s="77" t="str">
        <f>IF(Main[[#This Row],[Tech Start Date]]&lt;1/1/1990,"",IF(Main[[#This Row],[Class]]="C",WORKDAY(Main[[#This Row],[Tech Start Date]],9),IF(Main[[#This Row],[Class]]="B", WORKDAY(Main[[#This Row],[Tech Start Date]],6),IF(Main[[#This Row],[Class]]="A",WORKDAY(Main[[#This Row],[Tech Start Date]],2),""))))</f>
        <v/>
      </c>
      <c r="N280" s="77" t="str">
        <f>IF(Main[[#This Row],[Tech Start Date]]&lt;1/1/1990,"",IF(Main[[#This Row],[Class]]="C",WORKDAY(Main[[#This Row],[Tech Start Date]],19),IF(Main[[#This Row],[Class]]="B", WORKDAY(Main[[#This Row],[Tech Start Date]],12),IF(Main[[#This Row],[Class]]="A",WORKDAY(Main[[#This Row],[Tech Start Date]],4),""))))</f>
        <v/>
      </c>
      <c r="O280" s="77" t="str">
        <f>IF(Main[[#This Row],[Tech Start Date]]&lt;1/1/1990,"",IF(Main[[#This Row],[Class]]="C",WORKDAY(Main[[#This Row],[Tech Start Date]],23),IF(Main[[#This Row],[Class]]="B", WORKDAY(Main[[#This Row],[Tech Start Date]],15),IF(Main[[#This Row],[Class]]="A",WORKDAY(Main[[#This Row],[Tech Start Date]],5),""))))</f>
        <v/>
      </c>
      <c r="P280" s="77" t="str">
        <f>IF(Main[[#This Row],[Tech Start Date]]&lt;1/1/1990,"",IF(Main[[#This Row],[Class]]="C",WORKDAY(Main[[#This Row],[Tech Start Date]],28),IF(Main[[#This Row],[Class]]="B", WORKDAY(Main[[#This Row],[Tech Start Date]],19),IF(Main[[#This Row],[Class]]="A",WORKDAY(Main[[#This Row],[Tech Start Date]],9),""))))</f>
        <v/>
      </c>
      <c r="Q280" s="74">
        <v>40512</v>
      </c>
      <c r="R280" s="74"/>
      <c r="S280" s="72" t="s">
        <v>17</v>
      </c>
      <c r="T280" s="80" t="s">
        <v>4</v>
      </c>
      <c r="U280" s="72" t="s">
        <v>7</v>
      </c>
      <c r="V280" s="72" t="s">
        <v>1917</v>
      </c>
      <c r="W280" s="72" t="s">
        <v>1922</v>
      </c>
      <c r="X280" s="72" t="s">
        <v>129</v>
      </c>
      <c r="Y280" s="72" t="s">
        <v>2939</v>
      </c>
      <c r="Z280" s="72" t="s">
        <v>129</v>
      </c>
      <c r="AA280" s="146" t="s">
        <v>129</v>
      </c>
    </row>
    <row r="281" spans="1:27" ht="18.600000000000001" customHeight="1">
      <c r="A281" s="139" t="str">
        <f>IF(priority(Main[[#This Row],[Comments]])&lt;&gt;0, priority(Main[[#This Row],[Comments]]),"")</f>
        <v/>
      </c>
      <c r="B281" s="89" t="s">
        <v>1120</v>
      </c>
      <c r="C281" s="72" t="s">
        <v>4</v>
      </c>
      <c r="D281" s="73" t="s">
        <v>167</v>
      </c>
      <c r="E281" s="74"/>
      <c r="F281" s="74"/>
      <c r="G281" s="75" t="str">
        <f>IF(stdProdLT(Main[[#This Row],[Comments]])=0.1,"N/A",IF(stdProdLT(Main[[#This Row],[Comments]])=0,"",stdProdLT(Main[[#This Row],[Comments]])))</f>
        <v/>
      </c>
      <c r="H281" s="76" t="str">
        <f>IF(AND(Main[[#This Row],[In Stock Date]]&lt;&gt;"",Main[[#This Row],[Revised Due Date]]&lt;&gt;""),Main[[#This Row],[In Stock Date]]-Main[[#This Row],[Revised Due Date]],"")</f>
        <v/>
      </c>
      <c r="I281" s="72" t="s">
        <v>4</v>
      </c>
      <c r="J281" s="72" t="s">
        <v>28</v>
      </c>
      <c r="K281" s="72" t="s">
        <v>1929</v>
      </c>
      <c r="L281" s="74"/>
      <c r="M281" s="77" t="str">
        <f>IF(Main[[#This Row],[Tech Start Date]]&lt;1/1/1990,"",IF(Main[[#This Row],[Class]]="C",WORKDAY(Main[[#This Row],[Tech Start Date]],9),IF(Main[[#This Row],[Class]]="B", WORKDAY(Main[[#This Row],[Tech Start Date]],6),IF(Main[[#This Row],[Class]]="A",WORKDAY(Main[[#This Row],[Tech Start Date]],2),""))))</f>
        <v/>
      </c>
      <c r="N281" s="77" t="str">
        <f>IF(Main[[#This Row],[Tech Start Date]]&lt;1/1/1990,"",IF(Main[[#This Row],[Class]]="C",WORKDAY(Main[[#This Row],[Tech Start Date]],19),IF(Main[[#This Row],[Class]]="B", WORKDAY(Main[[#This Row],[Tech Start Date]],12),IF(Main[[#This Row],[Class]]="A",WORKDAY(Main[[#This Row],[Tech Start Date]],4),""))))</f>
        <v/>
      </c>
      <c r="O281" s="77" t="str">
        <f>IF(Main[[#This Row],[Tech Start Date]]&lt;1/1/1990,"",IF(Main[[#This Row],[Class]]="C",WORKDAY(Main[[#This Row],[Tech Start Date]],23),IF(Main[[#This Row],[Class]]="B", WORKDAY(Main[[#This Row],[Tech Start Date]],15),IF(Main[[#This Row],[Class]]="A",WORKDAY(Main[[#This Row],[Tech Start Date]],5),""))))</f>
        <v/>
      </c>
      <c r="P281" s="77" t="str">
        <f>IF(Main[[#This Row],[Tech Start Date]]&lt;1/1/1990,"",IF(Main[[#This Row],[Class]]="C",WORKDAY(Main[[#This Row],[Tech Start Date]],28),IF(Main[[#This Row],[Class]]="B", WORKDAY(Main[[#This Row],[Tech Start Date]],19),IF(Main[[#This Row],[Class]]="A",WORKDAY(Main[[#This Row],[Tech Start Date]],9),""))))</f>
        <v/>
      </c>
      <c r="Q281" s="74"/>
      <c r="R281" s="74"/>
      <c r="S281" s="72" t="s">
        <v>17</v>
      </c>
      <c r="T281" s="80" t="s">
        <v>4</v>
      </c>
      <c r="U281" s="72" t="s">
        <v>14</v>
      </c>
      <c r="V281" s="72" t="s">
        <v>1920</v>
      </c>
      <c r="W281" s="72" t="s">
        <v>1922</v>
      </c>
      <c r="X281" s="72" t="s">
        <v>554</v>
      </c>
      <c r="Y281" s="72" t="s">
        <v>2958</v>
      </c>
      <c r="Z281" s="72" t="s">
        <v>970</v>
      </c>
      <c r="AA281" s="146" t="s">
        <v>554</v>
      </c>
    </row>
    <row r="282" spans="1:27" ht="18.600000000000001" customHeight="1">
      <c r="A282" s="139" t="str">
        <f>IF(priority(Main[[#This Row],[Comments]])&lt;&gt;0, priority(Main[[#This Row],[Comments]]),"")</f>
        <v/>
      </c>
      <c r="B282" s="89" t="s">
        <v>2676</v>
      </c>
      <c r="C282" s="72" t="s">
        <v>4</v>
      </c>
      <c r="D282" s="73" t="s">
        <v>2709</v>
      </c>
      <c r="E282" s="74">
        <v>40879.610138888886</v>
      </c>
      <c r="F282" s="74"/>
      <c r="G282" s="75" t="str">
        <f>IF(stdProdLT(Main[[#This Row],[Comments]])=0.1,"N/A",IF(stdProdLT(Main[[#This Row],[Comments]])=0,"",stdProdLT(Main[[#This Row],[Comments]])))</f>
        <v/>
      </c>
      <c r="H282" s="76" t="str">
        <f>IF(AND(Main[[#This Row],[In Stock Date]]&lt;&gt;"",Main[[#This Row],[Revised Due Date]]&lt;&gt;""),Main[[#This Row],[In Stock Date]]-Main[[#This Row],[Revised Due Date]],"")</f>
        <v/>
      </c>
      <c r="I282" s="72" t="s">
        <v>69</v>
      </c>
      <c r="J282" s="72" t="s">
        <v>21</v>
      </c>
      <c r="K282" s="72" t="s">
        <v>1926</v>
      </c>
      <c r="L282" s="74"/>
      <c r="M282" s="77" t="str">
        <f>IF(Main[[#This Row],[Tech Start Date]]&lt;1/1/1990,"",IF(Main[[#This Row],[Class]]="C",WORKDAY(Main[[#This Row],[Tech Start Date]],9),IF(Main[[#This Row],[Class]]="B", WORKDAY(Main[[#This Row],[Tech Start Date]],6),IF(Main[[#This Row],[Class]]="A",WORKDAY(Main[[#This Row],[Tech Start Date]],2),""))))</f>
        <v/>
      </c>
      <c r="N282" s="77" t="str">
        <f>IF(Main[[#This Row],[Tech Start Date]]&lt;1/1/1990,"",IF(Main[[#This Row],[Class]]="C",WORKDAY(Main[[#This Row],[Tech Start Date]],19),IF(Main[[#This Row],[Class]]="B", WORKDAY(Main[[#This Row],[Tech Start Date]],12),IF(Main[[#This Row],[Class]]="A",WORKDAY(Main[[#This Row],[Tech Start Date]],4),""))))</f>
        <v/>
      </c>
      <c r="O282" s="77" t="str">
        <f>IF(Main[[#This Row],[Tech Start Date]]&lt;1/1/1990,"",IF(Main[[#This Row],[Class]]="C",WORKDAY(Main[[#This Row],[Tech Start Date]],23),IF(Main[[#This Row],[Class]]="B", WORKDAY(Main[[#This Row],[Tech Start Date]],15),IF(Main[[#This Row],[Class]]="A",WORKDAY(Main[[#This Row],[Tech Start Date]],5),""))))</f>
        <v/>
      </c>
      <c r="P282" s="77" t="str">
        <f>IF(Main[[#This Row],[Tech Start Date]]&lt;1/1/1990,"",IF(Main[[#This Row],[Class]]="C",WORKDAY(Main[[#This Row],[Tech Start Date]],28),IF(Main[[#This Row],[Class]]="B", WORKDAY(Main[[#This Row],[Tech Start Date]],19),IF(Main[[#This Row],[Class]]="A",WORKDAY(Main[[#This Row],[Tech Start Date]],9),""))))</f>
        <v/>
      </c>
      <c r="Q282" s="74">
        <v>40921</v>
      </c>
      <c r="R282" s="74"/>
      <c r="S282" s="72" t="s">
        <v>6</v>
      </c>
      <c r="T282" s="80" t="s">
        <v>4</v>
      </c>
      <c r="U282" s="72" t="s">
        <v>29</v>
      </c>
      <c r="V282" s="72" t="s">
        <v>1927</v>
      </c>
      <c r="W282" s="72" t="s">
        <v>1921</v>
      </c>
      <c r="X282" s="72" t="s">
        <v>2824</v>
      </c>
      <c r="Y282" s="72" t="s">
        <v>2935</v>
      </c>
      <c r="Z282" s="72" t="s">
        <v>30</v>
      </c>
      <c r="AA282" s="146" t="s">
        <v>2824</v>
      </c>
    </row>
    <row r="283" spans="1:27" ht="18.600000000000001" customHeight="1">
      <c r="A283" s="139" t="str">
        <f>IF(priority(Main[[#This Row],[Comments]])&lt;&gt;0, priority(Main[[#This Row],[Comments]]),"")</f>
        <v/>
      </c>
      <c r="B283" s="89" t="s">
        <v>3603</v>
      </c>
      <c r="C283" s="72" t="s">
        <v>4</v>
      </c>
      <c r="D283" s="73" t="s">
        <v>3604</v>
      </c>
      <c r="E283" s="74"/>
      <c r="F283" s="74">
        <v>40982</v>
      </c>
      <c r="G283" s="75" t="str">
        <f>IF(stdProdLT(Main[[#This Row],[Comments]])=0.1,"N/A",IF(stdProdLT(Main[[#This Row],[Comments]])=0,"",stdProdLT(Main[[#This Row],[Comments]])))</f>
        <v/>
      </c>
      <c r="H283" s="76" t="str">
        <f>IF(AND(Main[[#This Row],[In Stock Date]]&lt;&gt;"",Main[[#This Row],[Revised Due Date]]&lt;&gt;""),Main[[#This Row],[In Stock Date]]-Main[[#This Row],[Revised Due Date]],"")</f>
        <v/>
      </c>
      <c r="I283" s="72" t="s">
        <v>4</v>
      </c>
      <c r="J283" s="72" t="s">
        <v>4</v>
      </c>
      <c r="K283" s="72" t="s">
        <v>4</v>
      </c>
      <c r="L283" s="74"/>
      <c r="M283" s="77" t="str">
        <f>IF(Main[[#This Row],[Tech Start Date]]&lt;1/1/1990,"",IF(Main[[#This Row],[Class]]="C",WORKDAY(Main[[#This Row],[Tech Start Date]],9),IF(Main[[#This Row],[Class]]="B", WORKDAY(Main[[#This Row],[Tech Start Date]],6),IF(Main[[#This Row],[Class]]="A",WORKDAY(Main[[#This Row],[Tech Start Date]],2),""))))</f>
        <v/>
      </c>
      <c r="N283" s="77" t="str">
        <f>IF(Main[[#This Row],[Tech Start Date]]&lt;1/1/1990,"",IF(Main[[#This Row],[Class]]="C",WORKDAY(Main[[#This Row],[Tech Start Date]],19),IF(Main[[#This Row],[Class]]="B", WORKDAY(Main[[#This Row],[Tech Start Date]],12),IF(Main[[#This Row],[Class]]="A",WORKDAY(Main[[#This Row],[Tech Start Date]],4),""))))</f>
        <v/>
      </c>
      <c r="O283" s="77" t="str">
        <f>IF(Main[[#This Row],[Tech Start Date]]&lt;1/1/1990,"",IF(Main[[#This Row],[Class]]="C",WORKDAY(Main[[#This Row],[Tech Start Date]],23),IF(Main[[#This Row],[Class]]="B", WORKDAY(Main[[#This Row],[Tech Start Date]],15),IF(Main[[#This Row],[Class]]="A",WORKDAY(Main[[#This Row],[Tech Start Date]],5),""))))</f>
        <v/>
      </c>
      <c r="P283" s="77" t="str">
        <f>IF(Main[[#This Row],[Tech Start Date]]&lt;1/1/1990,"",IF(Main[[#This Row],[Class]]="C",WORKDAY(Main[[#This Row],[Tech Start Date]],28),IF(Main[[#This Row],[Class]]="B", WORKDAY(Main[[#This Row],[Tech Start Date]],19),IF(Main[[#This Row],[Class]]="A",WORKDAY(Main[[#This Row],[Tech Start Date]],9),""))))</f>
        <v/>
      </c>
      <c r="Q283" s="74"/>
      <c r="R283" s="74"/>
      <c r="S283" s="72" t="s">
        <v>11</v>
      </c>
      <c r="T283" s="80" t="s">
        <v>4</v>
      </c>
      <c r="U283" s="72" t="s">
        <v>12</v>
      </c>
      <c r="V283" s="72" t="s">
        <v>1920</v>
      </c>
      <c r="W283" s="72" t="s">
        <v>1922</v>
      </c>
      <c r="X283" s="72" t="s">
        <v>2840</v>
      </c>
      <c r="Y283" s="72" t="s">
        <v>3605</v>
      </c>
      <c r="Z283" s="72" t="s">
        <v>4</v>
      </c>
      <c r="AA283" s="146" t="s">
        <v>2840</v>
      </c>
    </row>
    <row r="284" spans="1:27" ht="18.600000000000001" customHeight="1">
      <c r="A284" s="139" t="str">
        <f>IF(priority(Main[[#This Row],[Comments]])&lt;&gt;0, priority(Main[[#This Row],[Comments]]),"")</f>
        <v/>
      </c>
      <c r="B284" s="89" t="s">
        <v>1307</v>
      </c>
      <c r="C284" s="72" t="s">
        <v>47</v>
      </c>
      <c r="D284" s="73" t="s">
        <v>2015</v>
      </c>
      <c r="E284" s="74">
        <v>39952.315729166665</v>
      </c>
      <c r="F284" s="74"/>
      <c r="G284" s="75" t="str">
        <f>IF(stdProdLT(Main[[#This Row],[Comments]])=0.1,"N/A",IF(stdProdLT(Main[[#This Row],[Comments]])=0,"",stdProdLT(Main[[#This Row],[Comments]])))</f>
        <v/>
      </c>
      <c r="H284" s="76" t="str">
        <f>IF(AND(Main[[#This Row],[In Stock Date]]&lt;&gt;"",Main[[#This Row],[Revised Due Date]]&lt;&gt;""),Main[[#This Row],[In Stock Date]]-Main[[#This Row],[Revised Due Date]],"")</f>
        <v/>
      </c>
      <c r="I284" s="72" t="s">
        <v>2016</v>
      </c>
      <c r="J284" s="72" t="s">
        <v>28</v>
      </c>
      <c r="K284" s="72" t="s">
        <v>4</v>
      </c>
      <c r="L284" s="74"/>
      <c r="M284" s="77" t="str">
        <f>IF(Main[[#This Row],[Tech Start Date]]&lt;1/1/1990,"",IF(Main[[#This Row],[Class]]="C",WORKDAY(Main[[#This Row],[Tech Start Date]],9),IF(Main[[#This Row],[Class]]="B", WORKDAY(Main[[#This Row],[Tech Start Date]],6),IF(Main[[#This Row],[Class]]="A",WORKDAY(Main[[#This Row],[Tech Start Date]],2),""))))</f>
        <v/>
      </c>
      <c r="N284" s="77" t="str">
        <f>IF(Main[[#This Row],[Tech Start Date]]&lt;1/1/1990,"",IF(Main[[#This Row],[Class]]="C",WORKDAY(Main[[#This Row],[Tech Start Date]],19),IF(Main[[#This Row],[Class]]="B", WORKDAY(Main[[#This Row],[Tech Start Date]],12),IF(Main[[#This Row],[Class]]="A",WORKDAY(Main[[#This Row],[Tech Start Date]],4),""))))</f>
        <v/>
      </c>
      <c r="O284" s="77" t="str">
        <f>IF(Main[[#This Row],[Tech Start Date]]&lt;1/1/1990,"",IF(Main[[#This Row],[Class]]="C",WORKDAY(Main[[#This Row],[Tech Start Date]],23),IF(Main[[#This Row],[Class]]="B", WORKDAY(Main[[#This Row],[Tech Start Date]],15),IF(Main[[#This Row],[Class]]="A",WORKDAY(Main[[#This Row],[Tech Start Date]],5),""))))</f>
        <v/>
      </c>
      <c r="P284" s="77" t="str">
        <f>IF(Main[[#This Row],[Tech Start Date]]&lt;1/1/1990,"",IF(Main[[#This Row],[Class]]="C",WORKDAY(Main[[#This Row],[Tech Start Date]],28),IF(Main[[#This Row],[Class]]="B", WORKDAY(Main[[#This Row],[Tech Start Date]],19),IF(Main[[#This Row],[Class]]="A",WORKDAY(Main[[#This Row],[Tech Start Date]],9),""))))</f>
        <v/>
      </c>
      <c r="Q284" s="74"/>
      <c r="R284" s="74"/>
      <c r="S284" s="72" t="s">
        <v>17</v>
      </c>
      <c r="T284" s="80" t="s">
        <v>4</v>
      </c>
      <c r="U284" s="72" t="s">
        <v>7</v>
      </c>
      <c r="V284" s="72" t="s">
        <v>1932</v>
      </c>
      <c r="W284" s="72" t="s">
        <v>1922</v>
      </c>
      <c r="X284" s="72" t="s">
        <v>2865</v>
      </c>
      <c r="Y284" s="72" t="s">
        <v>2954</v>
      </c>
      <c r="Z284" s="72" t="s">
        <v>2214</v>
      </c>
      <c r="AA284" s="146" t="s">
        <v>2865</v>
      </c>
    </row>
    <row r="285" spans="1:27" ht="18.600000000000001" customHeight="1">
      <c r="A285" s="139" t="str">
        <f>IF(priority(Main[[#This Row],[Comments]])&lt;&gt;0, priority(Main[[#This Row],[Comments]]),"")</f>
        <v/>
      </c>
      <c r="B285" s="89" t="s">
        <v>1155</v>
      </c>
      <c r="C285" s="72" t="s">
        <v>4</v>
      </c>
      <c r="D285" s="73" t="s">
        <v>209</v>
      </c>
      <c r="E285" s="74"/>
      <c r="F285" s="74"/>
      <c r="G285" s="75" t="str">
        <f>IF(stdProdLT(Main[[#This Row],[Comments]])=0.1,"N/A",IF(stdProdLT(Main[[#This Row],[Comments]])=0,"",stdProdLT(Main[[#This Row],[Comments]])))</f>
        <v/>
      </c>
      <c r="H285" s="76" t="str">
        <f>IF(AND(Main[[#This Row],[In Stock Date]]&lt;&gt;"",Main[[#This Row],[Revised Due Date]]&lt;&gt;""),Main[[#This Row],[In Stock Date]]-Main[[#This Row],[Revised Due Date]],"")</f>
        <v/>
      </c>
      <c r="I285" s="72" t="s">
        <v>4</v>
      </c>
      <c r="J285" s="72" t="s">
        <v>4</v>
      </c>
      <c r="K285" s="72" t="s">
        <v>4</v>
      </c>
      <c r="L285" s="74"/>
      <c r="M285" s="77" t="str">
        <f>IF(Main[[#This Row],[Tech Start Date]]&lt;1/1/1990,"",IF(Main[[#This Row],[Class]]="C",WORKDAY(Main[[#This Row],[Tech Start Date]],9),IF(Main[[#This Row],[Class]]="B", WORKDAY(Main[[#This Row],[Tech Start Date]],6),IF(Main[[#This Row],[Class]]="A",WORKDAY(Main[[#This Row],[Tech Start Date]],2),""))))</f>
        <v/>
      </c>
      <c r="N285" s="77" t="str">
        <f>IF(Main[[#This Row],[Tech Start Date]]&lt;1/1/1990,"",IF(Main[[#This Row],[Class]]="C",WORKDAY(Main[[#This Row],[Tech Start Date]],19),IF(Main[[#This Row],[Class]]="B", WORKDAY(Main[[#This Row],[Tech Start Date]],12),IF(Main[[#This Row],[Class]]="A",WORKDAY(Main[[#This Row],[Tech Start Date]],4),""))))</f>
        <v/>
      </c>
      <c r="O285" s="77" t="str">
        <f>IF(Main[[#This Row],[Tech Start Date]]&lt;1/1/1990,"",IF(Main[[#This Row],[Class]]="C",WORKDAY(Main[[#This Row],[Tech Start Date]],23),IF(Main[[#This Row],[Class]]="B", WORKDAY(Main[[#This Row],[Tech Start Date]],15),IF(Main[[#This Row],[Class]]="A",WORKDAY(Main[[#This Row],[Tech Start Date]],5),""))))</f>
        <v/>
      </c>
      <c r="P285" s="77" t="str">
        <f>IF(Main[[#This Row],[Tech Start Date]]&lt;1/1/1990,"",IF(Main[[#This Row],[Class]]="C",WORKDAY(Main[[#This Row],[Tech Start Date]],28),IF(Main[[#This Row],[Class]]="B", WORKDAY(Main[[#This Row],[Tech Start Date]],19),IF(Main[[#This Row],[Class]]="A",WORKDAY(Main[[#This Row],[Tech Start Date]],9),""))))</f>
        <v/>
      </c>
      <c r="Q285" s="74"/>
      <c r="R285" s="74"/>
      <c r="S285" s="72" t="s">
        <v>23</v>
      </c>
      <c r="T285" s="80" t="s">
        <v>4</v>
      </c>
      <c r="U285" s="72" t="s">
        <v>14</v>
      </c>
      <c r="V285" s="72" t="s">
        <v>1920</v>
      </c>
      <c r="W285" s="72" t="s">
        <v>1921</v>
      </c>
      <c r="X285" s="72" t="s">
        <v>306</v>
      </c>
      <c r="Y285" s="72" t="s">
        <v>4</v>
      </c>
      <c r="Z285" s="72" t="s">
        <v>4</v>
      </c>
      <c r="AA285" s="146" t="s">
        <v>3395</v>
      </c>
    </row>
    <row r="286" spans="1:27" ht="18.600000000000001" customHeight="1">
      <c r="A286" s="139" t="str">
        <f>IF(priority(Main[[#This Row],[Comments]])&lt;&gt;0, priority(Main[[#This Row],[Comments]]),"")</f>
        <v/>
      </c>
      <c r="B286" s="89" t="s">
        <v>1156</v>
      </c>
      <c r="C286" s="72" t="s">
        <v>4</v>
      </c>
      <c r="D286" s="73" t="s">
        <v>210</v>
      </c>
      <c r="E286" s="74"/>
      <c r="F286" s="74"/>
      <c r="G286" s="75" t="str">
        <f>IF(stdProdLT(Main[[#This Row],[Comments]])=0.1,"N/A",IF(stdProdLT(Main[[#This Row],[Comments]])=0,"",stdProdLT(Main[[#This Row],[Comments]])))</f>
        <v/>
      </c>
      <c r="H286" s="76" t="str">
        <f>IF(AND(Main[[#This Row],[In Stock Date]]&lt;&gt;"",Main[[#This Row],[Revised Due Date]]&lt;&gt;""),Main[[#This Row],[In Stock Date]]-Main[[#This Row],[Revised Due Date]],"")</f>
        <v/>
      </c>
      <c r="I286" s="72" t="s">
        <v>4</v>
      </c>
      <c r="J286" s="72" t="s">
        <v>4</v>
      </c>
      <c r="K286" s="72" t="s">
        <v>4</v>
      </c>
      <c r="L286" s="74"/>
      <c r="M286" s="77" t="str">
        <f>IF(Main[[#This Row],[Tech Start Date]]&lt;1/1/1990,"",IF(Main[[#This Row],[Class]]="C",WORKDAY(Main[[#This Row],[Tech Start Date]],9),IF(Main[[#This Row],[Class]]="B", WORKDAY(Main[[#This Row],[Tech Start Date]],6),IF(Main[[#This Row],[Class]]="A",WORKDAY(Main[[#This Row],[Tech Start Date]],2),""))))</f>
        <v/>
      </c>
      <c r="N286" s="77" t="str">
        <f>IF(Main[[#This Row],[Tech Start Date]]&lt;1/1/1990,"",IF(Main[[#This Row],[Class]]="C",WORKDAY(Main[[#This Row],[Tech Start Date]],19),IF(Main[[#This Row],[Class]]="B", WORKDAY(Main[[#This Row],[Tech Start Date]],12),IF(Main[[#This Row],[Class]]="A",WORKDAY(Main[[#This Row],[Tech Start Date]],4),""))))</f>
        <v/>
      </c>
      <c r="O286" s="77" t="str">
        <f>IF(Main[[#This Row],[Tech Start Date]]&lt;1/1/1990,"",IF(Main[[#This Row],[Class]]="C",WORKDAY(Main[[#This Row],[Tech Start Date]],23),IF(Main[[#This Row],[Class]]="B", WORKDAY(Main[[#This Row],[Tech Start Date]],15),IF(Main[[#This Row],[Class]]="A",WORKDAY(Main[[#This Row],[Tech Start Date]],5),""))))</f>
        <v/>
      </c>
      <c r="P286" s="77" t="str">
        <f>IF(Main[[#This Row],[Tech Start Date]]&lt;1/1/1990,"",IF(Main[[#This Row],[Class]]="C",WORKDAY(Main[[#This Row],[Tech Start Date]],28),IF(Main[[#This Row],[Class]]="B", WORKDAY(Main[[#This Row],[Tech Start Date]],19),IF(Main[[#This Row],[Class]]="A",WORKDAY(Main[[#This Row],[Tech Start Date]],9),""))))</f>
        <v/>
      </c>
      <c r="Q286" s="74"/>
      <c r="R286" s="74"/>
      <c r="S286" s="72" t="s">
        <v>23</v>
      </c>
      <c r="T286" s="80" t="s">
        <v>4</v>
      </c>
      <c r="U286" s="72" t="s">
        <v>14</v>
      </c>
      <c r="V286" s="72" t="s">
        <v>1920</v>
      </c>
      <c r="W286" s="72" t="s">
        <v>1921</v>
      </c>
      <c r="X286" s="72" t="s">
        <v>399</v>
      </c>
      <c r="Y286" s="72" t="s">
        <v>4</v>
      </c>
      <c r="Z286" s="72" t="s">
        <v>4</v>
      </c>
      <c r="AA286" s="146" t="s">
        <v>3409</v>
      </c>
    </row>
    <row r="287" spans="1:27" ht="18.600000000000001" customHeight="1">
      <c r="A287" s="139" t="str">
        <f>IF(priority(Main[[#This Row],[Comments]])&lt;&gt;0, priority(Main[[#This Row],[Comments]]),"")</f>
        <v/>
      </c>
      <c r="B287" s="89" t="s">
        <v>1220</v>
      </c>
      <c r="C287" s="72" t="s">
        <v>277</v>
      </c>
      <c r="D287" s="73" t="s">
        <v>278</v>
      </c>
      <c r="E287" s="74"/>
      <c r="F287" s="74">
        <v>40680</v>
      </c>
      <c r="G287" s="75" t="str">
        <f>IF(stdProdLT(Main[[#This Row],[Comments]])=0.1,"N/A",IF(stdProdLT(Main[[#This Row],[Comments]])=0,"",stdProdLT(Main[[#This Row],[Comments]])))</f>
        <v/>
      </c>
      <c r="H287" s="76" t="str">
        <f>IF(AND(Main[[#This Row],[In Stock Date]]&lt;&gt;"",Main[[#This Row],[Revised Due Date]]&lt;&gt;""),Main[[#This Row],[In Stock Date]]-Main[[#This Row],[Revised Due Date]],"")</f>
        <v/>
      </c>
      <c r="I287" s="72" t="s">
        <v>4</v>
      </c>
      <c r="J287" s="72" t="s">
        <v>28</v>
      </c>
      <c r="K287" s="72" t="s">
        <v>4</v>
      </c>
      <c r="L287" s="74"/>
      <c r="M287" s="77" t="str">
        <f>IF(Main[[#This Row],[Tech Start Date]]&lt;1/1/1990,"",IF(Main[[#This Row],[Class]]="C",WORKDAY(Main[[#This Row],[Tech Start Date]],9),IF(Main[[#This Row],[Class]]="B", WORKDAY(Main[[#This Row],[Tech Start Date]],6),IF(Main[[#This Row],[Class]]="A",WORKDAY(Main[[#This Row],[Tech Start Date]],2),""))))</f>
        <v/>
      </c>
      <c r="N287" s="77" t="str">
        <f>IF(Main[[#This Row],[Tech Start Date]]&lt;1/1/1990,"",IF(Main[[#This Row],[Class]]="C",WORKDAY(Main[[#This Row],[Tech Start Date]],19),IF(Main[[#This Row],[Class]]="B", WORKDAY(Main[[#This Row],[Tech Start Date]],12),IF(Main[[#This Row],[Class]]="A",WORKDAY(Main[[#This Row],[Tech Start Date]],4),""))))</f>
        <v/>
      </c>
      <c r="O287" s="77" t="str">
        <f>IF(Main[[#This Row],[Tech Start Date]]&lt;1/1/1990,"",IF(Main[[#This Row],[Class]]="C",WORKDAY(Main[[#This Row],[Tech Start Date]],23),IF(Main[[#This Row],[Class]]="B", WORKDAY(Main[[#This Row],[Tech Start Date]],15),IF(Main[[#This Row],[Class]]="A",WORKDAY(Main[[#This Row],[Tech Start Date]],5),""))))</f>
        <v/>
      </c>
      <c r="P287" s="77" t="str">
        <f>IF(Main[[#This Row],[Tech Start Date]]&lt;1/1/1990,"",IF(Main[[#This Row],[Class]]="C",WORKDAY(Main[[#This Row],[Tech Start Date]],28),IF(Main[[#This Row],[Class]]="B", WORKDAY(Main[[#This Row],[Tech Start Date]],19),IF(Main[[#This Row],[Class]]="A",WORKDAY(Main[[#This Row],[Tech Start Date]],9),""))))</f>
        <v/>
      </c>
      <c r="Q287" s="74">
        <v>40540</v>
      </c>
      <c r="R287" s="74"/>
      <c r="S287" s="72" t="s">
        <v>11</v>
      </c>
      <c r="T287" s="80" t="s">
        <v>4</v>
      </c>
      <c r="U287" s="72" t="s">
        <v>14</v>
      </c>
      <c r="V287" s="72" t="s">
        <v>1918</v>
      </c>
      <c r="W287" s="72" t="s">
        <v>1922</v>
      </c>
      <c r="X287" s="72" t="s">
        <v>2866</v>
      </c>
      <c r="Y287" s="72" t="s">
        <v>3010</v>
      </c>
      <c r="Z287" s="72" t="s">
        <v>4</v>
      </c>
      <c r="AA287" s="146" t="s">
        <v>2866</v>
      </c>
    </row>
    <row r="288" spans="1:27" ht="18.600000000000001" customHeight="1">
      <c r="A288" s="139" t="str">
        <f>IF(priority(Main[[#This Row],[Comments]])&lt;&gt;0, priority(Main[[#This Row],[Comments]]),"")</f>
        <v/>
      </c>
      <c r="B288" s="89" t="s">
        <v>2183</v>
      </c>
      <c r="C288" s="72" t="s">
        <v>4</v>
      </c>
      <c r="D288" s="73" t="s">
        <v>2184</v>
      </c>
      <c r="E288" s="74"/>
      <c r="F288" s="74"/>
      <c r="G288" s="75" t="str">
        <f>IF(stdProdLT(Main[[#This Row],[Comments]])=0.1,"N/A",IF(stdProdLT(Main[[#This Row],[Comments]])=0,"",stdProdLT(Main[[#This Row],[Comments]])))</f>
        <v/>
      </c>
      <c r="H288" s="76" t="str">
        <f>IF(AND(Main[[#This Row],[In Stock Date]]&lt;&gt;"",Main[[#This Row],[Revised Due Date]]&lt;&gt;""),Main[[#This Row],[In Stock Date]]-Main[[#This Row],[Revised Due Date]],"")</f>
        <v/>
      </c>
      <c r="I288" s="72" t="s">
        <v>4</v>
      </c>
      <c r="J288" s="72" t="s">
        <v>4</v>
      </c>
      <c r="K288" s="72" t="s">
        <v>4</v>
      </c>
      <c r="L288" s="74"/>
      <c r="M288" s="77" t="str">
        <f>IF(Main[[#This Row],[Tech Start Date]]&lt;1/1/1990,"",IF(Main[[#This Row],[Class]]="C",WORKDAY(Main[[#This Row],[Tech Start Date]],9),IF(Main[[#This Row],[Class]]="B", WORKDAY(Main[[#This Row],[Tech Start Date]],6),IF(Main[[#This Row],[Class]]="A",WORKDAY(Main[[#This Row],[Tech Start Date]],2),""))))</f>
        <v/>
      </c>
      <c r="N288" s="77" t="str">
        <f>IF(Main[[#This Row],[Tech Start Date]]&lt;1/1/1990,"",IF(Main[[#This Row],[Class]]="C",WORKDAY(Main[[#This Row],[Tech Start Date]],19),IF(Main[[#This Row],[Class]]="B", WORKDAY(Main[[#This Row],[Tech Start Date]],12),IF(Main[[#This Row],[Class]]="A",WORKDAY(Main[[#This Row],[Tech Start Date]],4),""))))</f>
        <v/>
      </c>
      <c r="O288" s="77" t="str">
        <f>IF(Main[[#This Row],[Tech Start Date]]&lt;1/1/1990,"",IF(Main[[#This Row],[Class]]="C",WORKDAY(Main[[#This Row],[Tech Start Date]],23),IF(Main[[#This Row],[Class]]="B", WORKDAY(Main[[#This Row],[Tech Start Date]],15),IF(Main[[#This Row],[Class]]="A",WORKDAY(Main[[#This Row],[Tech Start Date]],5),""))))</f>
        <v/>
      </c>
      <c r="P288" s="77" t="str">
        <f>IF(Main[[#This Row],[Tech Start Date]]&lt;1/1/1990,"",IF(Main[[#This Row],[Class]]="C",WORKDAY(Main[[#This Row],[Tech Start Date]],28),IF(Main[[#This Row],[Class]]="B", WORKDAY(Main[[#This Row],[Tech Start Date]],19),IF(Main[[#This Row],[Class]]="A",WORKDAY(Main[[#This Row],[Tech Start Date]],9),""))))</f>
        <v/>
      </c>
      <c r="Q288" s="74"/>
      <c r="R288" s="74"/>
      <c r="S288" s="72" t="s">
        <v>6</v>
      </c>
      <c r="T288" s="80" t="s">
        <v>4</v>
      </c>
      <c r="U288" s="72" t="s">
        <v>14</v>
      </c>
      <c r="V288" s="72" t="s">
        <v>1917</v>
      </c>
      <c r="W288" s="72" t="s">
        <v>1919</v>
      </c>
      <c r="X288" s="72" t="s">
        <v>306</v>
      </c>
      <c r="Y288" s="72" t="s">
        <v>4</v>
      </c>
      <c r="Z288" s="72" t="s">
        <v>4</v>
      </c>
      <c r="AA288" s="146" t="s">
        <v>4</v>
      </c>
    </row>
    <row r="289" spans="1:27" ht="18.600000000000001" customHeight="1">
      <c r="A289" s="139" t="str">
        <f>IF(priority(Main[[#This Row],[Comments]])&lt;&gt;0, priority(Main[[#This Row],[Comments]]),"")</f>
        <v/>
      </c>
      <c r="B289" s="89" t="s">
        <v>1142</v>
      </c>
      <c r="C289" s="72" t="s">
        <v>93</v>
      </c>
      <c r="D289" s="73" t="s">
        <v>194</v>
      </c>
      <c r="E289" s="74"/>
      <c r="F289" s="74">
        <v>40203</v>
      </c>
      <c r="G289" s="75" t="str">
        <f>IF(stdProdLT(Main[[#This Row],[Comments]])=0.1,"N/A",IF(stdProdLT(Main[[#This Row],[Comments]])=0,"",stdProdLT(Main[[#This Row],[Comments]])))</f>
        <v/>
      </c>
      <c r="H289" s="76" t="str">
        <f>IF(AND(Main[[#This Row],[In Stock Date]]&lt;&gt;"",Main[[#This Row],[Revised Due Date]]&lt;&gt;""),Main[[#This Row],[In Stock Date]]-Main[[#This Row],[Revised Due Date]],"")</f>
        <v/>
      </c>
      <c r="I289" s="72" t="s">
        <v>4</v>
      </c>
      <c r="J289" s="72" t="s">
        <v>4</v>
      </c>
      <c r="K289" s="72" t="s">
        <v>4</v>
      </c>
      <c r="L289" s="74"/>
      <c r="M289" s="77" t="str">
        <f>IF(Main[[#This Row],[Tech Start Date]]&lt;1/1/1990,"",IF(Main[[#This Row],[Class]]="C",WORKDAY(Main[[#This Row],[Tech Start Date]],9),IF(Main[[#This Row],[Class]]="B", WORKDAY(Main[[#This Row],[Tech Start Date]],6),IF(Main[[#This Row],[Class]]="A",WORKDAY(Main[[#This Row],[Tech Start Date]],2),""))))</f>
        <v/>
      </c>
      <c r="N289" s="77" t="str">
        <f>IF(Main[[#This Row],[Tech Start Date]]&lt;1/1/1990,"",IF(Main[[#This Row],[Class]]="C",WORKDAY(Main[[#This Row],[Tech Start Date]],19),IF(Main[[#This Row],[Class]]="B", WORKDAY(Main[[#This Row],[Tech Start Date]],12),IF(Main[[#This Row],[Class]]="A",WORKDAY(Main[[#This Row],[Tech Start Date]],4),""))))</f>
        <v/>
      </c>
      <c r="O289" s="77" t="str">
        <f>IF(Main[[#This Row],[Tech Start Date]]&lt;1/1/1990,"",IF(Main[[#This Row],[Class]]="C",WORKDAY(Main[[#This Row],[Tech Start Date]],23),IF(Main[[#This Row],[Class]]="B", WORKDAY(Main[[#This Row],[Tech Start Date]],15),IF(Main[[#This Row],[Class]]="A",WORKDAY(Main[[#This Row],[Tech Start Date]],5),""))))</f>
        <v/>
      </c>
      <c r="P289" s="77" t="str">
        <f>IF(Main[[#This Row],[Tech Start Date]]&lt;1/1/1990,"",IF(Main[[#This Row],[Class]]="C",WORKDAY(Main[[#This Row],[Tech Start Date]],28),IF(Main[[#This Row],[Class]]="B", WORKDAY(Main[[#This Row],[Tech Start Date]],19),IF(Main[[#This Row],[Class]]="A",WORKDAY(Main[[#This Row],[Tech Start Date]],9),""))))</f>
        <v/>
      </c>
      <c r="Q289" s="74">
        <v>40046</v>
      </c>
      <c r="R289" s="74"/>
      <c r="S289" s="72" t="s">
        <v>11</v>
      </c>
      <c r="T289" s="80" t="s">
        <v>4</v>
      </c>
      <c r="U289" s="72" t="s">
        <v>14</v>
      </c>
      <c r="V289" s="72" t="s">
        <v>1917</v>
      </c>
      <c r="W289" s="72" t="s">
        <v>1923</v>
      </c>
      <c r="X289" s="72" t="s">
        <v>2859</v>
      </c>
      <c r="Y289" s="72" t="s">
        <v>2997</v>
      </c>
      <c r="Z289" s="72" t="s">
        <v>4</v>
      </c>
      <c r="AA289" s="146" t="s">
        <v>2859</v>
      </c>
    </row>
    <row r="290" spans="1:27" ht="18.600000000000001" customHeight="1">
      <c r="A290" s="139" t="str">
        <f>IF(priority(Main[[#This Row],[Comments]])&lt;&gt;0, priority(Main[[#This Row],[Comments]]),"")</f>
        <v/>
      </c>
      <c r="B290" s="89" t="s">
        <v>1143</v>
      </c>
      <c r="C290" s="72" t="s">
        <v>4</v>
      </c>
      <c r="D290" s="73" t="s">
        <v>195</v>
      </c>
      <c r="E290" s="74"/>
      <c r="F290" s="74"/>
      <c r="G290" s="75" t="str">
        <f>IF(stdProdLT(Main[[#This Row],[Comments]])=0.1,"N/A",IF(stdProdLT(Main[[#This Row],[Comments]])=0,"",stdProdLT(Main[[#This Row],[Comments]])))</f>
        <v/>
      </c>
      <c r="H290" s="76" t="str">
        <f>IF(AND(Main[[#This Row],[In Stock Date]]&lt;&gt;"",Main[[#This Row],[Revised Due Date]]&lt;&gt;""),Main[[#This Row],[In Stock Date]]-Main[[#This Row],[Revised Due Date]],"")</f>
        <v/>
      </c>
      <c r="I290" s="72" t="s">
        <v>4</v>
      </c>
      <c r="J290" s="72" t="s">
        <v>4</v>
      </c>
      <c r="K290" s="72" t="s">
        <v>4</v>
      </c>
      <c r="L290" s="74"/>
      <c r="M290" s="77" t="str">
        <f>IF(Main[[#This Row],[Tech Start Date]]&lt;1/1/1990,"",IF(Main[[#This Row],[Class]]="C",WORKDAY(Main[[#This Row],[Tech Start Date]],9),IF(Main[[#This Row],[Class]]="B", WORKDAY(Main[[#This Row],[Tech Start Date]],6),IF(Main[[#This Row],[Class]]="A",WORKDAY(Main[[#This Row],[Tech Start Date]],2),""))))</f>
        <v/>
      </c>
      <c r="N290" s="77" t="str">
        <f>IF(Main[[#This Row],[Tech Start Date]]&lt;1/1/1990,"",IF(Main[[#This Row],[Class]]="C",WORKDAY(Main[[#This Row],[Tech Start Date]],19),IF(Main[[#This Row],[Class]]="B", WORKDAY(Main[[#This Row],[Tech Start Date]],12),IF(Main[[#This Row],[Class]]="A",WORKDAY(Main[[#This Row],[Tech Start Date]],4),""))))</f>
        <v/>
      </c>
      <c r="O290" s="77" t="str">
        <f>IF(Main[[#This Row],[Tech Start Date]]&lt;1/1/1990,"",IF(Main[[#This Row],[Class]]="C",WORKDAY(Main[[#This Row],[Tech Start Date]],23),IF(Main[[#This Row],[Class]]="B", WORKDAY(Main[[#This Row],[Tech Start Date]],15),IF(Main[[#This Row],[Class]]="A",WORKDAY(Main[[#This Row],[Tech Start Date]],5),""))))</f>
        <v/>
      </c>
      <c r="P290" s="77" t="str">
        <f>IF(Main[[#This Row],[Tech Start Date]]&lt;1/1/1990,"",IF(Main[[#This Row],[Class]]="C",WORKDAY(Main[[#This Row],[Tech Start Date]],28),IF(Main[[#This Row],[Class]]="B", WORKDAY(Main[[#This Row],[Tech Start Date]],19),IF(Main[[#This Row],[Class]]="A",WORKDAY(Main[[#This Row],[Tech Start Date]],9),""))))</f>
        <v/>
      </c>
      <c r="Q290" s="74">
        <v>40543</v>
      </c>
      <c r="R290" s="74"/>
      <c r="S290" s="72" t="s">
        <v>11</v>
      </c>
      <c r="T290" s="80" t="s">
        <v>4</v>
      </c>
      <c r="U290" s="72" t="s">
        <v>14</v>
      </c>
      <c r="V290" s="72" t="s">
        <v>1917</v>
      </c>
      <c r="W290" s="72" t="s">
        <v>1928</v>
      </c>
      <c r="X290" s="72" t="s">
        <v>2867</v>
      </c>
      <c r="Y290" s="72" t="s">
        <v>3011</v>
      </c>
      <c r="Z290" s="72" t="s">
        <v>4</v>
      </c>
      <c r="AA290" s="146" t="s">
        <v>2867</v>
      </c>
    </row>
    <row r="291" spans="1:27" ht="18.600000000000001" customHeight="1">
      <c r="A291" s="139" t="str">
        <f>IF(priority(Main[[#This Row],[Comments]])&lt;&gt;0, priority(Main[[#This Row],[Comments]]),"")</f>
        <v/>
      </c>
      <c r="B291" s="89" t="s">
        <v>2574</v>
      </c>
      <c r="C291" s="72" t="s">
        <v>4</v>
      </c>
      <c r="D291" s="73" t="s">
        <v>2575</v>
      </c>
      <c r="E291" s="74">
        <v>40876.146770833337</v>
      </c>
      <c r="F291" s="74"/>
      <c r="G291" s="75" t="str">
        <f>IF(stdProdLT(Main[[#This Row],[Comments]])=0.1,"N/A",IF(stdProdLT(Main[[#This Row],[Comments]])=0,"",stdProdLT(Main[[#This Row],[Comments]])))</f>
        <v/>
      </c>
      <c r="H291" s="76" t="str">
        <f>IF(AND(Main[[#This Row],[In Stock Date]]&lt;&gt;"",Main[[#This Row],[Revised Due Date]]&lt;&gt;""),Main[[#This Row],[In Stock Date]]-Main[[#This Row],[Revised Due Date]],"")</f>
        <v/>
      </c>
      <c r="I291" s="72" t="s">
        <v>4</v>
      </c>
      <c r="J291" s="72" t="s">
        <v>4</v>
      </c>
      <c r="K291" s="72" t="s">
        <v>4</v>
      </c>
      <c r="L291" s="74"/>
      <c r="M291" s="77" t="str">
        <f>IF(Main[[#This Row],[Tech Start Date]]&lt;1/1/1990,"",IF(Main[[#This Row],[Class]]="C",WORKDAY(Main[[#This Row],[Tech Start Date]],9),IF(Main[[#This Row],[Class]]="B", WORKDAY(Main[[#This Row],[Tech Start Date]],6),IF(Main[[#This Row],[Class]]="A",WORKDAY(Main[[#This Row],[Tech Start Date]],2),""))))</f>
        <v/>
      </c>
      <c r="N291" s="77" t="str">
        <f>IF(Main[[#This Row],[Tech Start Date]]&lt;1/1/1990,"",IF(Main[[#This Row],[Class]]="C",WORKDAY(Main[[#This Row],[Tech Start Date]],19),IF(Main[[#This Row],[Class]]="B", WORKDAY(Main[[#This Row],[Tech Start Date]],12),IF(Main[[#This Row],[Class]]="A",WORKDAY(Main[[#This Row],[Tech Start Date]],4),""))))</f>
        <v/>
      </c>
      <c r="O291" s="77" t="str">
        <f>IF(Main[[#This Row],[Tech Start Date]]&lt;1/1/1990,"",IF(Main[[#This Row],[Class]]="C",WORKDAY(Main[[#This Row],[Tech Start Date]],23),IF(Main[[#This Row],[Class]]="B", WORKDAY(Main[[#This Row],[Tech Start Date]],15),IF(Main[[#This Row],[Class]]="A",WORKDAY(Main[[#This Row],[Tech Start Date]],5),""))))</f>
        <v/>
      </c>
      <c r="P291" s="77" t="str">
        <f>IF(Main[[#This Row],[Tech Start Date]]&lt;1/1/1990,"",IF(Main[[#This Row],[Class]]="C",WORKDAY(Main[[#This Row],[Tech Start Date]],28),IF(Main[[#This Row],[Class]]="B", WORKDAY(Main[[#This Row],[Tech Start Date]],19),IF(Main[[#This Row],[Class]]="A",WORKDAY(Main[[#This Row],[Tech Start Date]],9),""))))</f>
        <v/>
      </c>
      <c r="Q291" s="74">
        <v>40882</v>
      </c>
      <c r="R291" s="74"/>
      <c r="S291" s="72" t="s">
        <v>6</v>
      </c>
      <c r="T291" s="80" t="s">
        <v>4</v>
      </c>
      <c r="U291" s="72" t="s">
        <v>7</v>
      </c>
      <c r="V291" s="72" t="s">
        <v>1917</v>
      </c>
      <c r="W291" s="72" t="s">
        <v>4</v>
      </c>
      <c r="X291" s="72" t="s">
        <v>2828</v>
      </c>
      <c r="Y291" s="72" t="s">
        <v>2944</v>
      </c>
      <c r="Z291" s="72" t="s">
        <v>4</v>
      </c>
      <c r="AA291" s="146" t="s">
        <v>2828</v>
      </c>
    </row>
    <row r="292" spans="1:27" ht="18.600000000000001" customHeight="1">
      <c r="A292" s="139" t="str">
        <f>IF(priority(Main[[#This Row],[Comments]])&lt;&gt;0, priority(Main[[#This Row],[Comments]]),"")</f>
        <v/>
      </c>
      <c r="B292" s="89" t="s">
        <v>1144</v>
      </c>
      <c r="C292" s="72" t="s">
        <v>4</v>
      </c>
      <c r="D292" s="73" t="s">
        <v>196</v>
      </c>
      <c r="E292" s="74"/>
      <c r="F292" s="74"/>
      <c r="G292" s="75" t="str">
        <f>IF(stdProdLT(Main[[#This Row],[Comments]])=0.1,"N/A",IF(stdProdLT(Main[[#This Row],[Comments]])=0,"",stdProdLT(Main[[#This Row],[Comments]])))</f>
        <v/>
      </c>
      <c r="H292" s="76" t="str">
        <f>IF(AND(Main[[#This Row],[In Stock Date]]&lt;&gt;"",Main[[#This Row],[Revised Due Date]]&lt;&gt;""),Main[[#This Row],[In Stock Date]]-Main[[#This Row],[Revised Due Date]],"")</f>
        <v/>
      </c>
      <c r="I292" s="72" t="s">
        <v>4</v>
      </c>
      <c r="J292" s="72" t="s">
        <v>4</v>
      </c>
      <c r="K292" s="72" t="s">
        <v>4</v>
      </c>
      <c r="L292" s="74"/>
      <c r="M292" s="77" t="str">
        <f>IF(Main[[#This Row],[Tech Start Date]]&lt;1/1/1990,"",IF(Main[[#This Row],[Class]]="C",WORKDAY(Main[[#This Row],[Tech Start Date]],9),IF(Main[[#This Row],[Class]]="B", WORKDAY(Main[[#This Row],[Tech Start Date]],6),IF(Main[[#This Row],[Class]]="A",WORKDAY(Main[[#This Row],[Tech Start Date]],2),""))))</f>
        <v/>
      </c>
      <c r="N292" s="77" t="str">
        <f>IF(Main[[#This Row],[Tech Start Date]]&lt;1/1/1990,"",IF(Main[[#This Row],[Class]]="C",WORKDAY(Main[[#This Row],[Tech Start Date]],19),IF(Main[[#This Row],[Class]]="B", WORKDAY(Main[[#This Row],[Tech Start Date]],12),IF(Main[[#This Row],[Class]]="A",WORKDAY(Main[[#This Row],[Tech Start Date]],4),""))))</f>
        <v/>
      </c>
      <c r="O292" s="77" t="str">
        <f>IF(Main[[#This Row],[Tech Start Date]]&lt;1/1/1990,"",IF(Main[[#This Row],[Class]]="C",WORKDAY(Main[[#This Row],[Tech Start Date]],23),IF(Main[[#This Row],[Class]]="B", WORKDAY(Main[[#This Row],[Tech Start Date]],15),IF(Main[[#This Row],[Class]]="A",WORKDAY(Main[[#This Row],[Tech Start Date]],5),""))))</f>
        <v/>
      </c>
      <c r="P292" s="77" t="str">
        <f>IF(Main[[#This Row],[Tech Start Date]]&lt;1/1/1990,"",IF(Main[[#This Row],[Class]]="C",WORKDAY(Main[[#This Row],[Tech Start Date]],28),IF(Main[[#This Row],[Class]]="B", WORKDAY(Main[[#This Row],[Tech Start Date]],19),IF(Main[[#This Row],[Class]]="A",WORKDAY(Main[[#This Row],[Tech Start Date]],9),""))))</f>
        <v/>
      </c>
      <c r="Q292" s="74"/>
      <c r="R292" s="74"/>
      <c r="S292" s="72" t="s">
        <v>17</v>
      </c>
      <c r="T292" s="80" t="s">
        <v>4</v>
      </c>
      <c r="U292" s="72" t="s">
        <v>14</v>
      </c>
      <c r="V292" s="72" t="s">
        <v>1920</v>
      </c>
      <c r="W292" s="72" t="s">
        <v>1922</v>
      </c>
      <c r="X292" s="72" t="s">
        <v>554</v>
      </c>
      <c r="Y292" s="72" t="s">
        <v>2958</v>
      </c>
      <c r="Z292" s="72" t="s">
        <v>4</v>
      </c>
      <c r="AA292" s="146" t="s">
        <v>554</v>
      </c>
    </row>
    <row r="293" spans="1:27" ht="18.600000000000001" customHeight="1">
      <c r="A293" s="139" t="str">
        <f>IF(priority(Main[[#This Row],[Comments]])&lt;&gt;0, priority(Main[[#This Row],[Comments]]),"")</f>
        <v/>
      </c>
      <c r="B293" s="89" t="s">
        <v>1145</v>
      </c>
      <c r="C293" s="72" t="s">
        <v>197</v>
      </c>
      <c r="D293" s="73" t="s">
        <v>198</v>
      </c>
      <c r="E293" s="74"/>
      <c r="F293" s="74"/>
      <c r="G293" s="75" t="str">
        <f>IF(stdProdLT(Main[[#This Row],[Comments]])=0.1,"N/A",IF(stdProdLT(Main[[#This Row],[Comments]])=0,"",stdProdLT(Main[[#This Row],[Comments]])))</f>
        <v/>
      </c>
      <c r="H293" s="76" t="str">
        <f>IF(AND(Main[[#This Row],[In Stock Date]]&lt;&gt;"",Main[[#This Row],[Revised Due Date]]&lt;&gt;""),Main[[#This Row],[In Stock Date]]-Main[[#This Row],[Revised Due Date]],"")</f>
        <v/>
      </c>
      <c r="I293" s="72" t="s">
        <v>4</v>
      </c>
      <c r="J293" s="72" t="s">
        <v>4</v>
      </c>
      <c r="K293" s="81" t="s">
        <v>4</v>
      </c>
      <c r="L293" s="74"/>
      <c r="M293" s="77" t="str">
        <f>IF(Main[[#This Row],[Tech Start Date]]&lt;1/1/1990,"",IF(Main[[#This Row],[Class]]="C",WORKDAY(Main[[#This Row],[Tech Start Date]],9),IF(Main[[#This Row],[Class]]="B", WORKDAY(Main[[#This Row],[Tech Start Date]],6),IF(Main[[#This Row],[Class]]="A",WORKDAY(Main[[#This Row],[Tech Start Date]],2),""))))</f>
        <v/>
      </c>
      <c r="N293" s="77" t="str">
        <f>IF(Main[[#This Row],[Tech Start Date]]&lt;1/1/1990,"",IF(Main[[#This Row],[Class]]="C",WORKDAY(Main[[#This Row],[Tech Start Date]],19),IF(Main[[#This Row],[Class]]="B", WORKDAY(Main[[#This Row],[Tech Start Date]],12),IF(Main[[#This Row],[Class]]="A",WORKDAY(Main[[#This Row],[Tech Start Date]],4),""))))</f>
        <v/>
      </c>
      <c r="O293" s="77" t="str">
        <f>IF(Main[[#This Row],[Tech Start Date]]&lt;1/1/1990,"",IF(Main[[#This Row],[Class]]="C",WORKDAY(Main[[#This Row],[Tech Start Date]],23),IF(Main[[#This Row],[Class]]="B", WORKDAY(Main[[#This Row],[Tech Start Date]],15),IF(Main[[#This Row],[Class]]="A",WORKDAY(Main[[#This Row],[Tech Start Date]],5),""))))</f>
        <v/>
      </c>
      <c r="P293" s="77" t="str">
        <f>IF(Main[[#This Row],[Tech Start Date]]&lt;1/1/1990,"",IF(Main[[#This Row],[Class]]="C",WORKDAY(Main[[#This Row],[Tech Start Date]],28),IF(Main[[#This Row],[Class]]="B", WORKDAY(Main[[#This Row],[Tech Start Date]],19),IF(Main[[#This Row],[Class]]="A",WORKDAY(Main[[#This Row],[Tech Start Date]],9),""))))</f>
        <v/>
      </c>
      <c r="Q293" s="74">
        <v>40165</v>
      </c>
      <c r="R293" s="74"/>
      <c r="S293" s="72" t="s">
        <v>11</v>
      </c>
      <c r="T293" s="80" t="s">
        <v>4</v>
      </c>
      <c r="U293" s="72" t="s">
        <v>14</v>
      </c>
      <c r="V293" s="72" t="s">
        <v>1927</v>
      </c>
      <c r="W293" s="72" t="s">
        <v>1923</v>
      </c>
      <c r="X293" s="72" t="s">
        <v>885</v>
      </c>
      <c r="Y293" s="72" t="s">
        <v>2969</v>
      </c>
      <c r="Z293" s="72" t="s">
        <v>4</v>
      </c>
      <c r="AA293" s="146" t="s">
        <v>885</v>
      </c>
    </row>
    <row r="294" spans="1:27" ht="18.600000000000001" customHeight="1">
      <c r="A294" s="139" t="str">
        <f>IF(priority(Main[[#This Row],[Comments]])&lt;&gt;0, priority(Main[[#This Row],[Comments]]),"")</f>
        <v/>
      </c>
      <c r="B294" s="89" t="s">
        <v>1721</v>
      </c>
      <c r="C294" s="72" t="s">
        <v>4</v>
      </c>
      <c r="D294" s="73" t="s">
        <v>774</v>
      </c>
      <c r="E294" s="74"/>
      <c r="F294" s="74"/>
      <c r="G294" s="75" t="str">
        <f>IF(stdProdLT(Main[[#This Row],[Comments]])=0.1,"N/A",IF(stdProdLT(Main[[#This Row],[Comments]])=0,"",stdProdLT(Main[[#This Row],[Comments]])))</f>
        <v/>
      </c>
      <c r="H294" s="76" t="str">
        <f>IF(AND(Main[[#This Row],[In Stock Date]]&lt;&gt;"",Main[[#This Row],[Revised Due Date]]&lt;&gt;""),Main[[#This Row],[In Stock Date]]-Main[[#This Row],[Revised Due Date]],"")</f>
        <v/>
      </c>
      <c r="I294" s="72" t="s">
        <v>4</v>
      </c>
      <c r="J294" s="72" t="s">
        <v>28</v>
      </c>
      <c r="K294" s="81" t="s">
        <v>1929</v>
      </c>
      <c r="L294" s="74"/>
      <c r="M294" s="77" t="str">
        <f>IF(Main[[#This Row],[Tech Start Date]]&lt;1/1/1990,"",IF(Main[[#This Row],[Class]]="C",WORKDAY(Main[[#This Row],[Tech Start Date]],9),IF(Main[[#This Row],[Class]]="B", WORKDAY(Main[[#This Row],[Tech Start Date]],6),IF(Main[[#This Row],[Class]]="A",WORKDAY(Main[[#This Row],[Tech Start Date]],2),""))))</f>
        <v/>
      </c>
      <c r="N294" s="77" t="str">
        <f>IF(Main[[#This Row],[Tech Start Date]]&lt;1/1/1990,"",IF(Main[[#This Row],[Class]]="C",WORKDAY(Main[[#This Row],[Tech Start Date]],19),IF(Main[[#This Row],[Class]]="B", WORKDAY(Main[[#This Row],[Tech Start Date]],12),IF(Main[[#This Row],[Class]]="A",WORKDAY(Main[[#This Row],[Tech Start Date]],4),""))))</f>
        <v/>
      </c>
      <c r="O294" s="77" t="str">
        <f>IF(Main[[#This Row],[Tech Start Date]]&lt;1/1/1990,"",IF(Main[[#This Row],[Class]]="C",WORKDAY(Main[[#This Row],[Tech Start Date]],23),IF(Main[[#This Row],[Class]]="B", WORKDAY(Main[[#This Row],[Tech Start Date]],15),IF(Main[[#This Row],[Class]]="A",WORKDAY(Main[[#This Row],[Tech Start Date]],5),""))))</f>
        <v/>
      </c>
      <c r="P294" s="77" t="str">
        <f>IF(Main[[#This Row],[Tech Start Date]]&lt;1/1/1990,"",IF(Main[[#This Row],[Class]]="C",WORKDAY(Main[[#This Row],[Tech Start Date]],28),IF(Main[[#This Row],[Class]]="B", WORKDAY(Main[[#This Row],[Tech Start Date]],19),IF(Main[[#This Row],[Class]]="A",WORKDAY(Main[[#This Row],[Tech Start Date]],9),""))))</f>
        <v/>
      </c>
      <c r="Q294" s="74">
        <v>40633</v>
      </c>
      <c r="R294" s="74"/>
      <c r="S294" s="72" t="s">
        <v>17</v>
      </c>
      <c r="T294" s="80" t="s">
        <v>4</v>
      </c>
      <c r="U294" s="72" t="s">
        <v>14</v>
      </c>
      <c r="V294" s="72" t="s">
        <v>1917</v>
      </c>
      <c r="W294" s="72" t="s">
        <v>1922</v>
      </c>
      <c r="X294" s="72" t="s">
        <v>129</v>
      </c>
      <c r="Y294" s="72" t="s">
        <v>2939</v>
      </c>
      <c r="Z294" s="72" t="s">
        <v>129</v>
      </c>
      <c r="AA294" s="146" t="s">
        <v>129</v>
      </c>
    </row>
    <row r="295" spans="1:27" ht="18.600000000000001" customHeight="1">
      <c r="A295" s="139" t="str">
        <f>IF(priority(Main[[#This Row],[Comments]])&lt;&gt;0, priority(Main[[#This Row],[Comments]]),"")</f>
        <v/>
      </c>
      <c r="B295" s="89" t="s">
        <v>1147</v>
      </c>
      <c r="C295" s="72" t="s">
        <v>93</v>
      </c>
      <c r="D295" s="73" t="s">
        <v>200</v>
      </c>
      <c r="E295" s="74"/>
      <c r="F295" s="74"/>
      <c r="G295" s="75" t="str">
        <f>IF(stdProdLT(Main[[#This Row],[Comments]])=0.1,"N/A",IF(stdProdLT(Main[[#This Row],[Comments]])=0,"",stdProdLT(Main[[#This Row],[Comments]])))</f>
        <v/>
      </c>
      <c r="H295" s="76" t="str">
        <f>IF(AND(Main[[#This Row],[In Stock Date]]&lt;&gt;"",Main[[#This Row],[Revised Due Date]]&lt;&gt;""),Main[[#This Row],[In Stock Date]]-Main[[#This Row],[Revised Due Date]],"")</f>
        <v/>
      </c>
      <c r="I295" s="72" t="s">
        <v>4</v>
      </c>
      <c r="J295" s="72" t="s">
        <v>4</v>
      </c>
      <c r="K295" s="72" t="s">
        <v>4</v>
      </c>
      <c r="L295" s="74"/>
      <c r="M295" s="77" t="str">
        <f>IF(Main[[#This Row],[Tech Start Date]]&lt;1/1/1990,"",IF(Main[[#This Row],[Class]]="C",WORKDAY(Main[[#This Row],[Tech Start Date]],9),IF(Main[[#This Row],[Class]]="B", WORKDAY(Main[[#This Row],[Tech Start Date]],6),IF(Main[[#This Row],[Class]]="A",WORKDAY(Main[[#This Row],[Tech Start Date]],2),""))))</f>
        <v/>
      </c>
      <c r="N295" s="77" t="str">
        <f>IF(Main[[#This Row],[Tech Start Date]]&lt;1/1/1990,"",IF(Main[[#This Row],[Class]]="C",WORKDAY(Main[[#This Row],[Tech Start Date]],19),IF(Main[[#This Row],[Class]]="B", WORKDAY(Main[[#This Row],[Tech Start Date]],12),IF(Main[[#This Row],[Class]]="A",WORKDAY(Main[[#This Row],[Tech Start Date]],4),""))))</f>
        <v/>
      </c>
      <c r="O295" s="77" t="str">
        <f>IF(Main[[#This Row],[Tech Start Date]]&lt;1/1/1990,"",IF(Main[[#This Row],[Class]]="C",WORKDAY(Main[[#This Row],[Tech Start Date]],23),IF(Main[[#This Row],[Class]]="B", WORKDAY(Main[[#This Row],[Tech Start Date]],15),IF(Main[[#This Row],[Class]]="A",WORKDAY(Main[[#This Row],[Tech Start Date]],5),""))))</f>
        <v/>
      </c>
      <c r="P295" s="77" t="str">
        <f>IF(Main[[#This Row],[Tech Start Date]]&lt;1/1/1990,"",IF(Main[[#This Row],[Class]]="C",WORKDAY(Main[[#This Row],[Tech Start Date]],28),IF(Main[[#This Row],[Class]]="B", WORKDAY(Main[[#This Row],[Tech Start Date]],19),IF(Main[[#This Row],[Class]]="A",WORKDAY(Main[[#This Row],[Tech Start Date]],9),""))))</f>
        <v/>
      </c>
      <c r="Q295" s="74"/>
      <c r="R295" s="74"/>
      <c r="S295" s="72" t="s">
        <v>11</v>
      </c>
      <c r="T295" s="80" t="s">
        <v>4</v>
      </c>
      <c r="U295" s="72" t="s">
        <v>14</v>
      </c>
      <c r="V295" s="72" t="s">
        <v>1927</v>
      </c>
      <c r="W295" s="72" t="s">
        <v>1923</v>
      </c>
      <c r="X295" s="72" t="s">
        <v>306</v>
      </c>
      <c r="Y295" s="72" t="s">
        <v>2947</v>
      </c>
      <c r="Z295" s="72" t="s">
        <v>4</v>
      </c>
      <c r="AA295" s="146" t="s">
        <v>3388</v>
      </c>
    </row>
    <row r="296" spans="1:27" ht="18.600000000000001" customHeight="1">
      <c r="A296" s="139" t="str">
        <f>IF(priority(Main[[#This Row],[Comments]])&lt;&gt;0, priority(Main[[#This Row],[Comments]]),"")</f>
        <v/>
      </c>
      <c r="B296" s="89" t="s">
        <v>1148</v>
      </c>
      <c r="C296" s="72" t="s">
        <v>42</v>
      </c>
      <c r="D296" s="73" t="s">
        <v>201</v>
      </c>
      <c r="E296" s="74">
        <v>39952.329340277778</v>
      </c>
      <c r="F296" s="74"/>
      <c r="G296" s="75" t="str">
        <f>IF(stdProdLT(Main[[#This Row],[Comments]])=0.1,"N/A",IF(stdProdLT(Main[[#This Row],[Comments]])=0,"",stdProdLT(Main[[#This Row],[Comments]])))</f>
        <v/>
      </c>
      <c r="H296" s="76" t="str">
        <f>IF(AND(Main[[#This Row],[In Stock Date]]&lt;&gt;"",Main[[#This Row],[Revised Due Date]]&lt;&gt;""),Main[[#This Row],[In Stock Date]]-Main[[#This Row],[Revised Due Date]],"")</f>
        <v/>
      </c>
      <c r="I296" s="72" t="s">
        <v>4</v>
      </c>
      <c r="J296" s="72" t="s">
        <v>4</v>
      </c>
      <c r="K296" s="72" t="s">
        <v>4</v>
      </c>
      <c r="L296" s="74"/>
      <c r="M296" s="77" t="str">
        <f>IF(Main[[#This Row],[Tech Start Date]]&lt;1/1/1990,"",IF(Main[[#This Row],[Class]]="C",WORKDAY(Main[[#This Row],[Tech Start Date]],9),IF(Main[[#This Row],[Class]]="B", WORKDAY(Main[[#This Row],[Tech Start Date]],6),IF(Main[[#This Row],[Class]]="A",WORKDAY(Main[[#This Row],[Tech Start Date]],2),""))))</f>
        <v/>
      </c>
      <c r="N296" s="77" t="str">
        <f>IF(Main[[#This Row],[Tech Start Date]]&lt;1/1/1990,"",IF(Main[[#This Row],[Class]]="C",WORKDAY(Main[[#This Row],[Tech Start Date]],19),IF(Main[[#This Row],[Class]]="B", WORKDAY(Main[[#This Row],[Tech Start Date]],12),IF(Main[[#This Row],[Class]]="A",WORKDAY(Main[[#This Row],[Tech Start Date]],4),""))))</f>
        <v/>
      </c>
      <c r="O296" s="77" t="str">
        <f>IF(Main[[#This Row],[Tech Start Date]]&lt;1/1/1990,"",IF(Main[[#This Row],[Class]]="C",WORKDAY(Main[[#This Row],[Tech Start Date]],23),IF(Main[[#This Row],[Class]]="B", WORKDAY(Main[[#This Row],[Tech Start Date]],15),IF(Main[[#This Row],[Class]]="A",WORKDAY(Main[[#This Row],[Tech Start Date]],5),""))))</f>
        <v/>
      </c>
      <c r="P296" s="77" t="str">
        <f>IF(Main[[#This Row],[Tech Start Date]]&lt;1/1/1990,"",IF(Main[[#This Row],[Class]]="C",WORKDAY(Main[[#This Row],[Tech Start Date]],28),IF(Main[[#This Row],[Class]]="B", WORKDAY(Main[[#This Row],[Tech Start Date]],19),IF(Main[[#This Row],[Class]]="A",WORKDAY(Main[[#This Row],[Tech Start Date]],9),""))))</f>
        <v/>
      </c>
      <c r="Q296" s="74"/>
      <c r="R296" s="74"/>
      <c r="S296" s="72" t="s">
        <v>17</v>
      </c>
      <c r="T296" s="80" t="s">
        <v>4</v>
      </c>
      <c r="U296" s="72" t="s">
        <v>7</v>
      </c>
      <c r="V296" s="72" t="s">
        <v>1920</v>
      </c>
      <c r="W296" s="72" t="s">
        <v>4</v>
      </c>
      <c r="X296" s="72" t="s">
        <v>399</v>
      </c>
      <c r="Y296" s="72" t="s">
        <v>4</v>
      </c>
      <c r="Z296" s="72" t="s">
        <v>4</v>
      </c>
      <c r="AA296" s="146" t="s">
        <v>3410</v>
      </c>
    </row>
    <row r="297" spans="1:27" ht="18.600000000000001" customHeight="1">
      <c r="A297" s="139" t="str">
        <f>IF(priority(Main[[#This Row],[Comments]])&lt;&gt;0, priority(Main[[#This Row],[Comments]]),"")</f>
        <v/>
      </c>
      <c r="B297" s="89" t="s">
        <v>1149</v>
      </c>
      <c r="C297" s="72" t="s">
        <v>58</v>
      </c>
      <c r="D297" s="73" t="s">
        <v>202</v>
      </c>
      <c r="E297" s="74"/>
      <c r="F297" s="74">
        <v>40697</v>
      </c>
      <c r="G297" s="75" t="str">
        <f>IF(stdProdLT(Main[[#This Row],[Comments]])=0.1,"N/A",IF(stdProdLT(Main[[#This Row],[Comments]])=0,"",stdProdLT(Main[[#This Row],[Comments]])))</f>
        <v/>
      </c>
      <c r="H297" s="76" t="str">
        <f>IF(AND(Main[[#This Row],[In Stock Date]]&lt;&gt;"",Main[[#This Row],[Revised Due Date]]&lt;&gt;""),Main[[#This Row],[In Stock Date]]-Main[[#This Row],[Revised Due Date]],"")</f>
        <v/>
      </c>
      <c r="I297" s="72" t="s">
        <v>4</v>
      </c>
      <c r="J297" s="72" t="s">
        <v>4</v>
      </c>
      <c r="K297" s="72" t="s">
        <v>4</v>
      </c>
      <c r="L297" s="74"/>
      <c r="M297" s="77" t="str">
        <f>IF(Main[[#This Row],[Tech Start Date]]&lt;1/1/1990,"",IF(Main[[#This Row],[Class]]="C",WORKDAY(Main[[#This Row],[Tech Start Date]],9),IF(Main[[#This Row],[Class]]="B", WORKDAY(Main[[#This Row],[Tech Start Date]],6),IF(Main[[#This Row],[Class]]="A",WORKDAY(Main[[#This Row],[Tech Start Date]],2),""))))</f>
        <v/>
      </c>
      <c r="N297" s="77" t="str">
        <f>IF(Main[[#This Row],[Tech Start Date]]&lt;1/1/1990,"",IF(Main[[#This Row],[Class]]="C",WORKDAY(Main[[#This Row],[Tech Start Date]],19),IF(Main[[#This Row],[Class]]="B", WORKDAY(Main[[#This Row],[Tech Start Date]],12),IF(Main[[#This Row],[Class]]="A",WORKDAY(Main[[#This Row],[Tech Start Date]],4),""))))</f>
        <v/>
      </c>
      <c r="O297" s="77" t="str">
        <f>IF(Main[[#This Row],[Tech Start Date]]&lt;1/1/1990,"",IF(Main[[#This Row],[Class]]="C",WORKDAY(Main[[#This Row],[Tech Start Date]],23),IF(Main[[#This Row],[Class]]="B", WORKDAY(Main[[#This Row],[Tech Start Date]],15),IF(Main[[#This Row],[Class]]="A",WORKDAY(Main[[#This Row],[Tech Start Date]],5),""))))</f>
        <v/>
      </c>
      <c r="P297" s="77" t="str">
        <f>IF(Main[[#This Row],[Tech Start Date]]&lt;1/1/1990,"",IF(Main[[#This Row],[Class]]="C",WORKDAY(Main[[#This Row],[Tech Start Date]],28),IF(Main[[#This Row],[Class]]="B", WORKDAY(Main[[#This Row],[Tech Start Date]],19),IF(Main[[#This Row],[Class]]="A",WORKDAY(Main[[#This Row],[Tech Start Date]],9),""))))</f>
        <v/>
      </c>
      <c r="Q297" s="74">
        <v>40539</v>
      </c>
      <c r="R297" s="74"/>
      <c r="S297" s="72" t="s">
        <v>11</v>
      </c>
      <c r="T297" s="80" t="s">
        <v>4</v>
      </c>
      <c r="U297" s="72" t="s">
        <v>14</v>
      </c>
      <c r="V297" s="72" t="s">
        <v>1917</v>
      </c>
      <c r="W297" s="72" t="s">
        <v>1923</v>
      </c>
      <c r="X297" s="72" t="s">
        <v>2835</v>
      </c>
      <c r="Y297" s="72" t="s">
        <v>2957</v>
      </c>
      <c r="Z297" s="72" t="s">
        <v>4</v>
      </c>
      <c r="AA297" s="146" t="s">
        <v>2835</v>
      </c>
    </row>
    <row r="298" spans="1:27" ht="18.600000000000001" customHeight="1">
      <c r="A298" s="139" t="str">
        <f>IF(priority(Main[[#This Row],[Comments]])&lt;&gt;0, priority(Main[[#This Row],[Comments]]),"")</f>
        <v/>
      </c>
      <c r="B298" s="89" t="s">
        <v>1150</v>
      </c>
      <c r="C298" s="72" t="s">
        <v>203</v>
      </c>
      <c r="D298" s="73" t="s">
        <v>204</v>
      </c>
      <c r="E298" s="74"/>
      <c r="F298" s="74"/>
      <c r="G298" s="75" t="str">
        <f>IF(stdProdLT(Main[[#This Row],[Comments]])=0.1,"N/A",IF(stdProdLT(Main[[#This Row],[Comments]])=0,"",stdProdLT(Main[[#This Row],[Comments]])))</f>
        <v/>
      </c>
      <c r="H298" s="76" t="str">
        <f>IF(AND(Main[[#This Row],[In Stock Date]]&lt;&gt;"",Main[[#This Row],[Revised Due Date]]&lt;&gt;""),Main[[#This Row],[In Stock Date]]-Main[[#This Row],[Revised Due Date]],"")</f>
        <v/>
      </c>
      <c r="I298" s="72" t="s">
        <v>4</v>
      </c>
      <c r="J298" s="72" t="s">
        <v>4</v>
      </c>
      <c r="K298" s="72" t="s">
        <v>4</v>
      </c>
      <c r="L298" s="74"/>
      <c r="M298" s="77" t="str">
        <f>IF(Main[[#This Row],[Tech Start Date]]&lt;1/1/1990,"",IF(Main[[#This Row],[Class]]="C",WORKDAY(Main[[#This Row],[Tech Start Date]],9),IF(Main[[#This Row],[Class]]="B", WORKDAY(Main[[#This Row],[Tech Start Date]],6),IF(Main[[#This Row],[Class]]="A",WORKDAY(Main[[#This Row],[Tech Start Date]],2),""))))</f>
        <v/>
      </c>
      <c r="N298" s="77" t="str">
        <f>IF(Main[[#This Row],[Tech Start Date]]&lt;1/1/1990,"",IF(Main[[#This Row],[Class]]="C",WORKDAY(Main[[#This Row],[Tech Start Date]],19),IF(Main[[#This Row],[Class]]="B", WORKDAY(Main[[#This Row],[Tech Start Date]],12),IF(Main[[#This Row],[Class]]="A",WORKDAY(Main[[#This Row],[Tech Start Date]],4),""))))</f>
        <v/>
      </c>
      <c r="O298" s="77" t="str">
        <f>IF(Main[[#This Row],[Tech Start Date]]&lt;1/1/1990,"",IF(Main[[#This Row],[Class]]="C",WORKDAY(Main[[#This Row],[Tech Start Date]],23),IF(Main[[#This Row],[Class]]="B", WORKDAY(Main[[#This Row],[Tech Start Date]],15),IF(Main[[#This Row],[Class]]="A",WORKDAY(Main[[#This Row],[Tech Start Date]],5),""))))</f>
        <v/>
      </c>
      <c r="P298" s="77" t="str">
        <f>IF(Main[[#This Row],[Tech Start Date]]&lt;1/1/1990,"",IF(Main[[#This Row],[Class]]="C",WORKDAY(Main[[#This Row],[Tech Start Date]],28),IF(Main[[#This Row],[Class]]="B", WORKDAY(Main[[#This Row],[Tech Start Date]],19),IF(Main[[#This Row],[Class]]="A",WORKDAY(Main[[#This Row],[Tech Start Date]],9),""))))</f>
        <v/>
      </c>
      <c r="Q298" s="74">
        <v>40302</v>
      </c>
      <c r="R298" s="74"/>
      <c r="S298" s="72" t="s">
        <v>11</v>
      </c>
      <c r="T298" s="80" t="s">
        <v>4</v>
      </c>
      <c r="U298" s="72" t="s">
        <v>14</v>
      </c>
      <c r="V298" s="72" t="s">
        <v>1917</v>
      </c>
      <c r="W298" s="72" t="s">
        <v>1919</v>
      </c>
      <c r="X298" s="72" t="s">
        <v>2860</v>
      </c>
      <c r="Y298" s="72" t="s">
        <v>4</v>
      </c>
      <c r="Z298" s="72" t="s">
        <v>4</v>
      </c>
      <c r="AA298" s="146" t="s">
        <v>2860</v>
      </c>
    </row>
    <row r="299" spans="1:27" ht="18.600000000000001" customHeight="1">
      <c r="A299" s="139" t="str">
        <f>IF(priority(Main[[#This Row],[Comments]])&lt;&gt;0, priority(Main[[#This Row],[Comments]]),"")</f>
        <v/>
      </c>
      <c r="B299" s="89" t="s">
        <v>2426</v>
      </c>
      <c r="C299" s="72" t="s">
        <v>4</v>
      </c>
      <c r="D299" s="73" t="s">
        <v>2665</v>
      </c>
      <c r="E299" s="74">
        <v>40842.390289351853</v>
      </c>
      <c r="F299" s="74"/>
      <c r="G299" s="75" t="str">
        <f>IF(stdProdLT(Main[[#This Row],[Comments]])=0.1,"N/A",IF(stdProdLT(Main[[#This Row],[Comments]])=0,"",stdProdLT(Main[[#This Row],[Comments]])))</f>
        <v/>
      </c>
      <c r="H299" s="76" t="str">
        <f>IF(AND(Main[[#This Row],[In Stock Date]]&lt;&gt;"",Main[[#This Row],[Revised Due Date]]&lt;&gt;""),Main[[#This Row],[In Stock Date]]-Main[[#This Row],[Revised Due Date]],"")</f>
        <v/>
      </c>
      <c r="I299" s="72" t="s">
        <v>4</v>
      </c>
      <c r="J299" s="72" t="s">
        <v>4</v>
      </c>
      <c r="K299" s="81" t="s">
        <v>4</v>
      </c>
      <c r="L299" s="74"/>
      <c r="M299" s="77" t="str">
        <f>IF(Main[[#This Row],[Tech Start Date]]&lt;1/1/1990,"",IF(Main[[#This Row],[Class]]="C",WORKDAY(Main[[#This Row],[Tech Start Date]],9),IF(Main[[#This Row],[Class]]="B", WORKDAY(Main[[#This Row],[Tech Start Date]],6),IF(Main[[#This Row],[Class]]="A",WORKDAY(Main[[#This Row],[Tech Start Date]],2),""))))</f>
        <v/>
      </c>
      <c r="N299" s="77" t="str">
        <f>IF(Main[[#This Row],[Tech Start Date]]&lt;1/1/1990,"",IF(Main[[#This Row],[Class]]="C",WORKDAY(Main[[#This Row],[Tech Start Date]],19),IF(Main[[#This Row],[Class]]="B", WORKDAY(Main[[#This Row],[Tech Start Date]],12),IF(Main[[#This Row],[Class]]="A",WORKDAY(Main[[#This Row],[Tech Start Date]],4),""))))</f>
        <v/>
      </c>
      <c r="O299" s="77" t="str">
        <f>IF(Main[[#This Row],[Tech Start Date]]&lt;1/1/1990,"",IF(Main[[#This Row],[Class]]="C",WORKDAY(Main[[#This Row],[Tech Start Date]],23),IF(Main[[#This Row],[Class]]="B", WORKDAY(Main[[#This Row],[Tech Start Date]],15),IF(Main[[#This Row],[Class]]="A",WORKDAY(Main[[#This Row],[Tech Start Date]],5),""))))</f>
        <v/>
      </c>
      <c r="P299" s="77" t="str">
        <f>IF(Main[[#This Row],[Tech Start Date]]&lt;1/1/1990,"",IF(Main[[#This Row],[Class]]="C",WORKDAY(Main[[#This Row],[Tech Start Date]],28),IF(Main[[#This Row],[Class]]="B", WORKDAY(Main[[#This Row],[Tech Start Date]],19),IF(Main[[#This Row],[Class]]="A",WORKDAY(Main[[#This Row],[Tech Start Date]],9),""))))</f>
        <v/>
      </c>
      <c r="Q299" s="74"/>
      <c r="R299" s="74"/>
      <c r="S299" s="72" t="s">
        <v>17</v>
      </c>
      <c r="T299" s="80" t="s">
        <v>4</v>
      </c>
      <c r="U299" s="72" t="s">
        <v>29</v>
      </c>
      <c r="V299" s="72" t="s">
        <v>1918</v>
      </c>
      <c r="W299" s="72" t="s">
        <v>1925</v>
      </c>
      <c r="X299" s="72" t="s">
        <v>2868</v>
      </c>
      <c r="Y299" s="72" t="s">
        <v>3012</v>
      </c>
      <c r="Z299" s="72" t="s">
        <v>4</v>
      </c>
      <c r="AA299" s="146" t="s">
        <v>2868</v>
      </c>
    </row>
    <row r="300" spans="1:27" ht="18.600000000000001" customHeight="1">
      <c r="A300" s="139" t="str">
        <f>IF(priority(Main[[#This Row],[Comments]])&lt;&gt;0, priority(Main[[#This Row],[Comments]]),"")</f>
        <v/>
      </c>
      <c r="B300" s="89" t="s">
        <v>1151</v>
      </c>
      <c r="C300" s="72" t="s">
        <v>205</v>
      </c>
      <c r="D300" s="73" t="s">
        <v>206</v>
      </c>
      <c r="E300" s="74"/>
      <c r="F300" s="74"/>
      <c r="G300" s="75" t="str">
        <f>IF(stdProdLT(Main[[#This Row],[Comments]])=0.1,"N/A",IF(stdProdLT(Main[[#This Row],[Comments]])=0,"",stdProdLT(Main[[#This Row],[Comments]])))</f>
        <v/>
      </c>
      <c r="H300" s="76" t="str">
        <f>IF(AND(Main[[#This Row],[In Stock Date]]&lt;&gt;"",Main[[#This Row],[Revised Due Date]]&lt;&gt;""),Main[[#This Row],[In Stock Date]]-Main[[#This Row],[Revised Due Date]],"")</f>
        <v/>
      </c>
      <c r="I300" s="72" t="s">
        <v>4</v>
      </c>
      <c r="J300" s="72" t="s">
        <v>4</v>
      </c>
      <c r="K300" s="72" t="s">
        <v>4</v>
      </c>
      <c r="L300" s="74"/>
      <c r="M300" s="77" t="str">
        <f>IF(Main[[#This Row],[Tech Start Date]]&lt;1/1/1990,"",IF(Main[[#This Row],[Class]]="C",WORKDAY(Main[[#This Row],[Tech Start Date]],9),IF(Main[[#This Row],[Class]]="B", WORKDAY(Main[[#This Row],[Tech Start Date]],6),IF(Main[[#This Row],[Class]]="A",WORKDAY(Main[[#This Row],[Tech Start Date]],2),""))))</f>
        <v/>
      </c>
      <c r="N300" s="77" t="str">
        <f>IF(Main[[#This Row],[Tech Start Date]]&lt;1/1/1990,"",IF(Main[[#This Row],[Class]]="C",WORKDAY(Main[[#This Row],[Tech Start Date]],19),IF(Main[[#This Row],[Class]]="B", WORKDAY(Main[[#This Row],[Tech Start Date]],12),IF(Main[[#This Row],[Class]]="A",WORKDAY(Main[[#This Row],[Tech Start Date]],4),""))))</f>
        <v/>
      </c>
      <c r="O300" s="77" t="str">
        <f>IF(Main[[#This Row],[Tech Start Date]]&lt;1/1/1990,"",IF(Main[[#This Row],[Class]]="C",WORKDAY(Main[[#This Row],[Tech Start Date]],23),IF(Main[[#This Row],[Class]]="B", WORKDAY(Main[[#This Row],[Tech Start Date]],15),IF(Main[[#This Row],[Class]]="A",WORKDAY(Main[[#This Row],[Tech Start Date]],5),""))))</f>
        <v/>
      </c>
      <c r="P300" s="77" t="str">
        <f>IF(Main[[#This Row],[Tech Start Date]]&lt;1/1/1990,"",IF(Main[[#This Row],[Class]]="C",WORKDAY(Main[[#This Row],[Tech Start Date]],28),IF(Main[[#This Row],[Class]]="B", WORKDAY(Main[[#This Row],[Tech Start Date]],19),IF(Main[[#This Row],[Class]]="A",WORKDAY(Main[[#This Row],[Tech Start Date]],9),""))))</f>
        <v/>
      </c>
      <c r="Q300" s="74">
        <v>40116</v>
      </c>
      <c r="R300" s="74"/>
      <c r="S300" s="72" t="s">
        <v>11</v>
      </c>
      <c r="T300" s="80" t="s">
        <v>4</v>
      </c>
      <c r="U300" s="72" t="s">
        <v>14</v>
      </c>
      <c r="V300" s="72" t="s">
        <v>1920</v>
      </c>
      <c r="W300" s="72" t="s">
        <v>1919</v>
      </c>
      <c r="X300" s="72" t="s">
        <v>2869</v>
      </c>
      <c r="Y300" s="72" t="s">
        <v>4</v>
      </c>
      <c r="Z300" s="72" t="s">
        <v>4</v>
      </c>
      <c r="AA300" s="146" t="s">
        <v>2869</v>
      </c>
    </row>
    <row r="301" spans="1:27" ht="18.600000000000001" customHeight="1">
      <c r="A301" s="139" t="str">
        <f>IF(priority(Main[[#This Row],[Comments]])&lt;&gt;0, priority(Main[[#This Row],[Comments]]),"")</f>
        <v/>
      </c>
      <c r="B301" s="89" t="s">
        <v>1152</v>
      </c>
      <c r="C301" s="72" t="s">
        <v>205</v>
      </c>
      <c r="D301" s="73" t="s">
        <v>207</v>
      </c>
      <c r="E301" s="74"/>
      <c r="F301" s="74"/>
      <c r="G301" s="75" t="str">
        <f>IF(stdProdLT(Main[[#This Row],[Comments]])=0.1,"N/A",IF(stdProdLT(Main[[#This Row],[Comments]])=0,"",stdProdLT(Main[[#This Row],[Comments]])))</f>
        <v/>
      </c>
      <c r="H301" s="76" t="str">
        <f>IF(AND(Main[[#This Row],[In Stock Date]]&lt;&gt;"",Main[[#This Row],[Revised Due Date]]&lt;&gt;""),Main[[#This Row],[In Stock Date]]-Main[[#This Row],[Revised Due Date]],"")</f>
        <v/>
      </c>
      <c r="I301" s="72" t="s">
        <v>4</v>
      </c>
      <c r="J301" s="72" t="s">
        <v>4</v>
      </c>
      <c r="K301" s="72" t="s">
        <v>4</v>
      </c>
      <c r="L301" s="74"/>
      <c r="M301" s="77" t="str">
        <f>IF(Main[[#This Row],[Tech Start Date]]&lt;1/1/1990,"",IF(Main[[#This Row],[Class]]="C",WORKDAY(Main[[#This Row],[Tech Start Date]],9),IF(Main[[#This Row],[Class]]="B", WORKDAY(Main[[#This Row],[Tech Start Date]],6),IF(Main[[#This Row],[Class]]="A",WORKDAY(Main[[#This Row],[Tech Start Date]],2),""))))</f>
        <v/>
      </c>
      <c r="N301" s="77" t="str">
        <f>IF(Main[[#This Row],[Tech Start Date]]&lt;1/1/1990,"",IF(Main[[#This Row],[Class]]="C",WORKDAY(Main[[#This Row],[Tech Start Date]],19),IF(Main[[#This Row],[Class]]="B", WORKDAY(Main[[#This Row],[Tech Start Date]],12),IF(Main[[#This Row],[Class]]="A",WORKDAY(Main[[#This Row],[Tech Start Date]],4),""))))</f>
        <v/>
      </c>
      <c r="O301" s="77" t="str">
        <f>IF(Main[[#This Row],[Tech Start Date]]&lt;1/1/1990,"",IF(Main[[#This Row],[Class]]="C",WORKDAY(Main[[#This Row],[Tech Start Date]],23),IF(Main[[#This Row],[Class]]="B", WORKDAY(Main[[#This Row],[Tech Start Date]],15),IF(Main[[#This Row],[Class]]="A",WORKDAY(Main[[#This Row],[Tech Start Date]],5),""))))</f>
        <v/>
      </c>
      <c r="P301" s="77" t="str">
        <f>IF(Main[[#This Row],[Tech Start Date]]&lt;1/1/1990,"",IF(Main[[#This Row],[Class]]="C",WORKDAY(Main[[#This Row],[Tech Start Date]],28),IF(Main[[#This Row],[Class]]="B", WORKDAY(Main[[#This Row],[Tech Start Date]],19),IF(Main[[#This Row],[Class]]="A",WORKDAY(Main[[#This Row],[Tech Start Date]],9),""))))</f>
        <v/>
      </c>
      <c r="Q301" s="74">
        <v>40116</v>
      </c>
      <c r="R301" s="74"/>
      <c r="S301" s="72" t="s">
        <v>11</v>
      </c>
      <c r="T301" s="80" t="s">
        <v>4</v>
      </c>
      <c r="U301" s="72" t="s">
        <v>14</v>
      </c>
      <c r="V301" s="72" t="s">
        <v>1920</v>
      </c>
      <c r="W301" s="72" t="s">
        <v>1919</v>
      </c>
      <c r="X301" s="72" t="s">
        <v>2869</v>
      </c>
      <c r="Y301" s="72" t="s">
        <v>4</v>
      </c>
      <c r="Z301" s="72" t="s">
        <v>4</v>
      </c>
      <c r="AA301" s="146" t="s">
        <v>2869</v>
      </c>
    </row>
    <row r="302" spans="1:27" ht="18.600000000000001" customHeight="1">
      <c r="A302" s="139" t="str">
        <f>IF(priority(Main[[#This Row],[Comments]])&lt;&gt;0, priority(Main[[#This Row],[Comments]]),"")</f>
        <v/>
      </c>
      <c r="B302" s="89" t="s">
        <v>1862</v>
      </c>
      <c r="C302" s="72" t="s">
        <v>31</v>
      </c>
      <c r="D302" s="73" t="s">
        <v>918</v>
      </c>
      <c r="E302" s="74"/>
      <c r="F302" s="74">
        <v>40664</v>
      </c>
      <c r="G302" s="75" t="str">
        <f>IF(stdProdLT(Main[[#This Row],[Comments]])=0.1,"N/A",IF(stdProdLT(Main[[#This Row],[Comments]])=0,"",stdProdLT(Main[[#This Row],[Comments]])))</f>
        <v/>
      </c>
      <c r="H302" s="76">
        <f>IF(AND(Main[[#This Row],[In Stock Date]]&lt;&gt;"",Main[[#This Row],[Revised Due Date]]&lt;&gt;""),Main[[#This Row],[In Stock Date]]-Main[[#This Row],[Revised Due Date]],"")</f>
        <v>87</v>
      </c>
      <c r="I302" s="72" t="s">
        <v>417</v>
      </c>
      <c r="J302" s="72" t="s">
        <v>75</v>
      </c>
      <c r="K302" s="72" t="s">
        <v>1926</v>
      </c>
      <c r="L302" s="74"/>
      <c r="M302" s="77" t="str">
        <f>IF(Main[[#This Row],[Tech Start Date]]&lt;1/1/1990,"",IF(Main[[#This Row],[Class]]="C",WORKDAY(Main[[#This Row],[Tech Start Date]],9),IF(Main[[#This Row],[Class]]="B", WORKDAY(Main[[#This Row],[Tech Start Date]],6),IF(Main[[#This Row],[Class]]="A",WORKDAY(Main[[#This Row],[Tech Start Date]],2),""))))</f>
        <v/>
      </c>
      <c r="N302" s="77" t="str">
        <f>IF(Main[[#This Row],[Tech Start Date]]&lt;1/1/1990,"",IF(Main[[#This Row],[Class]]="C",WORKDAY(Main[[#This Row],[Tech Start Date]],19),IF(Main[[#This Row],[Class]]="B", WORKDAY(Main[[#This Row],[Tech Start Date]],12),IF(Main[[#This Row],[Class]]="A",WORKDAY(Main[[#This Row],[Tech Start Date]],4),""))))</f>
        <v/>
      </c>
      <c r="O302" s="77" t="str">
        <f>IF(Main[[#This Row],[Tech Start Date]]&lt;1/1/1990,"",IF(Main[[#This Row],[Class]]="C",WORKDAY(Main[[#This Row],[Tech Start Date]],23),IF(Main[[#This Row],[Class]]="B", WORKDAY(Main[[#This Row],[Tech Start Date]],15),IF(Main[[#This Row],[Class]]="A",WORKDAY(Main[[#This Row],[Tech Start Date]],5),""))))</f>
        <v/>
      </c>
      <c r="P302" s="77" t="str">
        <f>IF(Main[[#This Row],[Tech Start Date]]&lt;1/1/1990,"",IF(Main[[#This Row],[Class]]="C",WORKDAY(Main[[#This Row],[Tech Start Date]],28),IF(Main[[#This Row],[Class]]="B", WORKDAY(Main[[#This Row],[Tech Start Date]],19),IF(Main[[#This Row],[Class]]="A",WORKDAY(Main[[#This Row],[Tech Start Date]],9),""))))</f>
        <v/>
      </c>
      <c r="Q302" s="74">
        <v>40589</v>
      </c>
      <c r="R302" s="74">
        <v>40577</v>
      </c>
      <c r="S302" s="72" t="s">
        <v>11</v>
      </c>
      <c r="T302" s="80" t="s">
        <v>4</v>
      </c>
      <c r="U302" s="72" t="s">
        <v>14</v>
      </c>
      <c r="V302" s="72" t="s">
        <v>1920</v>
      </c>
      <c r="W302" s="72" t="s">
        <v>1923</v>
      </c>
      <c r="X302" s="72" t="s">
        <v>2831</v>
      </c>
      <c r="Y302" s="72" t="s">
        <v>2973</v>
      </c>
      <c r="Z302" s="72" t="s">
        <v>530</v>
      </c>
      <c r="AA302" s="146" t="s">
        <v>2831</v>
      </c>
    </row>
    <row r="303" spans="1:27" ht="18.600000000000001" customHeight="1">
      <c r="A303" s="139" t="str">
        <f>IF(priority(Main[[#This Row],[Comments]])&lt;&gt;0, priority(Main[[#This Row],[Comments]]),"")</f>
        <v/>
      </c>
      <c r="B303" s="89" t="s">
        <v>1159</v>
      </c>
      <c r="C303" s="72" t="s">
        <v>211</v>
      </c>
      <c r="D303" s="73" t="s">
        <v>212</v>
      </c>
      <c r="E303" s="74"/>
      <c r="F303" s="74">
        <v>40391</v>
      </c>
      <c r="G303" s="75" t="str">
        <f>IF(stdProdLT(Main[[#This Row],[Comments]])=0.1,"N/A",IF(stdProdLT(Main[[#This Row],[Comments]])=0,"",stdProdLT(Main[[#This Row],[Comments]])))</f>
        <v/>
      </c>
      <c r="H303" s="76" t="str">
        <f>IF(AND(Main[[#This Row],[In Stock Date]]&lt;&gt;"",Main[[#This Row],[Revised Due Date]]&lt;&gt;""),Main[[#This Row],[In Stock Date]]-Main[[#This Row],[Revised Due Date]],"")</f>
        <v/>
      </c>
      <c r="I303" s="72" t="s">
        <v>4</v>
      </c>
      <c r="J303" s="72" t="s">
        <v>4</v>
      </c>
      <c r="K303" s="72" t="s">
        <v>4</v>
      </c>
      <c r="L303" s="74"/>
      <c r="M303" s="77" t="str">
        <f>IF(Main[[#This Row],[Tech Start Date]]&lt;1/1/1990,"",IF(Main[[#This Row],[Class]]="C",WORKDAY(Main[[#This Row],[Tech Start Date]],9),IF(Main[[#This Row],[Class]]="B", WORKDAY(Main[[#This Row],[Tech Start Date]],6),IF(Main[[#This Row],[Class]]="A",WORKDAY(Main[[#This Row],[Tech Start Date]],2),""))))</f>
        <v/>
      </c>
      <c r="N303" s="77" t="str">
        <f>IF(Main[[#This Row],[Tech Start Date]]&lt;1/1/1990,"",IF(Main[[#This Row],[Class]]="C",WORKDAY(Main[[#This Row],[Tech Start Date]],19),IF(Main[[#This Row],[Class]]="B", WORKDAY(Main[[#This Row],[Tech Start Date]],12),IF(Main[[#This Row],[Class]]="A",WORKDAY(Main[[#This Row],[Tech Start Date]],4),""))))</f>
        <v/>
      </c>
      <c r="O303" s="77" t="str">
        <f>IF(Main[[#This Row],[Tech Start Date]]&lt;1/1/1990,"",IF(Main[[#This Row],[Class]]="C",WORKDAY(Main[[#This Row],[Tech Start Date]],23),IF(Main[[#This Row],[Class]]="B", WORKDAY(Main[[#This Row],[Tech Start Date]],15),IF(Main[[#This Row],[Class]]="A",WORKDAY(Main[[#This Row],[Tech Start Date]],5),""))))</f>
        <v/>
      </c>
      <c r="P303" s="77" t="str">
        <f>IF(Main[[#This Row],[Tech Start Date]]&lt;1/1/1990,"",IF(Main[[#This Row],[Class]]="C",WORKDAY(Main[[#This Row],[Tech Start Date]],28),IF(Main[[#This Row],[Class]]="B", WORKDAY(Main[[#This Row],[Tech Start Date]],19),IF(Main[[#This Row],[Class]]="A",WORKDAY(Main[[#This Row],[Tech Start Date]],9),""))))</f>
        <v/>
      </c>
      <c r="Q303" s="74">
        <v>40296</v>
      </c>
      <c r="R303" s="74"/>
      <c r="S303" s="72" t="s">
        <v>11</v>
      </c>
      <c r="T303" s="80" t="s">
        <v>4</v>
      </c>
      <c r="U303" s="72" t="s">
        <v>12</v>
      </c>
      <c r="V303" s="72" t="s">
        <v>1917</v>
      </c>
      <c r="W303" s="72" t="s">
        <v>1925</v>
      </c>
      <c r="X303" s="72" t="s">
        <v>2839</v>
      </c>
      <c r="Y303" s="72" t="s">
        <v>4</v>
      </c>
      <c r="Z303" s="72" t="s">
        <v>4</v>
      </c>
      <c r="AA303" s="146" t="s">
        <v>2839</v>
      </c>
    </row>
    <row r="304" spans="1:27" ht="18.600000000000001" customHeight="1">
      <c r="A304" s="139" t="str">
        <f>IF(priority(Main[[#This Row],[Comments]])&lt;&gt;0, priority(Main[[#This Row],[Comments]]),"")</f>
        <v/>
      </c>
      <c r="B304" s="89" t="s">
        <v>1161</v>
      </c>
      <c r="C304" s="72" t="s">
        <v>213</v>
      </c>
      <c r="D304" s="73" t="s">
        <v>214</v>
      </c>
      <c r="E304" s="74">
        <v>40395.391388888886</v>
      </c>
      <c r="F304" s="74">
        <v>40574</v>
      </c>
      <c r="G304" s="75" t="str">
        <f>IF(stdProdLT(Main[[#This Row],[Comments]])=0.1,"N/A",IF(stdProdLT(Main[[#This Row],[Comments]])=0,"",stdProdLT(Main[[#This Row],[Comments]])))</f>
        <v/>
      </c>
      <c r="H304" s="76" t="str">
        <f>IF(AND(Main[[#This Row],[In Stock Date]]&lt;&gt;"",Main[[#This Row],[Revised Due Date]]&lt;&gt;""),Main[[#This Row],[In Stock Date]]-Main[[#This Row],[Revised Due Date]],"")</f>
        <v/>
      </c>
      <c r="I304" s="72" t="s">
        <v>4</v>
      </c>
      <c r="J304" s="72" t="s">
        <v>28</v>
      </c>
      <c r="K304" s="81" t="s">
        <v>4</v>
      </c>
      <c r="L304" s="74"/>
      <c r="M304" s="77" t="str">
        <f>IF(Main[[#This Row],[Tech Start Date]]&lt;1/1/1990,"",IF(Main[[#This Row],[Class]]="C",WORKDAY(Main[[#This Row],[Tech Start Date]],9),IF(Main[[#This Row],[Class]]="B", WORKDAY(Main[[#This Row],[Tech Start Date]],6),IF(Main[[#This Row],[Class]]="A",WORKDAY(Main[[#This Row],[Tech Start Date]],2),""))))</f>
        <v/>
      </c>
      <c r="N304" s="77" t="str">
        <f>IF(Main[[#This Row],[Tech Start Date]]&lt;1/1/1990,"",IF(Main[[#This Row],[Class]]="C",WORKDAY(Main[[#This Row],[Tech Start Date]],19),IF(Main[[#This Row],[Class]]="B", WORKDAY(Main[[#This Row],[Tech Start Date]],12),IF(Main[[#This Row],[Class]]="A",WORKDAY(Main[[#This Row],[Tech Start Date]],4),""))))</f>
        <v/>
      </c>
      <c r="O304" s="77" t="str">
        <f>IF(Main[[#This Row],[Tech Start Date]]&lt;1/1/1990,"",IF(Main[[#This Row],[Class]]="C",WORKDAY(Main[[#This Row],[Tech Start Date]],23),IF(Main[[#This Row],[Class]]="B", WORKDAY(Main[[#This Row],[Tech Start Date]],15),IF(Main[[#This Row],[Class]]="A",WORKDAY(Main[[#This Row],[Tech Start Date]],5),""))))</f>
        <v/>
      </c>
      <c r="P304" s="77" t="str">
        <f>IF(Main[[#This Row],[Tech Start Date]]&lt;1/1/1990,"",IF(Main[[#This Row],[Class]]="C",WORKDAY(Main[[#This Row],[Tech Start Date]],28),IF(Main[[#This Row],[Class]]="B", WORKDAY(Main[[#This Row],[Tech Start Date]],19),IF(Main[[#This Row],[Class]]="A",WORKDAY(Main[[#This Row],[Tech Start Date]],9),""))))</f>
        <v/>
      </c>
      <c r="Q304" s="74"/>
      <c r="R304" s="74"/>
      <c r="S304" s="72" t="s">
        <v>17</v>
      </c>
      <c r="T304" s="80" t="s">
        <v>4</v>
      </c>
      <c r="U304" s="72" t="s">
        <v>7</v>
      </c>
      <c r="V304" s="72" t="s">
        <v>1917</v>
      </c>
      <c r="W304" s="72" t="s">
        <v>1922</v>
      </c>
      <c r="X304" s="72" t="s">
        <v>50</v>
      </c>
      <c r="Y304" s="72" t="s">
        <v>3013</v>
      </c>
      <c r="Z304" s="72" t="s">
        <v>129</v>
      </c>
      <c r="AA304" s="146" t="s">
        <v>65</v>
      </c>
    </row>
    <row r="305" spans="1:27" ht="18.600000000000001" customHeight="1">
      <c r="A305" s="139" t="str">
        <f>IF(priority(Main[[#This Row],[Comments]])&lt;&gt;0, priority(Main[[#This Row],[Comments]]),"")</f>
        <v/>
      </c>
      <c r="B305" s="89" t="s">
        <v>1162</v>
      </c>
      <c r="C305" s="72" t="s">
        <v>169</v>
      </c>
      <c r="D305" s="73" t="s">
        <v>215</v>
      </c>
      <c r="E305" s="74"/>
      <c r="F305" s="74">
        <v>40237</v>
      </c>
      <c r="G305" s="75" t="str">
        <f>IF(stdProdLT(Main[[#This Row],[Comments]])=0.1,"N/A",IF(stdProdLT(Main[[#This Row],[Comments]])=0,"",stdProdLT(Main[[#This Row],[Comments]])))</f>
        <v/>
      </c>
      <c r="H305" s="76" t="str">
        <f>IF(AND(Main[[#This Row],[In Stock Date]]&lt;&gt;"",Main[[#This Row],[Revised Due Date]]&lt;&gt;""),Main[[#This Row],[In Stock Date]]-Main[[#This Row],[Revised Due Date]],"")</f>
        <v/>
      </c>
      <c r="I305" s="72" t="s">
        <v>4</v>
      </c>
      <c r="J305" s="72" t="s">
        <v>4</v>
      </c>
      <c r="K305" s="72" t="s">
        <v>4</v>
      </c>
      <c r="L305" s="74"/>
      <c r="M305" s="77" t="str">
        <f>IF(Main[[#This Row],[Tech Start Date]]&lt;1/1/1990,"",IF(Main[[#This Row],[Class]]="C",WORKDAY(Main[[#This Row],[Tech Start Date]],9),IF(Main[[#This Row],[Class]]="B", WORKDAY(Main[[#This Row],[Tech Start Date]],6),IF(Main[[#This Row],[Class]]="A",WORKDAY(Main[[#This Row],[Tech Start Date]],2),""))))</f>
        <v/>
      </c>
      <c r="N305" s="77" t="str">
        <f>IF(Main[[#This Row],[Tech Start Date]]&lt;1/1/1990,"",IF(Main[[#This Row],[Class]]="C",WORKDAY(Main[[#This Row],[Tech Start Date]],19),IF(Main[[#This Row],[Class]]="B", WORKDAY(Main[[#This Row],[Tech Start Date]],12),IF(Main[[#This Row],[Class]]="A",WORKDAY(Main[[#This Row],[Tech Start Date]],4),""))))</f>
        <v/>
      </c>
      <c r="O305" s="77" t="str">
        <f>IF(Main[[#This Row],[Tech Start Date]]&lt;1/1/1990,"",IF(Main[[#This Row],[Class]]="C",WORKDAY(Main[[#This Row],[Tech Start Date]],23),IF(Main[[#This Row],[Class]]="B", WORKDAY(Main[[#This Row],[Tech Start Date]],15),IF(Main[[#This Row],[Class]]="A",WORKDAY(Main[[#This Row],[Tech Start Date]],5),""))))</f>
        <v/>
      </c>
      <c r="P305" s="77" t="str">
        <f>IF(Main[[#This Row],[Tech Start Date]]&lt;1/1/1990,"",IF(Main[[#This Row],[Class]]="C",WORKDAY(Main[[#This Row],[Tech Start Date]],28),IF(Main[[#This Row],[Class]]="B", WORKDAY(Main[[#This Row],[Tech Start Date]],19),IF(Main[[#This Row],[Class]]="A",WORKDAY(Main[[#This Row],[Tech Start Date]],9),""))))</f>
        <v/>
      </c>
      <c r="Q305" s="74">
        <v>40132</v>
      </c>
      <c r="R305" s="74"/>
      <c r="S305" s="72" t="s">
        <v>11</v>
      </c>
      <c r="T305" s="80" t="s">
        <v>4</v>
      </c>
      <c r="U305" s="72" t="s">
        <v>14</v>
      </c>
      <c r="V305" s="72" t="s">
        <v>1917</v>
      </c>
      <c r="W305" s="72" t="s">
        <v>1922</v>
      </c>
      <c r="X305" s="72" t="s">
        <v>2864</v>
      </c>
      <c r="Y305" s="72" t="s">
        <v>4</v>
      </c>
      <c r="Z305" s="72" t="s">
        <v>4</v>
      </c>
      <c r="AA305" s="146" t="s">
        <v>2864</v>
      </c>
    </row>
    <row r="306" spans="1:27" ht="18.600000000000001" customHeight="1">
      <c r="A306" s="139" t="str">
        <f>IF(priority(Main[[#This Row],[Comments]])&lt;&gt;0, priority(Main[[#This Row],[Comments]]),"")</f>
        <v/>
      </c>
      <c r="B306" s="89" t="s">
        <v>1163</v>
      </c>
      <c r="C306" s="72" t="s">
        <v>4</v>
      </c>
      <c r="D306" s="73" t="s">
        <v>216</v>
      </c>
      <c r="E306" s="74"/>
      <c r="F306" s="74"/>
      <c r="G306" s="75" t="str">
        <f>IF(stdProdLT(Main[[#This Row],[Comments]])=0.1,"N/A",IF(stdProdLT(Main[[#This Row],[Comments]])=0,"",stdProdLT(Main[[#This Row],[Comments]])))</f>
        <v/>
      </c>
      <c r="H306" s="76" t="str">
        <f>IF(AND(Main[[#This Row],[In Stock Date]]&lt;&gt;"",Main[[#This Row],[Revised Due Date]]&lt;&gt;""),Main[[#This Row],[In Stock Date]]-Main[[#This Row],[Revised Due Date]],"")</f>
        <v/>
      </c>
      <c r="I306" s="72" t="s">
        <v>4</v>
      </c>
      <c r="J306" s="72" t="s">
        <v>4</v>
      </c>
      <c r="K306" s="72" t="s">
        <v>4</v>
      </c>
      <c r="L306" s="74"/>
      <c r="M306" s="77" t="str">
        <f>IF(Main[[#This Row],[Tech Start Date]]&lt;1/1/1990,"",IF(Main[[#This Row],[Class]]="C",WORKDAY(Main[[#This Row],[Tech Start Date]],9),IF(Main[[#This Row],[Class]]="B", WORKDAY(Main[[#This Row],[Tech Start Date]],6),IF(Main[[#This Row],[Class]]="A",WORKDAY(Main[[#This Row],[Tech Start Date]],2),""))))</f>
        <v/>
      </c>
      <c r="N306" s="77" t="str">
        <f>IF(Main[[#This Row],[Tech Start Date]]&lt;1/1/1990,"",IF(Main[[#This Row],[Class]]="C",WORKDAY(Main[[#This Row],[Tech Start Date]],19),IF(Main[[#This Row],[Class]]="B", WORKDAY(Main[[#This Row],[Tech Start Date]],12),IF(Main[[#This Row],[Class]]="A",WORKDAY(Main[[#This Row],[Tech Start Date]],4),""))))</f>
        <v/>
      </c>
      <c r="O306" s="77" t="str">
        <f>IF(Main[[#This Row],[Tech Start Date]]&lt;1/1/1990,"",IF(Main[[#This Row],[Class]]="C",WORKDAY(Main[[#This Row],[Tech Start Date]],23),IF(Main[[#This Row],[Class]]="B", WORKDAY(Main[[#This Row],[Tech Start Date]],15),IF(Main[[#This Row],[Class]]="A",WORKDAY(Main[[#This Row],[Tech Start Date]],5),""))))</f>
        <v/>
      </c>
      <c r="P306" s="77" t="str">
        <f>IF(Main[[#This Row],[Tech Start Date]]&lt;1/1/1990,"",IF(Main[[#This Row],[Class]]="C",WORKDAY(Main[[#This Row],[Tech Start Date]],28),IF(Main[[#This Row],[Class]]="B", WORKDAY(Main[[#This Row],[Tech Start Date]],19),IF(Main[[#This Row],[Class]]="A",WORKDAY(Main[[#This Row],[Tech Start Date]],9),""))))</f>
        <v/>
      </c>
      <c r="Q306" s="74"/>
      <c r="R306" s="74"/>
      <c r="S306" s="72" t="s">
        <v>17</v>
      </c>
      <c r="T306" s="80" t="s">
        <v>4</v>
      </c>
      <c r="U306" s="72" t="s">
        <v>12</v>
      </c>
      <c r="V306" s="72" t="s">
        <v>1917</v>
      </c>
      <c r="W306" s="72" t="s">
        <v>1921</v>
      </c>
      <c r="X306" s="72" t="s">
        <v>879</v>
      </c>
      <c r="Y306" s="72" t="s">
        <v>4</v>
      </c>
      <c r="Z306" s="72" t="s">
        <v>4</v>
      </c>
      <c r="AA306" s="146" t="s">
        <v>4</v>
      </c>
    </row>
    <row r="307" spans="1:27" ht="18.600000000000001" customHeight="1">
      <c r="A307" s="139" t="str">
        <f>IF(priority(Main[[#This Row],[Comments]])&lt;&gt;0, priority(Main[[#This Row],[Comments]]),"")</f>
        <v/>
      </c>
      <c r="B307" s="89" t="s">
        <v>1165</v>
      </c>
      <c r="C307" s="72" t="s">
        <v>93</v>
      </c>
      <c r="D307" s="73" t="s">
        <v>218</v>
      </c>
      <c r="E307" s="74"/>
      <c r="F307" s="74">
        <v>40299</v>
      </c>
      <c r="G307" s="75" t="str">
        <f>IF(stdProdLT(Main[[#This Row],[Comments]])=0.1,"N/A",IF(stdProdLT(Main[[#This Row],[Comments]])=0,"",stdProdLT(Main[[#This Row],[Comments]])))</f>
        <v/>
      </c>
      <c r="H307" s="76" t="str">
        <f>IF(AND(Main[[#This Row],[In Stock Date]]&lt;&gt;"",Main[[#This Row],[Revised Due Date]]&lt;&gt;""),Main[[#This Row],[In Stock Date]]-Main[[#This Row],[Revised Due Date]],"")</f>
        <v/>
      </c>
      <c r="I307" s="72" t="s">
        <v>4</v>
      </c>
      <c r="J307" s="72" t="s">
        <v>4</v>
      </c>
      <c r="K307" s="81" t="s">
        <v>4</v>
      </c>
      <c r="L307" s="74"/>
      <c r="M307" s="77" t="str">
        <f>IF(Main[[#This Row],[Tech Start Date]]&lt;1/1/1990,"",IF(Main[[#This Row],[Class]]="C",WORKDAY(Main[[#This Row],[Tech Start Date]],9),IF(Main[[#This Row],[Class]]="B", WORKDAY(Main[[#This Row],[Tech Start Date]],6),IF(Main[[#This Row],[Class]]="A",WORKDAY(Main[[#This Row],[Tech Start Date]],2),""))))</f>
        <v/>
      </c>
      <c r="N307" s="77" t="str">
        <f>IF(Main[[#This Row],[Tech Start Date]]&lt;1/1/1990,"",IF(Main[[#This Row],[Class]]="C",WORKDAY(Main[[#This Row],[Tech Start Date]],19),IF(Main[[#This Row],[Class]]="B", WORKDAY(Main[[#This Row],[Tech Start Date]],12),IF(Main[[#This Row],[Class]]="A",WORKDAY(Main[[#This Row],[Tech Start Date]],4),""))))</f>
        <v/>
      </c>
      <c r="O307" s="77" t="str">
        <f>IF(Main[[#This Row],[Tech Start Date]]&lt;1/1/1990,"",IF(Main[[#This Row],[Class]]="C",WORKDAY(Main[[#This Row],[Tech Start Date]],23),IF(Main[[#This Row],[Class]]="B", WORKDAY(Main[[#This Row],[Tech Start Date]],15),IF(Main[[#This Row],[Class]]="A",WORKDAY(Main[[#This Row],[Tech Start Date]],5),""))))</f>
        <v/>
      </c>
      <c r="P307" s="77" t="str">
        <f>IF(Main[[#This Row],[Tech Start Date]]&lt;1/1/1990,"",IF(Main[[#This Row],[Class]]="C",WORKDAY(Main[[#This Row],[Tech Start Date]],28),IF(Main[[#This Row],[Class]]="B", WORKDAY(Main[[#This Row],[Tech Start Date]],19),IF(Main[[#This Row],[Class]]="A",WORKDAY(Main[[#This Row],[Tech Start Date]],9),""))))</f>
        <v/>
      </c>
      <c r="Q307" s="74">
        <v>40214</v>
      </c>
      <c r="R307" s="74"/>
      <c r="S307" s="72" t="s">
        <v>11</v>
      </c>
      <c r="T307" s="80" t="s">
        <v>4</v>
      </c>
      <c r="U307" s="72" t="s">
        <v>12</v>
      </c>
      <c r="V307" s="72" t="s">
        <v>1917</v>
      </c>
      <c r="W307" s="72" t="s">
        <v>1923</v>
      </c>
      <c r="X307" s="72" t="s">
        <v>2851</v>
      </c>
      <c r="Y307" s="72" t="s">
        <v>4</v>
      </c>
      <c r="Z307" s="72" t="s">
        <v>4</v>
      </c>
      <c r="AA307" s="146" t="s">
        <v>2851</v>
      </c>
    </row>
    <row r="308" spans="1:27" ht="18.600000000000001" customHeight="1">
      <c r="A308" s="155" t="str">
        <f>IF(priority(Main[[#This Row],[Comments]])&lt;&gt;0, priority(Main[[#This Row],[Comments]]),"")</f>
        <v/>
      </c>
      <c r="B308" s="156" t="s">
        <v>1166</v>
      </c>
      <c r="C308" s="157" t="s">
        <v>113</v>
      </c>
      <c r="D308" s="158" t="s">
        <v>219</v>
      </c>
      <c r="E308" s="160"/>
      <c r="F308" s="160">
        <v>40193</v>
      </c>
      <c r="G308" s="162" t="str">
        <f>IF(stdProdLT(Main[[#This Row],[Comments]])=0.1,"N/A",IF(stdProdLT(Main[[#This Row],[Comments]])=0,"",stdProdLT(Main[[#This Row],[Comments]])))</f>
        <v/>
      </c>
      <c r="H308" s="164" t="str">
        <f>IF(AND(Main[[#This Row],[In Stock Date]]&lt;&gt;"",Main[[#This Row],[Revised Due Date]]&lt;&gt;""),Main[[#This Row],[In Stock Date]]-Main[[#This Row],[Revised Due Date]],"")</f>
        <v/>
      </c>
      <c r="I308" s="157" t="s">
        <v>4</v>
      </c>
      <c r="J308" s="157" t="s">
        <v>4</v>
      </c>
      <c r="K308" s="157" t="s">
        <v>4</v>
      </c>
      <c r="L308" s="160"/>
      <c r="M308" s="167" t="str">
        <f>IF(Main[[#This Row],[Tech Start Date]]&lt;1/1/1990,"",IF(Main[[#This Row],[Class]]="C",WORKDAY(Main[[#This Row],[Tech Start Date]],9),IF(Main[[#This Row],[Class]]="B", WORKDAY(Main[[#This Row],[Tech Start Date]],6),IF(Main[[#This Row],[Class]]="A",WORKDAY(Main[[#This Row],[Tech Start Date]],2),""))))</f>
        <v/>
      </c>
      <c r="N308" s="167" t="str">
        <f>IF(Main[[#This Row],[Tech Start Date]]&lt;1/1/1990,"",IF(Main[[#This Row],[Class]]="C",WORKDAY(Main[[#This Row],[Tech Start Date]],19),IF(Main[[#This Row],[Class]]="B", WORKDAY(Main[[#This Row],[Tech Start Date]],12),IF(Main[[#This Row],[Class]]="A",WORKDAY(Main[[#This Row],[Tech Start Date]],4),""))))</f>
        <v/>
      </c>
      <c r="O308" s="167" t="str">
        <f>IF(Main[[#This Row],[Tech Start Date]]&lt;1/1/1990,"",IF(Main[[#This Row],[Class]]="C",WORKDAY(Main[[#This Row],[Tech Start Date]],23),IF(Main[[#This Row],[Class]]="B", WORKDAY(Main[[#This Row],[Tech Start Date]],15),IF(Main[[#This Row],[Class]]="A",WORKDAY(Main[[#This Row],[Tech Start Date]],5),""))))</f>
        <v/>
      </c>
      <c r="P308" s="167" t="str">
        <f>IF(Main[[#This Row],[Tech Start Date]]&lt;1/1/1990,"",IF(Main[[#This Row],[Class]]="C",WORKDAY(Main[[#This Row],[Tech Start Date]],28),IF(Main[[#This Row],[Class]]="B", WORKDAY(Main[[#This Row],[Tech Start Date]],19),IF(Main[[#This Row],[Class]]="A",WORKDAY(Main[[#This Row],[Tech Start Date]],9),""))))</f>
        <v/>
      </c>
      <c r="Q308" s="160">
        <v>40448</v>
      </c>
      <c r="R308" s="160"/>
      <c r="S308" s="157" t="s">
        <v>11</v>
      </c>
      <c r="T308" s="171" t="s">
        <v>4</v>
      </c>
      <c r="U308" s="157" t="s">
        <v>14</v>
      </c>
      <c r="V308" s="157" t="s">
        <v>1927</v>
      </c>
      <c r="W308" s="157" t="s">
        <v>1923</v>
      </c>
      <c r="X308" s="157" t="s">
        <v>2850</v>
      </c>
      <c r="Y308" s="157" t="s">
        <v>2983</v>
      </c>
      <c r="Z308" s="157" t="s">
        <v>4</v>
      </c>
      <c r="AA308" s="153" t="s">
        <v>2850</v>
      </c>
    </row>
    <row r="309" spans="1:27" ht="18.600000000000001" customHeight="1">
      <c r="A309" s="139" t="str">
        <f>IF(priority(Main[[#This Row],[Comments]])&lt;&gt;0, priority(Main[[#This Row],[Comments]]),"")</f>
        <v/>
      </c>
      <c r="B309" s="89" t="s">
        <v>1167</v>
      </c>
      <c r="C309" s="72" t="s">
        <v>4</v>
      </c>
      <c r="D309" s="73" t="s">
        <v>220</v>
      </c>
      <c r="E309" s="74"/>
      <c r="F309" s="74">
        <v>40031</v>
      </c>
      <c r="G309" s="75" t="str">
        <f>IF(stdProdLT(Main[[#This Row],[Comments]])=0.1,"N/A",IF(stdProdLT(Main[[#This Row],[Comments]])=0,"",stdProdLT(Main[[#This Row],[Comments]])))</f>
        <v/>
      </c>
      <c r="H309" s="76" t="str">
        <f>IF(AND(Main[[#This Row],[In Stock Date]]&lt;&gt;"",Main[[#This Row],[Revised Due Date]]&lt;&gt;""),Main[[#This Row],[In Stock Date]]-Main[[#This Row],[Revised Due Date]],"")</f>
        <v/>
      </c>
      <c r="I309" s="72" t="s">
        <v>4</v>
      </c>
      <c r="J309" s="72" t="s">
        <v>4</v>
      </c>
      <c r="K309" s="72" t="s">
        <v>4</v>
      </c>
      <c r="L309" s="74"/>
      <c r="M309" s="77" t="str">
        <f>IF(Main[[#This Row],[Tech Start Date]]&lt;1/1/1990,"",IF(Main[[#This Row],[Class]]="C",WORKDAY(Main[[#This Row],[Tech Start Date]],9),IF(Main[[#This Row],[Class]]="B", WORKDAY(Main[[#This Row],[Tech Start Date]],6),IF(Main[[#This Row],[Class]]="A",WORKDAY(Main[[#This Row],[Tech Start Date]],2),""))))</f>
        <v/>
      </c>
      <c r="N309" s="77" t="str">
        <f>IF(Main[[#This Row],[Tech Start Date]]&lt;1/1/1990,"",IF(Main[[#This Row],[Class]]="C",WORKDAY(Main[[#This Row],[Tech Start Date]],19),IF(Main[[#This Row],[Class]]="B", WORKDAY(Main[[#This Row],[Tech Start Date]],12),IF(Main[[#This Row],[Class]]="A",WORKDAY(Main[[#This Row],[Tech Start Date]],4),""))))</f>
        <v/>
      </c>
      <c r="O309" s="77" t="str">
        <f>IF(Main[[#This Row],[Tech Start Date]]&lt;1/1/1990,"",IF(Main[[#This Row],[Class]]="C",WORKDAY(Main[[#This Row],[Tech Start Date]],23),IF(Main[[#This Row],[Class]]="B", WORKDAY(Main[[#This Row],[Tech Start Date]],15),IF(Main[[#This Row],[Class]]="A",WORKDAY(Main[[#This Row],[Tech Start Date]],5),""))))</f>
        <v/>
      </c>
      <c r="P309" s="77" t="str">
        <f>IF(Main[[#This Row],[Tech Start Date]]&lt;1/1/1990,"",IF(Main[[#This Row],[Class]]="C",WORKDAY(Main[[#This Row],[Tech Start Date]],28),IF(Main[[#This Row],[Class]]="B", WORKDAY(Main[[#This Row],[Tech Start Date]],19),IF(Main[[#This Row],[Class]]="A",WORKDAY(Main[[#This Row],[Tech Start Date]],9),""))))</f>
        <v/>
      </c>
      <c r="Q309" s="74">
        <v>39976</v>
      </c>
      <c r="R309" s="74"/>
      <c r="S309" s="72" t="s">
        <v>11</v>
      </c>
      <c r="T309" s="80" t="s">
        <v>4</v>
      </c>
      <c r="U309" s="72" t="s">
        <v>14</v>
      </c>
      <c r="V309" s="72" t="s">
        <v>1918</v>
      </c>
      <c r="W309" s="72" t="s">
        <v>1925</v>
      </c>
      <c r="X309" s="72" t="s">
        <v>2830</v>
      </c>
      <c r="Y309" s="72" t="s">
        <v>2949</v>
      </c>
      <c r="Z309" s="72" t="s">
        <v>4</v>
      </c>
      <c r="AA309" s="146" t="s">
        <v>2830</v>
      </c>
    </row>
    <row r="310" spans="1:27" ht="18.600000000000001" customHeight="1">
      <c r="A310" s="139" t="str">
        <f>IF(priority(Main[[#This Row],[Comments]])&lt;&gt;0, priority(Main[[#This Row],[Comments]]),"")</f>
        <v/>
      </c>
      <c r="B310" s="89" t="s">
        <v>1168</v>
      </c>
      <c r="C310" s="72" t="s">
        <v>4</v>
      </c>
      <c r="D310" s="73" t="s">
        <v>221</v>
      </c>
      <c r="E310" s="74"/>
      <c r="F310" s="74">
        <v>40309</v>
      </c>
      <c r="G310" s="75" t="str">
        <f>IF(stdProdLT(Main[[#This Row],[Comments]])=0.1,"N/A",IF(stdProdLT(Main[[#This Row],[Comments]])=0,"",stdProdLT(Main[[#This Row],[Comments]])))</f>
        <v/>
      </c>
      <c r="H310" s="76" t="str">
        <f>IF(AND(Main[[#This Row],[In Stock Date]]&lt;&gt;"",Main[[#This Row],[Revised Due Date]]&lt;&gt;""),Main[[#This Row],[In Stock Date]]-Main[[#This Row],[Revised Due Date]],"")</f>
        <v/>
      </c>
      <c r="I310" s="72" t="s">
        <v>4</v>
      </c>
      <c r="J310" s="72" t="s">
        <v>4</v>
      </c>
      <c r="K310" s="72" t="s">
        <v>4</v>
      </c>
      <c r="L310" s="74"/>
      <c r="M310" s="77" t="str">
        <f>IF(Main[[#This Row],[Tech Start Date]]&lt;1/1/1990,"",IF(Main[[#This Row],[Class]]="C",WORKDAY(Main[[#This Row],[Tech Start Date]],9),IF(Main[[#This Row],[Class]]="B", WORKDAY(Main[[#This Row],[Tech Start Date]],6),IF(Main[[#This Row],[Class]]="A",WORKDAY(Main[[#This Row],[Tech Start Date]],2),""))))</f>
        <v/>
      </c>
      <c r="N310" s="77" t="str">
        <f>IF(Main[[#This Row],[Tech Start Date]]&lt;1/1/1990,"",IF(Main[[#This Row],[Class]]="C",WORKDAY(Main[[#This Row],[Tech Start Date]],19),IF(Main[[#This Row],[Class]]="B", WORKDAY(Main[[#This Row],[Tech Start Date]],12),IF(Main[[#This Row],[Class]]="A",WORKDAY(Main[[#This Row],[Tech Start Date]],4),""))))</f>
        <v/>
      </c>
      <c r="O310" s="77" t="str">
        <f>IF(Main[[#This Row],[Tech Start Date]]&lt;1/1/1990,"",IF(Main[[#This Row],[Class]]="C",WORKDAY(Main[[#This Row],[Tech Start Date]],23),IF(Main[[#This Row],[Class]]="B", WORKDAY(Main[[#This Row],[Tech Start Date]],15),IF(Main[[#This Row],[Class]]="A",WORKDAY(Main[[#This Row],[Tech Start Date]],5),""))))</f>
        <v/>
      </c>
      <c r="P310" s="77" t="str">
        <f>IF(Main[[#This Row],[Tech Start Date]]&lt;1/1/1990,"",IF(Main[[#This Row],[Class]]="C",WORKDAY(Main[[#This Row],[Tech Start Date]],28),IF(Main[[#This Row],[Class]]="B", WORKDAY(Main[[#This Row],[Tech Start Date]],19),IF(Main[[#This Row],[Class]]="A",WORKDAY(Main[[#This Row],[Tech Start Date]],9),""))))</f>
        <v/>
      </c>
      <c r="Q310" s="74">
        <v>40305</v>
      </c>
      <c r="R310" s="74"/>
      <c r="S310" s="72" t="s">
        <v>6</v>
      </c>
      <c r="T310" s="80" t="s">
        <v>4</v>
      </c>
      <c r="U310" s="72" t="s">
        <v>12</v>
      </c>
      <c r="V310" s="72" t="s">
        <v>1917</v>
      </c>
      <c r="W310" s="72" t="s">
        <v>1925</v>
      </c>
      <c r="X310" s="72" t="s">
        <v>2830</v>
      </c>
      <c r="Y310" s="72" t="s">
        <v>2949</v>
      </c>
      <c r="Z310" s="72" t="s">
        <v>4</v>
      </c>
      <c r="AA310" s="146" t="s">
        <v>2830</v>
      </c>
    </row>
    <row r="311" spans="1:27" ht="18.600000000000001" customHeight="1">
      <c r="A311" s="139" t="str">
        <f>IF(priority(Main[[#This Row],[Comments]])&lt;&gt;0, priority(Main[[#This Row],[Comments]]),"")</f>
        <v/>
      </c>
      <c r="B311" s="89" t="s">
        <v>1169</v>
      </c>
      <c r="C311" s="72" t="s">
        <v>31</v>
      </c>
      <c r="D311" s="73" t="s">
        <v>222</v>
      </c>
      <c r="E311" s="74"/>
      <c r="F311" s="74">
        <v>40169</v>
      </c>
      <c r="G311" s="75" t="str">
        <f>IF(stdProdLT(Main[[#This Row],[Comments]])=0.1,"N/A",IF(stdProdLT(Main[[#This Row],[Comments]])=0,"",stdProdLT(Main[[#This Row],[Comments]])))</f>
        <v/>
      </c>
      <c r="H311" s="76" t="str">
        <f>IF(AND(Main[[#This Row],[In Stock Date]]&lt;&gt;"",Main[[#This Row],[Revised Due Date]]&lt;&gt;""),Main[[#This Row],[In Stock Date]]-Main[[#This Row],[Revised Due Date]],"")</f>
        <v/>
      </c>
      <c r="I311" s="72" t="s">
        <v>4</v>
      </c>
      <c r="J311" s="72" t="s">
        <v>4</v>
      </c>
      <c r="K311" s="72" t="s">
        <v>4</v>
      </c>
      <c r="L311" s="74"/>
      <c r="M311" s="77" t="str">
        <f>IF(Main[[#This Row],[Tech Start Date]]&lt;1/1/1990,"",IF(Main[[#This Row],[Class]]="C",WORKDAY(Main[[#This Row],[Tech Start Date]],9),IF(Main[[#This Row],[Class]]="B", WORKDAY(Main[[#This Row],[Tech Start Date]],6),IF(Main[[#This Row],[Class]]="A",WORKDAY(Main[[#This Row],[Tech Start Date]],2),""))))</f>
        <v/>
      </c>
      <c r="N311" s="77" t="str">
        <f>IF(Main[[#This Row],[Tech Start Date]]&lt;1/1/1990,"",IF(Main[[#This Row],[Class]]="C",WORKDAY(Main[[#This Row],[Tech Start Date]],19),IF(Main[[#This Row],[Class]]="B", WORKDAY(Main[[#This Row],[Tech Start Date]],12),IF(Main[[#This Row],[Class]]="A",WORKDAY(Main[[#This Row],[Tech Start Date]],4),""))))</f>
        <v/>
      </c>
      <c r="O311" s="77" t="str">
        <f>IF(Main[[#This Row],[Tech Start Date]]&lt;1/1/1990,"",IF(Main[[#This Row],[Class]]="C",WORKDAY(Main[[#This Row],[Tech Start Date]],23),IF(Main[[#This Row],[Class]]="B", WORKDAY(Main[[#This Row],[Tech Start Date]],15),IF(Main[[#This Row],[Class]]="A",WORKDAY(Main[[#This Row],[Tech Start Date]],5),""))))</f>
        <v/>
      </c>
      <c r="P311" s="77" t="str">
        <f>IF(Main[[#This Row],[Tech Start Date]]&lt;1/1/1990,"",IF(Main[[#This Row],[Class]]="C",WORKDAY(Main[[#This Row],[Tech Start Date]],28),IF(Main[[#This Row],[Class]]="B", WORKDAY(Main[[#This Row],[Tech Start Date]],19),IF(Main[[#This Row],[Class]]="A",WORKDAY(Main[[#This Row],[Tech Start Date]],9),""))))</f>
        <v/>
      </c>
      <c r="Q311" s="74">
        <v>40169</v>
      </c>
      <c r="R311" s="74"/>
      <c r="S311" s="72" t="s">
        <v>11</v>
      </c>
      <c r="T311" s="80" t="s">
        <v>4</v>
      </c>
      <c r="U311" s="72" t="s">
        <v>14</v>
      </c>
      <c r="V311" s="72" t="s">
        <v>1918</v>
      </c>
      <c r="W311" s="72" t="s">
        <v>1925</v>
      </c>
      <c r="X311" s="72" t="s">
        <v>2841</v>
      </c>
      <c r="Y311" s="72" t="s">
        <v>4</v>
      </c>
      <c r="Z311" s="72" t="s">
        <v>4</v>
      </c>
      <c r="AA311" s="146" t="s">
        <v>2841</v>
      </c>
    </row>
    <row r="312" spans="1:27" ht="18.600000000000001" customHeight="1">
      <c r="A312" s="139" t="str">
        <f>IF(priority(Main[[#This Row],[Comments]])&lt;&gt;0, priority(Main[[#This Row],[Comments]]),"")</f>
        <v/>
      </c>
      <c r="B312" s="89" t="s">
        <v>1170</v>
      </c>
      <c r="C312" s="72" t="s">
        <v>72</v>
      </c>
      <c r="D312" s="73" t="s">
        <v>223</v>
      </c>
      <c r="E312" s="74"/>
      <c r="F312" s="74">
        <v>40391</v>
      </c>
      <c r="G312" s="75" t="str">
        <f>IF(stdProdLT(Main[[#This Row],[Comments]])=0.1,"N/A",IF(stdProdLT(Main[[#This Row],[Comments]])=0,"",stdProdLT(Main[[#This Row],[Comments]])))</f>
        <v/>
      </c>
      <c r="H312" s="76" t="str">
        <f>IF(AND(Main[[#This Row],[In Stock Date]]&lt;&gt;"",Main[[#This Row],[Revised Due Date]]&lt;&gt;""),Main[[#This Row],[In Stock Date]]-Main[[#This Row],[Revised Due Date]],"")</f>
        <v/>
      </c>
      <c r="I312" s="72" t="s">
        <v>4</v>
      </c>
      <c r="J312" s="72" t="s">
        <v>4</v>
      </c>
      <c r="K312" s="72" t="s">
        <v>4</v>
      </c>
      <c r="L312" s="74"/>
      <c r="M312" s="77" t="str">
        <f>IF(Main[[#This Row],[Tech Start Date]]&lt;1/1/1990,"",IF(Main[[#This Row],[Class]]="C",WORKDAY(Main[[#This Row],[Tech Start Date]],9),IF(Main[[#This Row],[Class]]="B", WORKDAY(Main[[#This Row],[Tech Start Date]],6),IF(Main[[#This Row],[Class]]="A",WORKDAY(Main[[#This Row],[Tech Start Date]],2),""))))</f>
        <v/>
      </c>
      <c r="N312" s="77" t="str">
        <f>IF(Main[[#This Row],[Tech Start Date]]&lt;1/1/1990,"",IF(Main[[#This Row],[Class]]="C",WORKDAY(Main[[#This Row],[Tech Start Date]],19),IF(Main[[#This Row],[Class]]="B", WORKDAY(Main[[#This Row],[Tech Start Date]],12),IF(Main[[#This Row],[Class]]="A",WORKDAY(Main[[#This Row],[Tech Start Date]],4),""))))</f>
        <v/>
      </c>
      <c r="O312" s="77" t="str">
        <f>IF(Main[[#This Row],[Tech Start Date]]&lt;1/1/1990,"",IF(Main[[#This Row],[Class]]="C",WORKDAY(Main[[#This Row],[Tech Start Date]],23),IF(Main[[#This Row],[Class]]="B", WORKDAY(Main[[#This Row],[Tech Start Date]],15),IF(Main[[#This Row],[Class]]="A",WORKDAY(Main[[#This Row],[Tech Start Date]],5),""))))</f>
        <v/>
      </c>
      <c r="P312" s="77" t="str">
        <f>IF(Main[[#This Row],[Tech Start Date]]&lt;1/1/1990,"",IF(Main[[#This Row],[Class]]="C",WORKDAY(Main[[#This Row],[Tech Start Date]],28),IF(Main[[#This Row],[Class]]="B", WORKDAY(Main[[#This Row],[Tech Start Date]],19),IF(Main[[#This Row],[Class]]="A",WORKDAY(Main[[#This Row],[Tech Start Date]],9),""))))</f>
        <v/>
      </c>
      <c r="Q312" s="74">
        <v>40291</v>
      </c>
      <c r="R312" s="74"/>
      <c r="S312" s="72" t="s">
        <v>11</v>
      </c>
      <c r="T312" s="80" t="s">
        <v>4</v>
      </c>
      <c r="U312" s="72" t="s">
        <v>12</v>
      </c>
      <c r="V312" s="72" t="s">
        <v>1918</v>
      </c>
      <c r="W312" s="72" t="s">
        <v>1922</v>
      </c>
      <c r="X312" s="72" t="s">
        <v>2870</v>
      </c>
      <c r="Y312" s="72" t="s">
        <v>4</v>
      </c>
      <c r="Z312" s="72" t="s">
        <v>4</v>
      </c>
      <c r="AA312" s="146" t="s">
        <v>2870</v>
      </c>
    </row>
    <row r="313" spans="1:27" ht="18.600000000000001" customHeight="1">
      <c r="A313" s="139" t="str">
        <f>IF(priority(Main[[#This Row],[Comments]])&lt;&gt;0, priority(Main[[#This Row],[Comments]]),"")</f>
        <v/>
      </c>
      <c r="B313" s="89" t="s">
        <v>1172</v>
      </c>
      <c r="C313" s="72" t="s">
        <v>4</v>
      </c>
      <c r="D313" s="73" t="s">
        <v>226</v>
      </c>
      <c r="E313" s="74"/>
      <c r="F313" s="74">
        <v>40574</v>
      </c>
      <c r="G313" s="75" t="str">
        <f>IF(stdProdLT(Main[[#This Row],[Comments]])=0.1,"N/A",IF(stdProdLT(Main[[#This Row],[Comments]])=0,"",stdProdLT(Main[[#This Row],[Comments]])))</f>
        <v/>
      </c>
      <c r="H313" s="76" t="str">
        <f>IF(AND(Main[[#This Row],[In Stock Date]]&lt;&gt;"",Main[[#This Row],[Revised Due Date]]&lt;&gt;""),Main[[#This Row],[In Stock Date]]-Main[[#This Row],[Revised Due Date]],"")</f>
        <v/>
      </c>
      <c r="I313" s="72" t="s">
        <v>4</v>
      </c>
      <c r="J313" s="72" t="s">
        <v>28</v>
      </c>
      <c r="K313" s="72" t="s">
        <v>1926</v>
      </c>
      <c r="L313" s="74"/>
      <c r="M313" s="77" t="str">
        <f>IF(Main[[#This Row],[Tech Start Date]]&lt;1/1/1990,"",IF(Main[[#This Row],[Class]]="C",WORKDAY(Main[[#This Row],[Tech Start Date]],9),IF(Main[[#This Row],[Class]]="B", WORKDAY(Main[[#This Row],[Tech Start Date]],6),IF(Main[[#This Row],[Class]]="A",WORKDAY(Main[[#This Row],[Tech Start Date]],2),""))))</f>
        <v/>
      </c>
      <c r="N313" s="77" t="str">
        <f>IF(Main[[#This Row],[Tech Start Date]]&lt;1/1/1990,"",IF(Main[[#This Row],[Class]]="C",WORKDAY(Main[[#This Row],[Tech Start Date]],19),IF(Main[[#This Row],[Class]]="B", WORKDAY(Main[[#This Row],[Tech Start Date]],12),IF(Main[[#This Row],[Class]]="A",WORKDAY(Main[[#This Row],[Tech Start Date]],4),""))))</f>
        <v/>
      </c>
      <c r="O313" s="77" t="str">
        <f>IF(Main[[#This Row],[Tech Start Date]]&lt;1/1/1990,"",IF(Main[[#This Row],[Class]]="C",WORKDAY(Main[[#This Row],[Tech Start Date]],23),IF(Main[[#This Row],[Class]]="B", WORKDAY(Main[[#This Row],[Tech Start Date]],15),IF(Main[[#This Row],[Class]]="A",WORKDAY(Main[[#This Row],[Tech Start Date]],5),""))))</f>
        <v/>
      </c>
      <c r="P313" s="77" t="str">
        <f>IF(Main[[#This Row],[Tech Start Date]]&lt;1/1/1990,"",IF(Main[[#This Row],[Class]]="C",WORKDAY(Main[[#This Row],[Tech Start Date]],28),IF(Main[[#This Row],[Class]]="B", WORKDAY(Main[[#This Row],[Tech Start Date]],19),IF(Main[[#This Row],[Class]]="A",WORKDAY(Main[[#This Row],[Tech Start Date]],9),""))))</f>
        <v/>
      </c>
      <c r="Q313" s="74">
        <v>40574</v>
      </c>
      <c r="R313" s="74"/>
      <c r="S313" s="72" t="s">
        <v>6</v>
      </c>
      <c r="T313" s="80" t="s">
        <v>4</v>
      </c>
      <c r="U313" s="72" t="s">
        <v>14</v>
      </c>
      <c r="V313" s="72" t="s">
        <v>1920</v>
      </c>
      <c r="W313" s="72" t="s">
        <v>1921</v>
      </c>
      <c r="X313" s="72" t="s">
        <v>2828</v>
      </c>
      <c r="Y313" s="72" t="s">
        <v>2944</v>
      </c>
      <c r="Z313" s="72" t="s">
        <v>530</v>
      </c>
      <c r="AA313" s="146" t="s">
        <v>2828</v>
      </c>
    </row>
    <row r="314" spans="1:27" ht="18.600000000000001" customHeight="1">
      <c r="A314" s="139" t="str">
        <f>IF(priority(Main[[#This Row],[Comments]])&lt;&gt;0, priority(Main[[#This Row],[Comments]]),"")</f>
        <v/>
      </c>
      <c r="B314" s="89" t="s">
        <v>1175</v>
      </c>
      <c r="C314" s="72" t="s">
        <v>4</v>
      </c>
      <c r="D314" s="73" t="s">
        <v>228</v>
      </c>
      <c r="E314" s="74"/>
      <c r="F314" s="74"/>
      <c r="G314" s="75" t="str">
        <f>IF(stdProdLT(Main[[#This Row],[Comments]])=0.1,"N/A",IF(stdProdLT(Main[[#This Row],[Comments]])=0,"",stdProdLT(Main[[#This Row],[Comments]])))</f>
        <v/>
      </c>
      <c r="H314" s="76" t="str">
        <f>IF(AND(Main[[#This Row],[In Stock Date]]&lt;&gt;"",Main[[#This Row],[Revised Due Date]]&lt;&gt;""),Main[[#This Row],[In Stock Date]]-Main[[#This Row],[Revised Due Date]],"")</f>
        <v/>
      </c>
      <c r="I314" s="72" t="s">
        <v>4</v>
      </c>
      <c r="J314" s="72" t="s">
        <v>4</v>
      </c>
      <c r="K314" s="81" t="s">
        <v>4</v>
      </c>
      <c r="L314" s="74"/>
      <c r="M314" s="77" t="str">
        <f>IF(Main[[#This Row],[Tech Start Date]]&lt;1/1/1990,"",IF(Main[[#This Row],[Class]]="C",WORKDAY(Main[[#This Row],[Tech Start Date]],9),IF(Main[[#This Row],[Class]]="B", WORKDAY(Main[[#This Row],[Tech Start Date]],6),IF(Main[[#This Row],[Class]]="A",WORKDAY(Main[[#This Row],[Tech Start Date]],2),""))))</f>
        <v/>
      </c>
      <c r="N314" s="77" t="str">
        <f>IF(Main[[#This Row],[Tech Start Date]]&lt;1/1/1990,"",IF(Main[[#This Row],[Class]]="C",WORKDAY(Main[[#This Row],[Tech Start Date]],19),IF(Main[[#This Row],[Class]]="B", WORKDAY(Main[[#This Row],[Tech Start Date]],12),IF(Main[[#This Row],[Class]]="A",WORKDAY(Main[[#This Row],[Tech Start Date]],4),""))))</f>
        <v/>
      </c>
      <c r="O314" s="77" t="str">
        <f>IF(Main[[#This Row],[Tech Start Date]]&lt;1/1/1990,"",IF(Main[[#This Row],[Class]]="C",WORKDAY(Main[[#This Row],[Tech Start Date]],23),IF(Main[[#This Row],[Class]]="B", WORKDAY(Main[[#This Row],[Tech Start Date]],15),IF(Main[[#This Row],[Class]]="A",WORKDAY(Main[[#This Row],[Tech Start Date]],5),""))))</f>
        <v/>
      </c>
      <c r="P314" s="77" t="str">
        <f>IF(Main[[#This Row],[Tech Start Date]]&lt;1/1/1990,"",IF(Main[[#This Row],[Class]]="C",WORKDAY(Main[[#This Row],[Tech Start Date]],28),IF(Main[[#This Row],[Class]]="B", WORKDAY(Main[[#This Row],[Tech Start Date]],19),IF(Main[[#This Row],[Class]]="A",WORKDAY(Main[[#This Row],[Tech Start Date]],9),""))))</f>
        <v/>
      </c>
      <c r="Q314" s="74">
        <v>40724</v>
      </c>
      <c r="R314" s="74"/>
      <c r="S314" s="72" t="s">
        <v>6</v>
      </c>
      <c r="T314" s="80" t="s">
        <v>4</v>
      </c>
      <c r="U314" s="72" t="s">
        <v>12</v>
      </c>
      <c r="V314" s="72" t="s">
        <v>1917</v>
      </c>
      <c r="W314" s="72" t="s">
        <v>1921</v>
      </c>
      <c r="X314" s="72" t="s">
        <v>879</v>
      </c>
      <c r="Y314" s="72" t="s">
        <v>3015</v>
      </c>
      <c r="Z314" s="72" t="s">
        <v>4</v>
      </c>
      <c r="AA314" s="146" t="s">
        <v>879</v>
      </c>
    </row>
    <row r="315" spans="1:27" ht="18.600000000000001" customHeight="1">
      <c r="A315" s="139" t="str">
        <f>IF(priority(Main[[#This Row],[Comments]])&lt;&gt;0, priority(Main[[#This Row],[Comments]]),"")</f>
        <v/>
      </c>
      <c r="B315" s="89" t="s">
        <v>2354</v>
      </c>
      <c r="C315" s="72" t="s">
        <v>53</v>
      </c>
      <c r="D315" s="73" t="s">
        <v>2355</v>
      </c>
      <c r="E315" s="74"/>
      <c r="F315" s="74">
        <v>40845</v>
      </c>
      <c r="G315" s="75" t="str">
        <f>IF(stdProdLT(Main[[#This Row],[Comments]])=0.1,"N/A",IF(stdProdLT(Main[[#This Row],[Comments]])=0,"",stdProdLT(Main[[#This Row],[Comments]])))</f>
        <v/>
      </c>
      <c r="H315" s="76" t="str">
        <f>IF(AND(Main[[#This Row],[In Stock Date]]&lt;&gt;"",Main[[#This Row],[Revised Due Date]]&lt;&gt;""),Main[[#This Row],[In Stock Date]]-Main[[#This Row],[Revised Due Date]],"")</f>
        <v/>
      </c>
      <c r="I315" s="72" t="s">
        <v>4</v>
      </c>
      <c r="J315" s="72" t="s">
        <v>28</v>
      </c>
      <c r="K315" s="72" t="s">
        <v>4</v>
      </c>
      <c r="L315" s="74"/>
      <c r="M315" s="77" t="str">
        <f>IF(Main[[#This Row],[Tech Start Date]]&lt;1/1/1990,"",IF(Main[[#This Row],[Class]]="C",WORKDAY(Main[[#This Row],[Tech Start Date]],9),IF(Main[[#This Row],[Class]]="B", WORKDAY(Main[[#This Row],[Tech Start Date]],6),IF(Main[[#This Row],[Class]]="A",WORKDAY(Main[[#This Row],[Tech Start Date]],2),""))))</f>
        <v/>
      </c>
      <c r="N315" s="77" t="str">
        <f>IF(Main[[#This Row],[Tech Start Date]]&lt;1/1/1990,"",IF(Main[[#This Row],[Class]]="C",WORKDAY(Main[[#This Row],[Tech Start Date]],19),IF(Main[[#This Row],[Class]]="B", WORKDAY(Main[[#This Row],[Tech Start Date]],12),IF(Main[[#This Row],[Class]]="A",WORKDAY(Main[[#This Row],[Tech Start Date]],4),""))))</f>
        <v/>
      </c>
      <c r="O315" s="77" t="str">
        <f>IF(Main[[#This Row],[Tech Start Date]]&lt;1/1/1990,"",IF(Main[[#This Row],[Class]]="C",WORKDAY(Main[[#This Row],[Tech Start Date]],23),IF(Main[[#This Row],[Class]]="B", WORKDAY(Main[[#This Row],[Tech Start Date]],15),IF(Main[[#This Row],[Class]]="A",WORKDAY(Main[[#This Row],[Tech Start Date]],5),""))))</f>
        <v/>
      </c>
      <c r="P315" s="77" t="str">
        <f>IF(Main[[#This Row],[Tech Start Date]]&lt;1/1/1990,"",IF(Main[[#This Row],[Class]]="C",WORKDAY(Main[[#This Row],[Tech Start Date]],28),IF(Main[[#This Row],[Class]]="B", WORKDAY(Main[[#This Row],[Tech Start Date]],19),IF(Main[[#This Row],[Class]]="A",WORKDAY(Main[[#This Row],[Tech Start Date]],9),""))))</f>
        <v/>
      </c>
      <c r="Q315" s="74">
        <v>40840</v>
      </c>
      <c r="R315" s="74"/>
      <c r="S315" s="72" t="s">
        <v>11</v>
      </c>
      <c r="T315" s="80" t="s">
        <v>2356</v>
      </c>
      <c r="U315" s="72" t="s">
        <v>12</v>
      </c>
      <c r="V315" s="72" t="s">
        <v>1918</v>
      </c>
      <c r="W315" s="72" t="s">
        <v>1919</v>
      </c>
      <c r="X315" s="72" t="s">
        <v>2254</v>
      </c>
      <c r="Y315" s="72" t="s">
        <v>4</v>
      </c>
      <c r="Z315" s="72" t="s">
        <v>2056</v>
      </c>
      <c r="AA315" s="146" t="s">
        <v>2822</v>
      </c>
    </row>
    <row r="316" spans="1:27" ht="18.600000000000001" customHeight="1">
      <c r="A316" s="139" t="str">
        <f>IF(priority(Main[[#This Row],[Comments]])&lt;&gt;0, priority(Main[[#This Row],[Comments]]),"")</f>
        <v/>
      </c>
      <c r="B316" s="89" t="s">
        <v>1178</v>
      </c>
      <c r="C316" s="72" t="s">
        <v>67</v>
      </c>
      <c r="D316" s="73" t="s">
        <v>231</v>
      </c>
      <c r="E316" s="74"/>
      <c r="F316" s="74"/>
      <c r="G316" s="75" t="str">
        <f>IF(stdProdLT(Main[[#This Row],[Comments]])=0.1,"N/A",IF(stdProdLT(Main[[#This Row],[Comments]])=0,"",stdProdLT(Main[[#This Row],[Comments]])))</f>
        <v/>
      </c>
      <c r="H316" s="76" t="str">
        <f>IF(AND(Main[[#This Row],[In Stock Date]]&lt;&gt;"",Main[[#This Row],[Revised Due Date]]&lt;&gt;""),Main[[#This Row],[In Stock Date]]-Main[[#This Row],[Revised Due Date]],"")</f>
        <v/>
      </c>
      <c r="I316" s="72" t="s">
        <v>4</v>
      </c>
      <c r="J316" s="72" t="s">
        <v>4</v>
      </c>
      <c r="K316" s="72" t="s">
        <v>4</v>
      </c>
      <c r="L316" s="74"/>
      <c r="M316" s="77" t="str">
        <f>IF(Main[[#This Row],[Tech Start Date]]&lt;1/1/1990,"",IF(Main[[#This Row],[Class]]="C",WORKDAY(Main[[#This Row],[Tech Start Date]],9),IF(Main[[#This Row],[Class]]="B", WORKDAY(Main[[#This Row],[Tech Start Date]],6),IF(Main[[#This Row],[Class]]="A",WORKDAY(Main[[#This Row],[Tech Start Date]],2),""))))</f>
        <v/>
      </c>
      <c r="N316" s="77" t="str">
        <f>IF(Main[[#This Row],[Tech Start Date]]&lt;1/1/1990,"",IF(Main[[#This Row],[Class]]="C",WORKDAY(Main[[#This Row],[Tech Start Date]],19),IF(Main[[#This Row],[Class]]="B", WORKDAY(Main[[#This Row],[Tech Start Date]],12),IF(Main[[#This Row],[Class]]="A",WORKDAY(Main[[#This Row],[Tech Start Date]],4),""))))</f>
        <v/>
      </c>
      <c r="O316" s="77" t="str">
        <f>IF(Main[[#This Row],[Tech Start Date]]&lt;1/1/1990,"",IF(Main[[#This Row],[Class]]="C",WORKDAY(Main[[#This Row],[Tech Start Date]],23),IF(Main[[#This Row],[Class]]="B", WORKDAY(Main[[#This Row],[Tech Start Date]],15),IF(Main[[#This Row],[Class]]="A",WORKDAY(Main[[#This Row],[Tech Start Date]],5),""))))</f>
        <v/>
      </c>
      <c r="P316" s="77" t="str">
        <f>IF(Main[[#This Row],[Tech Start Date]]&lt;1/1/1990,"",IF(Main[[#This Row],[Class]]="C",WORKDAY(Main[[#This Row],[Tech Start Date]],28),IF(Main[[#This Row],[Class]]="B", WORKDAY(Main[[#This Row],[Tech Start Date]],19),IF(Main[[#This Row],[Class]]="A",WORKDAY(Main[[#This Row],[Tech Start Date]],9),""))))</f>
        <v/>
      </c>
      <c r="Q316" s="74">
        <v>40466</v>
      </c>
      <c r="R316" s="74"/>
      <c r="S316" s="72" t="s">
        <v>17</v>
      </c>
      <c r="T316" s="80" t="s">
        <v>4</v>
      </c>
      <c r="U316" s="72" t="s">
        <v>14</v>
      </c>
      <c r="V316" s="72" t="s">
        <v>1920</v>
      </c>
      <c r="W316" s="72" t="s">
        <v>1925</v>
      </c>
      <c r="X316" s="72" t="s">
        <v>415</v>
      </c>
      <c r="Y316" s="72" t="s">
        <v>2955</v>
      </c>
      <c r="Z316" s="72" t="s">
        <v>415</v>
      </c>
      <c r="AA316" s="146" t="s">
        <v>415</v>
      </c>
    </row>
    <row r="317" spans="1:27" ht="18.600000000000001" customHeight="1">
      <c r="A317" s="139" t="str">
        <f>IF(priority(Main[[#This Row],[Comments]])&lt;&gt;0, priority(Main[[#This Row],[Comments]]),"")</f>
        <v/>
      </c>
      <c r="B317" s="89" t="s">
        <v>1179</v>
      </c>
      <c r="C317" s="72" t="s">
        <v>72</v>
      </c>
      <c r="D317" s="73" t="s">
        <v>223</v>
      </c>
      <c r="E317" s="74"/>
      <c r="F317" s="74">
        <v>40391</v>
      </c>
      <c r="G317" s="75" t="str">
        <f>IF(stdProdLT(Main[[#This Row],[Comments]])=0.1,"N/A",IF(stdProdLT(Main[[#This Row],[Comments]])=0,"",stdProdLT(Main[[#This Row],[Comments]])))</f>
        <v/>
      </c>
      <c r="H317" s="76" t="str">
        <f>IF(AND(Main[[#This Row],[In Stock Date]]&lt;&gt;"",Main[[#This Row],[Revised Due Date]]&lt;&gt;""),Main[[#This Row],[In Stock Date]]-Main[[#This Row],[Revised Due Date]],"")</f>
        <v/>
      </c>
      <c r="I317" s="72" t="s">
        <v>4</v>
      </c>
      <c r="J317" s="72" t="s">
        <v>4</v>
      </c>
      <c r="K317" s="72" t="s">
        <v>4</v>
      </c>
      <c r="L317" s="74"/>
      <c r="M317" s="77" t="str">
        <f>IF(Main[[#This Row],[Tech Start Date]]&lt;1/1/1990,"",IF(Main[[#This Row],[Class]]="C",WORKDAY(Main[[#This Row],[Tech Start Date]],9),IF(Main[[#This Row],[Class]]="B", WORKDAY(Main[[#This Row],[Tech Start Date]],6),IF(Main[[#This Row],[Class]]="A",WORKDAY(Main[[#This Row],[Tech Start Date]],2),""))))</f>
        <v/>
      </c>
      <c r="N317" s="77" t="str">
        <f>IF(Main[[#This Row],[Tech Start Date]]&lt;1/1/1990,"",IF(Main[[#This Row],[Class]]="C",WORKDAY(Main[[#This Row],[Tech Start Date]],19),IF(Main[[#This Row],[Class]]="B", WORKDAY(Main[[#This Row],[Tech Start Date]],12),IF(Main[[#This Row],[Class]]="A",WORKDAY(Main[[#This Row],[Tech Start Date]],4),""))))</f>
        <v/>
      </c>
      <c r="O317" s="77" t="str">
        <f>IF(Main[[#This Row],[Tech Start Date]]&lt;1/1/1990,"",IF(Main[[#This Row],[Class]]="C",WORKDAY(Main[[#This Row],[Tech Start Date]],23),IF(Main[[#This Row],[Class]]="B", WORKDAY(Main[[#This Row],[Tech Start Date]],15),IF(Main[[#This Row],[Class]]="A",WORKDAY(Main[[#This Row],[Tech Start Date]],5),""))))</f>
        <v/>
      </c>
      <c r="P317" s="77" t="str">
        <f>IF(Main[[#This Row],[Tech Start Date]]&lt;1/1/1990,"",IF(Main[[#This Row],[Class]]="C",WORKDAY(Main[[#This Row],[Tech Start Date]],28),IF(Main[[#This Row],[Class]]="B", WORKDAY(Main[[#This Row],[Tech Start Date]],19),IF(Main[[#This Row],[Class]]="A",WORKDAY(Main[[#This Row],[Tech Start Date]],9),""))))</f>
        <v/>
      </c>
      <c r="Q317" s="74">
        <v>40291</v>
      </c>
      <c r="R317" s="74"/>
      <c r="S317" s="72" t="s">
        <v>11</v>
      </c>
      <c r="T317" s="80" t="s">
        <v>4</v>
      </c>
      <c r="U317" s="72" t="s">
        <v>12</v>
      </c>
      <c r="V317" s="72" t="s">
        <v>1918</v>
      </c>
      <c r="W317" s="72" t="s">
        <v>1922</v>
      </c>
      <c r="X317" s="72" t="s">
        <v>2870</v>
      </c>
      <c r="Y317" s="72" t="s">
        <v>4</v>
      </c>
      <c r="Z317" s="72" t="s">
        <v>4</v>
      </c>
      <c r="AA317" s="146" t="s">
        <v>2870</v>
      </c>
    </row>
    <row r="318" spans="1:27" ht="18.600000000000001" customHeight="1">
      <c r="A318" s="139" t="str">
        <f>IF(priority(Main[[#This Row],[Comments]])&lt;&gt;0, priority(Main[[#This Row],[Comments]]),"")</f>
        <v/>
      </c>
      <c r="B318" s="89" t="s">
        <v>1221</v>
      </c>
      <c r="C318" s="72" t="s">
        <v>4</v>
      </c>
      <c r="D318" s="73" t="s">
        <v>279</v>
      </c>
      <c r="E318" s="74"/>
      <c r="F318" s="74"/>
      <c r="G318" s="75" t="str">
        <f>IF(stdProdLT(Main[[#This Row],[Comments]])=0.1,"N/A",IF(stdProdLT(Main[[#This Row],[Comments]])=0,"",stdProdLT(Main[[#This Row],[Comments]])))</f>
        <v/>
      </c>
      <c r="H318" s="76" t="str">
        <f>IF(AND(Main[[#This Row],[In Stock Date]]&lt;&gt;"",Main[[#This Row],[Revised Due Date]]&lt;&gt;""),Main[[#This Row],[In Stock Date]]-Main[[#This Row],[Revised Due Date]],"")</f>
        <v/>
      </c>
      <c r="I318" s="72" t="s">
        <v>4</v>
      </c>
      <c r="J318" s="72" t="s">
        <v>4</v>
      </c>
      <c r="K318" s="72" t="s">
        <v>4</v>
      </c>
      <c r="L318" s="74"/>
      <c r="M318" s="77" t="str">
        <f>IF(Main[[#This Row],[Tech Start Date]]&lt;1/1/1990,"",IF(Main[[#This Row],[Class]]="C",WORKDAY(Main[[#This Row],[Tech Start Date]],9),IF(Main[[#This Row],[Class]]="B", WORKDAY(Main[[#This Row],[Tech Start Date]],6),IF(Main[[#This Row],[Class]]="A",WORKDAY(Main[[#This Row],[Tech Start Date]],2),""))))</f>
        <v/>
      </c>
      <c r="N318" s="77" t="str">
        <f>IF(Main[[#This Row],[Tech Start Date]]&lt;1/1/1990,"",IF(Main[[#This Row],[Class]]="C",WORKDAY(Main[[#This Row],[Tech Start Date]],19),IF(Main[[#This Row],[Class]]="B", WORKDAY(Main[[#This Row],[Tech Start Date]],12),IF(Main[[#This Row],[Class]]="A",WORKDAY(Main[[#This Row],[Tech Start Date]],4),""))))</f>
        <v/>
      </c>
      <c r="O318" s="77" t="str">
        <f>IF(Main[[#This Row],[Tech Start Date]]&lt;1/1/1990,"",IF(Main[[#This Row],[Class]]="C",WORKDAY(Main[[#This Row],[Tech Start Date]],23),IF(Main[[#This Row],[Class]]="B", WORKDAY(Main[[#This Row],[Tech Start Date]],15),IF(Main[[#This Row],[Class]]="A",WORKDAY(Main[[#This Row],[Tech Start Date]],5),""))))</f>
        <v/>
      </c>
      <c r="P318" s="77" t="str">
        <f>IF(Main[[#This Row],[Tech Start Date]]&lt;1/1/1990,"",IF(Main[[#This Row],[Class]]="C",WORKDAY(Main[[#This Row],[Tech Start Date]],28),IF(Main[[#This Row],[Class]]="B", WORKDAY(Main[[#This Row],[Tech Start Date]],19),IF(Main[[#This Row],[Class]]="A",WORKDAY(Main[[#This Row],[Tech Start Date]],9),""))))</f>
        <v/>
      </c>
      <c r="Q318" s="74"/>
      <c r="R318" s="74"/>
      <c r="S318" s="72" t="s">
        <v>23</v>
      </c>
      <c r="T318" s="80" t="s">
        <v>4</v>
      </c>
      <c r="U318" s="72" t="s">
        <v>12</v>
      </c>
      <c r="V318" s="72" t="s">
        <v>1917</v>
      </c>
      <c r="W318" s="72" t="s">
        <v>1921</v>
      </c>
      <c r="X318" s="72" t="s">
        <v>399</v>
      </c>
      <c r="Y318" s="72" t="s">
        <v>4</v>
      </c>
      <c r="Z318" s="72" t="s">
        <v>4</v>
      </c>
      <c r="AA318" s="146" t="s">
        <v>3390</v>
      </c>
    </row>
    <row r="319" spans="1:27" ht="18.600000000000001" customHeight="1">
      <c r="A319" s="139" t="str">
        <f>IF(priority(Main[[#This Row],[Comments]])&lt;&gt;0, priority(Main[[#This Row],[Comments]]),"")</f>
        <v/>
      </c>
      <c r="B319" s="89" t="s">
        <v>1222</v>
      </c>
      <c r="C319" s="72" t="s">
        <v>31</v>
      </c>
      <c r="D319" s="73" t="s">
        <v>280</v>
      </c>
      <c r="E319" s="74"/>
      <c r="F319" s="74"/>
      <c r="G319" s="75" t="str">
        <f>IF(stdProdLT(Main[[#This Row],[Comments]])=0.1,"N/A",IF(stdProdLT(Main[[#This Row],[Comments]])=0,"",stdProdLT(Main[[#This Row],[Comments]])))</f>
        <v/>
      </c>
      <c r="H319" s="76" t="str">
        <f>IF(AND(Main[[#This Row],[In Stock Date]]&lt;&gt;"",Main[[#This Row],[Revised Due Date]]&lt;&gt;""),Main[[#This Row],[In Stock Date]]-Main[[#This Row],[Revised Due Date]],"")</f>
        <v/>
      </c>
      <c r="I319" s="72" t="s">
        <v>4</v>
      </c>
      <c r="J319" s="72" t="s">
        <v>4</v>
      </c>
      <c r="K319" s="72" t="s">
        <v>4</v>
      </c>
      <c r="L319" s="74"/>
      <c r="M319" s="77" t="str">
        <f>IF(Main[[#This Row],[Tech Start Date]]&lt;1/1/1990,"",IF(Main[[#This Row],[Class]]="C",WORKDAY(Main[[#This Row],[Tech Start Date]],9),IF(Main[[#This Row],[Class]]="B", WORKDAY(Main[[#This Row],[Tech Start Date]],6),IF(Main[[#This Row],[Class]]="A",WORKDAY(Main[[#This Row],[Tech Start Date]],2),""))))</f>
        <v/>
      </c>
      <c r="N319" s="77" t="str">
        <f>IF(Main[[#This Row],[Tech Start Date]]&lt;1/1/1990,"",IF(Main[[#This Row],[Class]]="C",WORKDAY(Main[[#This Row],[Tech Start Date]],19),IF(Main[[#This Row],[Class]]="B", WORKDAY(Main[[#This Row],[Tech Start Date]],12),IF(Main[[#This Row],[Class]]="A",WORKDAY(Main[[#This Row],[Tech Start Date]],4),""))))</f>
        <v/>
      </c>
      <c r="O319" s="77" t="str">
        <f>IF(Main[[#This Row],[Tech Start Date]]&lt;1/1/1990,"",IF(Main[[#This Row],[Class]]="C",WORKDAY(Main[[#This Row],[Tech Start Date]],23),IF(Main[[#This Row],[Class]]="B", WORKDAY(Main[[#This Row],[Tech Start Date]],15),IF(Main[[#This Row],[Class]]="A",WORKDAY(Main[[#This Row],[Tech Start Date]],5),""))))</f>
        <v/>
      </c>
      <c r="P319" s="77" t="str">
        <f>IF(Main[[#This Row],[Tech Start Date]]&lt;1/1/1990,"",IF(Main[[#This Row],[Class]]="C",WORKDAY(Main[[#This Row],[Tech Start Date]],28),IF(Main[[#This Row],[Class]]="B", WORKDAY(Main[[#This Row],[Tech Start Date]],19),IF(Main[[#This Row],[Class]]="A",WORKDAY(Main[[#This Row],[Tech Start Date]],9),""))))</f>
        <v/>
      </c>
      <c r="Q319" s="74">
        <v>40318</v>
      </c>
      <c r="R319" s="74"/>
      <c r="S319" s="72" t="s">
        <v>11</v>
      </c>
      <c r="T319" s="80" t="s">
        <v>4</v>
      </c>
      <c r="U319" s="72" t="s">
        <v>14</v>
      </c>
      <c r="V319" s="72" t="s">
        <v>1927</v>
      </c>
      <c r="W319" s="72" t="s">
        <v>1919</v>
      </c>
      <c r="X319" s="72" t="s">
        <v>2836</v>
      </c>
      <c r="Y319" s="72" t="s">
        <v>4</v>
      </c>
      <c r="Z319" s="72" t="s">
        <v>4</v>
      </c>
      <c r="AA319" s="146" t="s">
        <v>2836</v>
      </c>
    </row>
    <row r="320" spans="1:27" ht="18.600000000000001" customHeight="1">
      <c r="A320" s="139" t="str">
        <f>IF(priority(Main[[#This Row],[Comments]])&lt;&gt;0, priority(Main[[#This Row],[Comments]]),"")</f>
        <v/>
      </c>
      <c r="B320" s="89" t="s">
        <v>1826</v>
      </c>
      <c r="C320" s="72" t="s">
        <v>79</v>
      </c>
      <c r="D320" s="73" t="s">
        <v>876</v>
      </c>
      <c r="E320" s="74">
        <v>40072.658055555556</v>
      </c>
      <c r="F320" s="74">
        <v>40157</v>
      </c>
      <c r="G320" s="75" t="str">
        <f>IF(stdProdLT(Main[[#This Row],[Comments]])=0.1,"N/A",IF(stdProdLT(Main[[#This Row],[Comments]])=0,"",stdProdLT(Main[[#This Row],[Comments]])))</f>
        <v/>
      </c>
      <c r="H320" s="76">
        <f>IF(AND(Main[[#This Row],[In Stock Date]]&lt;&gt;"",Main[[#This Row],[Revised Due Date]]&lt;&gt;""),Main[[#This Row],[In Stock Date]]-Main[[#This Row],[Revised Due Date]],"")</f>
        <v>-171</v>
      </c>
      <c r="I320" s="72" t="s">
        <v>4</v>
      </c>
      <c r="J320" s="72" t="s">
        <v>4</v>
      </c>
      <c r="K320" s="72" t="s">
        <v>1929</v>
      </c>
      <c r="L320" s="74"/>
      <c r="M320" s="77" t="str">
        <f>IF(Main[[#This Row],[Tech Start Date]]&lt;1/1/1990,"",IF(Main[[#This Row],[Class]]="C",WORKDAY(Main[[#This Row],[Tech Start Date]],9),IF(Main[[#This Row],[Class]]="B", WORKDAY(Main[[#This Row],[Tech Start Date]],6),IF(Main[[#This Row],[Class]]="A",WORKDAY(Main[[#This Row],[Tech Start Date]],2),""))))</f>
        <v/>
      </c>
      <c r="N320" s="77" t="str">
        <f>IF(Main[[#This Row],[Tech Start Date]]&lt;1/1/1990,"",IF(Main[[#This Row],[Class]]="C",WORKDAY(Main[[#This Row],[Tech Start Date]],19),IF(Main[[#This Row],[Class]]="B", WORKDAY(Main[[#This Row],[Tech Start Date]],12),IF(Main[[#This Row],[Class]]="A",WORKDAY(Main[[#This Row],[Tech Start Date]],4),""))))</f>
        <v/>
      </c>
      <c r="O320" s="77" t="str">
        <f>IF(Main[[#This Row],[Tech Start Date]]&lt;1/1/1990,"",IF(Main[[#This Row],[Class]]="C",WORKDAY(Main[[#This Row],[Tech Start Date]],23),IF(Main[[#This Row],[Class]]="B", WORKDAY(Main[[#This Row],[Tech Start Date]],15),IF(Main[[#This Row],[Class]]="A",WORKDAY(Main[[#This Row],[Tech Start Date]],5),""))))</f>
        <v/>
      </c>
      <c r="P320" s="77" t="str">
        <f>IF(Main[[#This Row],[Tech Start Date]]&lt;1/1/1990,"",IF(Main[[#This Row],[Class]]="C",WORKDAY(Main[[#This Row],[Tech Start Date]],28),IF(Main[[#This Row],[Class]]="B", WORKDAY(Main[[#This Row],[Tech Start Date]],19),IF(Main[[#This Row],[Class]]="A",WORKDAY(Main[[#This Row],[Tech Start Date]],9),""))))</f>
        <v/>
      </c>
      <c r="Q320" s="74">
        <v>40117</v>
      </c>
      <c r="R320" s="74">
        <v>40328</v>
      </c>
      <c r="S320" s="72" t="s">
        <v>17</v>
      </c>
      <c r="T320" s="80" t="s">
        <v>4</v>
      </c>
      <c r="U320" s="72" t="s">
        <v>29</v>
      </c>
      <c r="V320" s="72" t="s">
        <v>1918</v>
      </c>
      <c r="W320" s="72" t="s">
        <v>1922</v>
      </c>
      <c r="X320" s="72" t="s">
        <v>2867</v>
      </c>
      <c r="Y320" s="72" t="s">
        <v>2962</v>
      </c>
      <c r="Z320" s="72" t="s">
        <v>4</v>
      </c>
      <c r="AA320" s="146" t="s">
        <v>2867</v>
      </c>
    </row>
    <row r="321" spans="1:27" ht="18.600000000000001" customHeight="1">
      <c r="A321" s="139" t="str">
        <f>IF(priority(Main[[#This Row],[Comments]])&lt;&gt;0, priority(Main[[#This Row],[Comments]]),"")</f>
        <v/>
      </c>
      <c r="B321" s="89" t="s">
        <v>1225</v>
      </c>
      <c r="C321" s="72" t="s">
        <v>169</v>
      </c>
      <c r="D321" s="73" t="s">
        <v>232</v>
      </c>
      <c r="E321" s="74"/>
      <c r="F321" s="74">
        <v>40237</v>
      </c>
      <c r="G321" s="75" t="str">
        <f>IF(stdProdLT(Main[[#This Row],[Comments]])=0.1,"N/A",IF(stdProdLT(Main[[#This Row],[Comments]])=0,"",stdProdLT(Main[[#This Row],[Comments]])))</f>
        <v/>
      </c>
      <c r="H321" s="76" t="str">
        <f>IF(AND(Main[[#This Row],[In Stock Date]]&lt;&gt;"",Main[[#This Row],[Revised Due Date]]&lt;&gt;""),Main[[#This Row],[In Stock Date]]-Main[[#This Row],[Revised Due Date]],"")</f>
        <v/>
      </c>
      <c r="I321" s="72" t="s">
        <v>4</v>
      </c>
      <c r="J321" s="72" t="s">
        <v>4</v>
      </c>
      <c r="K321" s="72" t="s">
        <v>4</v>
      </c>
      <c r="L321" s="74"/>
      <c r="M321" s="77" t="str">
        <f>IF(Main[[#This Row],[Tech Start Date]]&lt;1/1/1990,"",IF(Main[[#This Row],[Class]]="C",WORKDAY(Main[[#This Row],[Tech Start Date]],9),IF(Main[[#This Row],[Class]]="B", WORKDAY(Main[[#This Row],[Tech Start Date]],6),IF(Main[[#This Row],[Class]]="A",WORKDAY(Main[[#This Row],[Tech Start Date]],2),""))))</f>
        <v/>
      </c>
      <c r="N321" s="77" t="str">
        <f>IF(Main[[#This Row],[Tech Start Date]]&lt;1/1/1990,"",IF(Main[[#This Row],[Class]]="C",WORKDAY(Main[[#This Row],[Tech Start Date]],19),IF(Main[[#This Row],[Class]]="B", WORKDAY(Main[[#This Row],[Tech Start Date]],12),IF(Main[[#This Row],[Class]]="A",WORKDAY(Main[[#This Row],[Tech Start Date]],4),""))))</f>
        <v/>
      </c>
      <c r="O321" s="77" t="str">
        <f>IF(Main[[#This Row],[Tech Start Date]]&lt;1/1/1990,"",IF(Main[[#This Row],[Class]]="C",WORKDAY(Main[[#This Row],[Tech Start Date]],23),IF(Main[[#This Row],[Class]]="B", WORKDAY(Main[[#This Row],[Tech Start Date]],15),IF(Main[[#This Row],[Class]]="A",WORKDAY(Main[[#This Row],[Tech Start Date]],5),""))))</f>
        <v/>
      </c>
      <c r="P321" s="77" t="str">
        <f>IF(Main[[#This Row],[Tech Start Date]]&lt;1/1/1990,"",IF(Main[[#This Row],[Class]]="C",WORKDAY(Main[[#This Row],[Tech Start Date]],28),IF(Main[[#This Row],[Class]]="B", WORKDAY(Main[[#This Row],[Tech Start Date]],19),IF(Main[[#This Row],[Class]]="A",WORKDAY(Main[[#This Row],[Tech Start Date]],9),""))))</f>
        <v/>
      </c>
      <c r="Q321" s="74">
        <v>40132</v>
      </c>
      <c r="R321" s="74"/>
      <c r="S321" s="72" t="s">
        <v>11</v>
      </c>
      <c r="T321" s="80" t="s">
        <v>4</v>
      </c>
      <c r="U321" s="72" t="s">
        <v>14</v>
      </c>
      <c r="V321" s="72" t="s">
        <v>1917</v>
      </c>
      <c r="W321" s="72" t="s">
        <v>1922</v>
      </c>
      <c r="X321" s="72" t="s">
        <v>2864</v>
      </c>
      <c r="Y321" s="72" t="s">
        <v>4</v>
      </c>
      <c r="Z321" s="72" t="s">
        <v>4</v>
      </c>
      <c r="AA321" s="146" t="s">
        <v>2864</v>
      </c>
    </row>
    <row r="322" spans="1:27" ht="18.600000000000001" customHeight="1">
      <c r="A322" s="139" t="str">
        <f>IF(priority(Main[[#This Row],[Comments]])&lt;&gt;0, priority(Main[[#This Row],[Comments]]),"")</f>
        <v/>
      </c>
      <c r="B322" s="89" t="s">
        <v>1226</v>
      </c>
      <c r="C322" s="72" t="s">
        <v>4</v>
      </c>
      <c r="D322" s="73" t="s">
        <v>233</v>
      </c>
      <c r="E322" s="74">
        <v>40403.488668981481</v>
      </c>
      <c r="F322" s="74"/>
      <c r="G322" s="75" t="str">
        <f>IF(stdProdLT(Main[[#This Row],[Comments]])=0.1,"N/A",IF(stdProdLT(Main[[#This Row],[Comments]])=0,"",stdProdLT(Main[[#This Row],[Comments]])))</f>
        <v/>
      </c>
      <c r="H322" s="76" t="str">
        <f>IF(AND(Main[[#This Row],[In Stock Date]]&lt;&gt;"",Main[[#This Row],[Revised Due Date]]&lt;&gt;""),Main[[#This Row],[In Stock Date]]-Main[[#This Row],[Revised Due Date]],"")</f>
        <v/>
      </c>
      <c r="I322" s="72" t="s">
        <v>129</v>
      </c>
      <c r="J322" s="72" t="s">
        <v>28</v>
      </c>
      <c r="K322" s="72" t="s">
        <v>4</v>
      </c>
      <c r="L322" s="74"/>
      <c r="M322" s="77" t="str">
        <f>IF(Main[[#This Row],[Tech Start Date]]&lt;1/1/1990,"",IF(Main[[#This Row],[Class]]="C",WORKDAY(Main[[#This Row],[Tech Start Date]],9),IF(Main[[#This Row],[Class]]="B", WORKDAY(Main[[#This Row],[Tech Start Date]],6),IF(Main[[#This Row],[Class]]="A",WORKDAY(Main[[#This Row],[Tech Start Date]],2),""))))</f>
        <v/>
      </c>
      <c r="N322" s="77" t="str">
        <f>IF(Main[[#This Row],[Tech Start Date]]&lt;1/1/1990,"",IF(Main[[#This Row],[Class]]="C",WORKDAY(Main[[#This Row],[Tech Start Date]],19),IF(Main[[#This Row],[Class]]="B", WORKDAY(Main[[#This Row],[Tech Start Date]],12),IF(Main[[#This Row],[Class]]="A",WORKDAY(Main[[#This Row],[Tech Start Date]],4),""))))</f>
        <v/>
      </c>
      <c r="O322" s="77" t="str">
        <f>IF(Main[[#This Row],[Tech Start Date]]&lt;1/1/1990,"",IF(Main[[#This Row],[Class]]="C",WORKDAY(Main[[#This Row],[Tech Start Date]],23),IF(Main[[#This Row],[Class]]="B", WORKDAY(Main[[#This Row],[Tech Start Date]],15),IF(Main[[#This Row],[Class]]="A",WORKDAY(Main[[#This Row],[Tech Start Date]],5),""))))</f>
        <v/>
      </c>
      <c r="P322" s="77" t="str">
        <f>IF(Main[[#This Row],[Tech Start Date]]&lt;1/1/1990,"",IF(Main[[#This Row],[Class]]="C",WORKDAY(Main[[#This Row],[Tech Start Date]],28),IF(Main[[#This Row],[Class]]="B", WORKDAY(Main[[#This Row],[Tech Start Date]],19),IF(Main[[#This Row],[Class]]="A",WORKDAY(Main[[#This Row],[Tech Start Date]],9),""))))</f>
        <v/>
      </c>
      <c r="Q322" s="74">
        <v>40438</v>
      </c>
      <c r="R322" s="74"/>
      <c r="S322" s="72" t="s">
        <v>6</v>
      </c>
      <c r="T322" s="80" t="s">
        <v>4</v>
      </c>
      <c r="U322" s="72" t="s">
        <v>7</v>
      </c>
      <c r="V322" s="72" t="s">
        <v>1917</v>
      </c>
      <c r="W322" s="72" t="s">
        <v>1921</v>
      </c>
      <c r="X322" s="72" t="s">
        <v>2824</v>
      </c>
      <c r="Y322" s="72" t="s">
        <v>2935</v>
      </c>
      <c r="Z322" s="72" t="s">
        <v>129</v>
      </c>
      <c r="AA322" s="146" t="s">
        <v>2824</v>
      </c>
    </row>
    <row r="323" spans="1:27" ht="18.600000000000001" customHeight="1">
      <c r="A323" s="139" t="str">
        <f>IF(priority(Main[[#This Row],[Comments]])&lt;&gt;0, priority(Main[[#This Row],[Comments]]),"")</f>
        <v/>
      </c>
      <c r="B323" s="89" t="s">
        <v>1180</v>
      </c>
      <c r="C323" s="72" t="s">
        <v>234</v>
      </c>
      <c r="D323" s="73" t="s">
        <v>235</v>
      </c>
      <c r="E323" s="74"/>
      <c r="F323" s="74"/>
      <c r="G323" s="75" t="str">
        <f>IF(stdProdLT(Main[[#This Row],[Comments]])=0.1,"N/A",IF(stdProdLT(Main[[#This Row],[Comments]])=0,"",stdProdLT(Main[[#This Row],[Comments]])))</f>
        <v/>
      </c>
      <c r="H323" s="76" t="str">
        <f>IF(AND(Main[[#This Row],[In Stock Date]]&lt;&gt;"",Main[[#This Row],[Revised Due Date]]&lt;&gt;""),Main[[#This Row],[In Stock Date]]-Main[[#This Row],[Revised Due Date]],"")</f>
        <v/>
      </c>
      <c r="I323" s="72" t="s">
        <v>4</v>
      </c>
      <c r="J323" s="72" t="s">
        <v>4</v>
      </c>
      <c r="K323" s="81" t="s">
        <v>4</v>
      </c>
      <c r="L323" s="74"/>
      <c r="M323" s="77" t="str">
        <f>IF(Main[[#This Row],[Tech Start Date]]&lt;1/1/1990,"",IF(Main[[#This Row],[Class]]="C",WORKDAY(Main[[#This Row],[Tech Start Date]],9),IF(Main[[#This Row],[Class]]="B", WORKDAY(Main[[#This Row],[Tech Start Date]],6),IF(Main[[#This Row],[Class]]="A",WORKDAY(Main[[#This Row],[Tech Start Date]],2),""))))</f>
        <v/>
      </c>
      <c r="N323" s="77" t="str">
        <f>IF(Main[[#This Row],[Tech Start Date]]&lt;1/1/1990,"",IF(Main[[#This Row],[Class]]="C",WORKDAY(Main[[#This Row],[Tech Start Date]],19),IF(Main[[#This Row],[Class]]="B", WORKDAY(Main[[#This Row],[Tech Start Date]],12),IF(Main[[#This Row],[Class]]="A",WORKDAY(Main[[#This Row],[Tech Start Date]],4),""))))</f>
        <v/>
      </c>
      <c r="O323" s="77" t="str">
        <f>IF(Main[[#This Row],[Tech Start Date]]&lt;1/1/1990,"",IF(Main[[#This Row],[Class]]="C",WORKDAY(Main[[#This Row],[Tech Start Date]],23),IF(Main[[#This Row],[Class]]="B", WORKDAY(Main[[#This Row],[Tech Start Date]],15),IF(Main[[#This Row],[Class]]="A",WORKDAY(Main[[#This Row],[Tech Start Date]],5),""))))</f>
        <v/>
      </c>
      <c r="P323" s="77" t="str">
        <f>IF(Main[[#This Row],[Tech Start Date]]&lt;1/1/1990,"",IF(Main[[#This Row],[Class]]="C",WORKDAY(Main[[#This Row],[Tech Start Date]],28),IF(Main[[#This Row],[Class]]="B", WORKDAY(Main[[#This Row],[Tech Start Date]],19),IF(Main[[#This Row],[Class]]="A",WORKDAY(Main[[#This Row],[Tech Start Date]],9),""))))</f>
        <v/>
      </c>
      <c r="Q323" s="74">
        <v>40204</v>
      </c>
      <c r="R323" s="74"/>
      <c r="S323" s="72" t="s">
        <v>11</v>
      </c>
      <c r="T323" s="80" t="s">
        <v>4</v>
      </c>
      <c r="U323" s="72" t="s">
        <v>14</v>
      </c>
      <c r="V323" s="72" t="s">
        <v>1920</v>
      </c>
      <c r="W323" s="72" t="s">
        <v>1919</v>
      </c>
      <c r="X323" s="72" t="s">
        <v>65</v>
      </c>
      <c r="Y323" s="72" t="s">
        <v>4</v>
      </c>
      <c r="Z323" s="72" t="s">
        <v>4</v>
      </c>
      <c r="AA323" s="146" t="s">
        <v>65</v>
      </c>
    </row>
    <row r="324" spans="1:27" ht="18.600000000000001" customHeight="1">
      <c r="A324" s="139" t="str">
        <f>IF(priority(Main[[#This Row],[Comments]])&lt;&gt;0, priority(Main[[#This Row],[Comments]]),"")</f>
        <v/>
      </c>
      <c r="B324" s="89" t="s">
        <v>3532</v>
      </c>
      <c r="C324" s="72" t="s">
        <v>3533</v>
      </c>
      <c r="D324" s="73" t="s">
        <v>3534</v>
      </c>
      <c r="E324" s="74"/>
      <c r="F324" s="74"/>
      <c r="G324" s="75" t="str">
        <f>IF(stdProdLT(Main[[#This Row],[Comments]])=0.1,"N/A",IF(stdProdLT(Main[[#This Row],[Comments]])=0,"",stdProdLT(Main[[#This Row],[Comments]])))</f>
        <v/>
      </c>
      <c r="H324" s="76" t="str">
        <f>IF(AND(Main[[#This Row],[In Stock Date]]&lt;&gt;"",Main[[#This Row],[Revised Due Date]]&lt;&gt;""),Main[[#This Row],[In Stock Date]]-Main[[#This Row],[Revised Due Date]],"")</f>
        <v/>
      </c>
      <c r="I324" s="72" t="s">
        <v>4</v>
      </c>
      <c r="J324" s="72" t="s">
        <v>4</v>
      </c>
      <c r="K324" s="72" t="s">
        <v>4</v>
      </c>
      <c r="L324" s="74"/>
      <c r="M324" s="77" t="str">
        <f>IF(Main[[#This Row],[Tech Start Date]]&lt;1/1/1990,"",IF(Main[[#This Row],[Class]]="C",WORKDAY(Main[[#This Row],[Tech Start Date]],9),IF(Main[[#This Row],[Class]]="B", WORKDAY(Main[[#This Row],[Tech Start Date]],6),IF(Main[[#This Row],[Class]]="A",WORKDAY(Main[[#This Row],[Tech Start Date]],2),""))))</f>
        <v/>
      </c>
      <c r="N324" s="77" t="str">
        <f>IF(Main[[#This Row],[Tech Start Date]]&lt;1/1/1990,"",IF(Main[[#This Row],[Class]]="C",WORKDAY(Main[[#This Row],[Tech Start Date]],19),IF(Main[[#This Row],[Class]]="B", WORKDAY(Main[[#This Row],[Tech Start Date]],12),IF(Main[[#This Row],[Class]]="A",WORKDAY(Main[[#This Row],[Tech Start Date]],4),""))))</f>
        <v/>
      </c>
      <c r="O324" s="77" t="str">
        <f>IF(Main[[#This Row],[Tech Start Date]]&lt;1/1/1990,"",IF(Main[[#This Row],[Class]]="C",WORKDAY(Main[[#This Row],[Tech Start Date]],23),IF(Main[[#This Row],[Class]]="B", WORKDAY(Main[[#This Row],[Tech Start Date]],15),IF(Main[[#This Row],[Class]]="A",WORKDAY(Main[[#This Row],[Tech Start Date]],5),""))))</f>
        <v/>
      </c>
      <c r="P324" s="77" t="str">
        <f>IF(Main[[#This Row],[Tech Start Date]]&lt;1/1/1990,"",IF(Main[[#This Row],[Class]]="C",WORKDAY(Main[[#This Row],[Tech Start Date]],28),IF(Main[[#This Row],[Class]]="B", WORKDAY(Main[[#This Row],[Tech Start Date]],19),IF(Main[[#This Row],[Class]]="A",WORKDAY(Main[[#This Row],[Tech Start Date]],9),""))))</f>
        <v/>
      </c>
      <c r="Q324" s="74">
        <v>40953</v>
      </c>
      <c r="R324" s="74"/>
      <c r="S324" s="72" t="s">
        <v>11</v>
      </c>
      <c r="T324" s="80" t="s">
        <v>4</v>
      </c>
      <c r="U324" s="72" t="s">
        <v>14</v>
      </c>
      <c r="V324" s="72" t="s">
        <v>1917</v>
      </c>
      <c r="W324" s="72" t="s">
        <v>1928</v>
      </c>
      <c r="X324" s="72" t="s">
        <v>2845</v>
      </c>
      <c r="Y324" s="72" t="s">
        <v>2976</v>
      </c>
      <c r="Z324" s="72" t="s">
        <v>4</v>
      </c>
      <c r="AA324" s="146" t="s">
        <v>2845</v>
      </c>
    </row>
    <row r="325" spans="1:27" ht="18.600000000000001" customHeight="1">
      <c r="A325" s="139" t="str">
        <f>IF(priority(Main[[#This Row],[Comments]])&lt;&gt;0, priority(Main[[#This Row],[Comments]]),"")</f>
        <v/>
      </c>
      <c r="B325" s="89" t="s">
        <v>3538</v>
      </c>
      <c r="C325" s="72" t="s">
        <v>47</v>
      </c>
      <c r="D325" s="73" t="s">
        <v>3539</v>
      </c>
      <c r="E325" s="74">
        <v>40947.640497685185</v>
      </c>
      <c r="F325" s="74"/>
      <c r="G325" s="75" t="str">
        <f>IF(stdProdLT(Main[[#This Row],[Comments]])=0.1,"N/A",IF(stdProdLT(Main[[#This Row],[Comments]])=0,"",stdProdLT(Main[[#This Row],[Comments]])))</f>
        <v/>
      </c>
      <c r="H325" s="76" t="str">
        <f>IF(AND(Main[[#This Row],[In Stock Date]]&lt;&gt;"",Main[[#This Row],[Revised Due Date]]&lt;&gt;""),Main[[#This Row],[In Stock Date]]-Main[[#This Row],[Revised Due Date]],"")</f>
        <v/>
      </c>
      <c r="I325" s="72" t="s">
        <v>4</v>
      </c>
      <c r="J325" s="72" t="s">
        <v>4</v>
      </c>
      <c r="K325" s="81" t="s">
        <v>4</v>
      </c>
      <c r="L325" s="74"/>
      <c r="M325" s="77" t="str">
        <f>IF(Main[[#This Row],[Tech Start Date]]&lt;1/1/1990,"",IF(Main[[#This Row],[Class]]="C",WORKDAY(Main[[#This Row],[Tech Start Date]],9),IF(Main[[#This Row],[Class]]="B", WORKDAY(Main[[#This Row],[Tech Start Date]],6),IF(Main[[#This Row],[Class]]="A",WORKDAY(Main[[#This Row],[Tech Start Date]],2),""))))</f>
        <v/>
      </c>
      <c r="N325" s="77" t="str">
        <f>IF(Main[[#This Row],[Tech Start Date]]&lt;1/1/1990,"",IF(Main[[#This Row],[Class]]="C",WORKDAY(Main[[#This Row],[Tech Start Date]],19),IF(Main[[#This Row],[Class]]="B", WORKDAY(Main[[#This Row],[Tech Start Date]],12),IF(Main[[#This Row],[Class]]="A",WORKDAY(Main[[#This Row],[Tech Start Date]],4),""))))</f>
        <v/>
      </c>
      <c r="O325" s="77" t="str">
        <f>IF(Main[[#This Row],[Tech Start Date]]&lt;1/1/1990,"",IF(Main[[#This Row],[Class]]="C",WORKDAY(Main[[#This Row],[Tech Start Date]],23),IF(Main[[#This Row],[Class]]="B", WORKDAY(Main[[#This Row],[Tech Start Date]],15),IF(Main[[#This Row],[Class]]="A",WORKDAY(Main[[#This Row],[Tech Start Date]],5),""))))</f>
        <v/>
      </c>
      <c r="P325" s="77" t="str">
        <f>IF(Main[[#This Row],[Tech Start Date]]&lt;1/1/1990,"",IF(Main[[#This Row],[Class]]="C",WORKDAY(Main[[#This Row],[Tech Start Date]],28),IF(Main[[#This Row],[Class]]="B", WORKDAY(Main[[#This Row],[Tech Start Date]],19),IF(Main[[#This Row],[Class]]="A",WORKDAY(Main[[#This Row],[Tech Start Date]],9),""))))</f>
        <v/>
      </c>
      <c r="Q325" s="74">
        <v>40999</v>
      </c>
      <c r="R325" s="74"/>
      <c r="S325" s="72" t="s">
        <v>6</v>
      </c>
      <c r="T325" s="80" t="s">
        <v>4</v>
      </c>
      <c r="U325" s="72" t="s">
        <v>29</v>
      </c>
      <c r="V325" s="72" t="s">
        <v>2288</v>
      </c>
      <c r="W325" s="72" t="s">
        <v>4</v>
      </c>
      <c r="X325" s="72" t="s">
        <v>2871</v>
      </c>
      <c r="Y325" s="72" t="s">
        <v>3016</v>
      </c>
      <c r="Z325" s="72" t="s">
        <v>4</v>
      </c>
      <c r="AA325" s="146" t="s">
        <v>2871</v>
      </c>
    </row>
    <row r="326" spans="1:27" ht="18.600000000000001" customHeight="1">
      <c r="A326" s="139" t="str">
        <f>IF(priority(Main[[#This Row],[Comments]])&lt;&gt;0, priority(Main[[#This Row],[Comments]]),"")</f>
        <v/>
      </c>
      <c r="B326" s="89" t="s">
        <v>1181</v>
      </c>
      <c r="C326" s="72" t="s">
        <v>4</v>
      </c>
      <c r="D326" s="73" t="s">
        <v>236</v>
      </c>
      <c r="E326" s="74">
        <v>40317.337557870371</v>
      </c>
      <c r="F326" s="74"/>
      <c r="G326" s="75" t="str">
        <f>IF(stdProdLT(Main[[#This Row],[Comments]])=0.1,"N/A",IF(stdProdLT(Main[[#This Row],[Comments]])=0,"",stdProdLT(Main[[#This Row],[Comments]])))</f>
        <v/>
      </c>
      <c r="H326" s="76" t="str">
        <f>IF(AND(Main[[#This Row],[In Stock Date]]&lt;&gt;"",Main[[#This Row],[Revised Due Date]]&lt;&gt;""),Main[[#This Row],[In Stock Date]]-Main[[#This Row],[Revised Due Date]],"")</f>
        <v/>
      </c>
      <c r="I326" s="72" t="s">
        <v>4</v>
      </c>
      <c r="J326" s="72" t="s">
        <v>4</v>
      </c>
      <c r="K326" s="72" t="s">
        <v>4</v>
      </c>
      <c r="L326" s="74"/>
      <c r="M326" s="77" t="str">
        <f>IF(Main[[#This Row],[Tech Start Date]]&lt;1/1/1990,"",IF(Main[[#This Row],[Class]]="C",WORKDAY(Main[[#This Row],[Tech Start Date]],9),IF(Main[[#This Row],[Class]]="B", WORKDAY(Main[[#This Row],[Tech Start Date]],6),IF(Main[[#This Row],[Class]]="A",WORKDAY(Main[[#This Row],[Tech Start Date]],2),""))))</f>
        <v/>
      </c>
      <c r="N326" s="77" t="str">
        <f>IF(Main[[#This Row],[Tech Start Date]]&lt;1/1/1990,"",IF(Main[[#This Row],[Class]]="C",WORKDAY(Main[[#This Row],[Tech Start Date]],19),IF(Main[[#This Row],[Class]]="B", WORKDAY(Main[[#This Row],[Tech Start Date]],12),IF(Main[[#This Row],[Class]]="A",WORKDAY(Main[[#This Row],[Tech Start Date]],4),""))))</f>
        <v/>
      </c>
      <c r="O326" s="77" t="str">
        <f>IF(Main[[#This Row],[Tech Start Date]]&lt;1/1/1990,"",IF(Main[[#This Row],[Class]]="C",WORKDAY(Main[[#This Row],[Tech Start Date]],23),IF(Main[[#This Row],[Class]]="B", WORKDAY(Main[[#This Row],[Tech Start Date]],15),IF(Main[[#This Row],[Class]]="A",WORKDAY(Main[[#This Row],[Tech Start Date]],5),""))))</f>
        <v/>
      </c>
      <c r="P326" s="77" t="str">
        <f>IF(Main[[#This Row],[Tech Start Date]]&lt;1/1/1990,"",IF(Main[[#This Row],[Class]]="C",WORKDAY(Main[[#This Row],[Tech Start Date]],28),IF(Main[[#This Row],[Class]]="B", WORKDAY(Main[[#This Row],[Tech Start Date]],19),IF(Main[[#This Row],[Class]]="A",WORKDAY(Main[[#This Row],[Tech Start Date]],9),""))))</f>
        <v/>
      </c>
      <c r="Q326" s="74">
        <v>40330</v>
      </c>
      <c r="R326" s="74"/>
      <c r="S326" s="72" t="s">
        <v>6</v>
      </c>
      <c r="T326" s="80" t="s">
        <v>4</v>
      </c>
      <c r="U326" s="72" t="s">
        <v>7</v>
      </c>
      <c r="V326" s="72" t="s">
        <v>1917</v>
      </c>
      <c r="W326" s="72" t="s">
        <v>1919</v>
      </c>
      <c r="X326" s="72" t="s">
        <v>102</v>
      </c>
      <c r="Y326" s="72" t="s">
        <v>3017</v>
      </c>
      <c r="Z326" s="72" t="s">
        <v>129</v>
      </c>
      <c r="AA326" s="146" t="s">
        <v>102</v>
      </c>
    </row>
    <row r="327" spans="1:27" ht="18.600000000000001" customHeight="1">
      <c r="A327" s="139" t="str">
        <f>IF(priority(Main[[#This Row],[Comments]])&lt;&gt;0, priority(Main[[#This Row],[Comments]]),"")</f>
        <v/>
      </c>
      <c r="B327" s="89" t="s">
        <v>1182</v>
      </c>
      <c r="C327" s="72" t="s">
        <v>4</v>
      </c>
      <c r="D327" s="73" t="s">
        <v>237</v>
      </c>
      <c r="E327" s="74"/>
      <c r="F327" s="74"/>
      <c r="G327" s="75" t="str">
        <f>IF(stdProdLT(Main[[#This Row],[Comments]])=0.1,"N/A",IF(stdProdLT(Main[[#This Row],[Comments]])=0,"",stdProdLT(Main[[#This Row],[Comments]])))</f>
        <v/>
      </c>
      <c r="H327" s="76" t="str">
        <f>IF(AND(Main[[#This Row],[In Stock Date]]&lt;&gt;"",Main[[#This Row],[Revised Due Date]]&lt;&gt;""),Main[[#This Row],[In Stock Date]]-Main[[#This Row],[Revised Due Date]],"")</f>
        <v/>
      </c>
      <c r="I327" s="72" t="s">
        <v>4</v>
      </c>
      <c r="J327" s="72" t="s">
        <v>4</v>
      </c>
      <c r="K327" s="72" t="s">
        <v>4</v>
      </c>
      <c r="L327" s="74"/>
      <c r="M327" s="77" t="str">
        <f>IF(Main[[#This Row],[Tech Start Date]]&lt;1/1/1990,"",IF(Main[[#This Row],[Class]]="C",WORKDAY(Main[[#This Row],[Tech Start Date]],9),IF(Main[[#This Row],[Class]]="B", WORKDAY(Main[[#This Row],[Tech Start Date]],6),IF(Main[[#This Row],[Class]]="A",WORKDAY(Main[[#This Row],[Tech Start Date]],2),""))))</f>
        <v/>
      </c>
      <c r="N327" s="77" t="str">
        <f>IF(Main[[#This Row],[Tech Start Date]]&lt;1/1/1990,"",IF(Main[[#This Row],[Class]]="C",WORKDAY(Main[[#This Row],[Tech Start Date]],19),IF(Main[[#This Row],[Class]]="B", WORKDAY(Main[[#This Row],[Tech Start Date]],12),IF(Main[[#This Row],[Class]]="A",WORKDAY(Main[[#This Row],[Tech Start Date]],4),""))))</f>
        <v/>
      </c>
      <c r="O327" s="77" t="str">
        <f>IF(Main[[#This Row],[Tech Start Date]]&lt;1/1/1990,"",IF(Main[[#This Row],[Class]]="C",WORKDAY(Main[[#This Row],[Tech Start Date]],23),IF(Main[[#This Row],[Class]]="B", WORKDAY(Main[[#This Row],[Tech Start Date]],15),IF(Main[[#This Row],[Class]]="A",WORKDAY(Main[[#This Row],[Tech Start Date]],5),""))))</f>
        <v/>
      </c>
      <c r="P327" s="77" t="str">
        <f>IF(Main[[#This Row],[Tech Start Date]]&lt;1/1/1990,"",IF(Main[[#This Row],[Class]]="C",WORKDAY(Main[[#This Row],[Tech Start Date]],28),IF(Main[[#This Row],[Class]]="B", WORKDAY(Main[[#This Row],[Tech Start Date]],19),IF(Main[[#This Row],[Class]]="A",WORKDAY(Main[[#This Row],[Tech Start Date]],9),""))))</f>
        <v/>
      </c>
      <c r="Q327" s="74"/>
      <c r="R327" s="74"/>
      <c r="S327" s="72" t="s">
        <v>11</v>
      </c>
      <c r="T327" s="80" t="s">
        <v>4</v>
      </c>
      <c r="U327" s="72" t="s">
        <v>14</v>
      </c>
      <c r="V327" s="72" t="s">
        <v>1917</v>
      </c>
      <c r="W327" s="72" t="s">
        <v>1921</v>
      </c>
      <c r="X327" s="72" t="s">
        <v>924</v>
      </c>
      <c r="Y327" s="72" t="s">
        <v>2988</v>
      </c>
      <c r="Z327" s="72" t="s">
        <v>4</v>
      </c>
      <c r="AA327" s="146" t="s">
        <v>924</v>
      </c>
    </row>
    <row r="328" spans="1:27" ht="18.600000000000001" customHeight="1">
      <c r="A328" s="139" t="str">
        <f>IF(priority(Main[[#This Row],[Comments]])&lt;&gt;0, priority(Main[[#This Row],[Comments]]),"")</f>
        <v/>
      </c>
      <c r="B328" s="89" t="s">
        <v>3606</v>
      </c>
      <c r="C328" s="72" t="s">
        <v>4</v>
      </c>
      <c r="D328" s="73" t="s">
        <v>3607</v>
      </c>
      <c r="E328" s="74">
        <v>40954.397581018522</v>
      </c>
      <c r="F328" s="74"/>
      <c r="G328" s="75" t="str">
        <f>IF(stdProdLT(Main[[#This Row],[Comments]])=0.1,"N/A",IF(stdProdLT(Main[[#This Row],[Comments]])=0,"",stdProdLT(Main[[#This Row],[Comments]])))</f>
        <v/>
      </c>
      <c r="H328" s="76" t="str">
        <f>IF(AND(Main[[#This Row],[In Stock Date]]&lt;&gt;"",Main[[#This Row],[Revised Due Date]]&lt;&gt;""),Main[[#This Row],[In Stock Date]]-Main[[#This Row],[Revised Due Date]],"")</f>
        <v/>
      </c>
      <c r="I328" s="72" t="s">
        <v>2047</v>
      </c>
      <c r="J328" s="72" t="s">
        <v>28</v>
      </c>
      <c r="K328" s="72" t="s">
        <v>4</v>
      </c>
      <c r="L328" s="74"/>
      <c r="M328" s="77" t="str">
        <f>IF(Main[[#This Row],[Tech Start Date]]&lt;1/1/1990,"",IF(Main[[#This Row],[Class]]="C",WORKDAY(Main[[#This Row],[Tech Start Date]],9),IF(Main[[#This Row],[Class]]="B", WORKDAY(Main[[#This Row],[Tech Start Date]],6),IF(Main[[#This Row],[Class]]="A",WORKDAY(Main[[#This Row],[Tech Start Date]],2),""))))</f>
        <v/>
      </c>
      <c r="N328" s="77" t="str">
        <f>IF(Main[[#This Row],[Tech Start Date]]&lt;1/1/1990,"",IF(Main[[#This Row],[Class]]="C",WORKDAY(Main[[#This Row],[Tech Start Date]],19),IF(Main[[#This Row],[Class]]="B", WORKDAY(Main[[#This Row],[Tech Start Date]],12),IF(Main[[#This Row],[Class]]="A",WORKDAY(Main[[#This Row],[Tech Start Date]],4),""))))</f>
        <v/>
      </c>
      <c r="O328" s="77" t="str">
        <f>IF(Main[[#This Row],[Tech Start Date]]&lt;1/1/1990,"",IF(Main[[#This Row],[Class]]="C",WORKDAY(Main[[#This Row],[Tech Start Date]],23),IF(Main[[#This Row],[Class]]="B", WORKDAY(Main[[#This Row],[Tech Start Date]],15),IF(Main[[#This Row],[Class]]="A",WORKDAY(Main[[#This Row],[Tech Start Date]],5),""))))</f>
        <v/>
      </c>
      <c r="P328" s="77" t="str">
        <f>IF(Main[[#This Row],[Tech Start Date]]&lt;1/1/1990,"",IF(Main[[#This Row],[Class]]="C",WORKDAY(Main[[#This Row],[Tech Start Date]],28),IF(Main[[#This Row],[Class]]="B", WORKDAY(Main[[#This Row],[Tech Start Date]],19),IF(Main[[#This Row],[Class]]="A",WORKDAY(Main[[#This Row],[Tech Start Date]],9),""))))</f>
        <v/>
      </c>
      <c r="Q328" s="74"/>
      <c r="R328" s="74"/>
      <c r="S328" s="72" t="s">
        <v>6</v>
      </c>
      <c r="T328" s="80" t="s">
        <v>4</v>
      </c>
      <c r="U328" s="72" t="s">
        <v>29</v>
      </c>
      <c r="V328" s="72" t="s">
        <v>1927</v>
      </c>
      <c r="W328" s="72" t="s">
        <v>1921</v>
      </c>
      <c r="X328" s="72" t="s">
        <v>2047</v>
      </c>
      <c r="Y328" s="72" t="s">
        <v>3162</v>
      </c>
      <c r="Z328" s="72" t="s">
        <v>530</v>
      </c>
      <c r="AA328" s="146" t="s">
        <v>2047</v>
      </c>
    </row>
    <row r="329" spans="1:27" ht="18.600000000000001" customHeight="1">
      <c r="A329" s="139" t="str">
        <f>IF(priority(Main[[#This Row],[Comments]])&lt;&gt;0, priority(Main[[#This Row],[Comments]]),"")</f>
        <v/>
      </c>
      <c r="B329" s="89" t="s">
        <v>1127</v>
      </c>
      <c r="C329" s="72" t="s">
        <v>4</v>
      </c>
      <c r="D329" s="73" t="s">
        <v>176</v>
      </c>
      <c r="E329" s="74">
        <v>40655.521435185183</v>
      </c>
      <c r="F329" s="74"/>
      <c r="G329" s="75" t="str">
        <f>IF(stdProdLT(Main[[#This Row],[Comments]])=0.1,"N/A",IF(stdProdLT(Main[[#This Row],[Comments]])=0,"",stdProdLT(Main[[#This Row],[Comments]])))</f>
        <v/>
      </c>
      <c r="H329" s="76" t="str">
        <f>IF(AND(Main[[#This Row],[In Stock Date]]&lt;&gt;"",Main[[#This Row],[Revised Due Date]]&lt;&gt;""),Main[[#This Row],[In Stock Date]]-Main[[#This Row],[Revised Due Date]],"")</f>
        <v/>
      </c>
      <c r="I329" s="72" t="s">
        <v>4</v>
      </c>
      <c r="J329" s="72" t="s">
        <v>4</v>
      </c>
      <c r="K329" s="72" t="s">
        <v>4</v>
      </c>
      <c r="L329" s="74"/>
      <c r="M329" s="77" t="str">
        <f>IF(Main[[#This Row],[Tech Start Date]]&lt;1/1/1990,"",IF(Main[[#This Row],[Class]]="C",WORKDAY(Main[[#This Row],[Tech Start Date]],9),IF(Main[[#This Row],[Class]]="B", WORKDAY(Main[[#This Row],[Tech Start Date]],6),IF(Main[[#This Row],[Class]]="A",WORKDAY(Main[[#This Row],[Tech Start Date]],2),""))))</f>
        <v/>
      </c>
      <c r="N329" s="77" t="str">
        <f>IF(Main[[#This Row],[Tech Start Date]]&lt;1/1/1990,"",IF(Main[[#This Row],[Class]]="C",WORKDAY(Main[[#This Row],[Tech Start Date]],19),IF(Main[[#This Row],[Class]]="B", WORKDAY(Main[[#This Row],[Tech Start Date]],12),IF(Main[[#This Row],[Class]]="A",WORKDAY(Main[[#This Row],[Tech Start Date]],4),""))))</f>
        <v/>
      </c>
      <c r="O329" s="77" t="str">
        <f>IF(Main[[#This Row],[Tech Start Date]]&lt;1/1/1990,"",IF(Main[[#This Row],[Class]]="C",WORKDAY(Main[[#This Row],[Tech Start Date]],23),IF(Main[[#This Row],[Class]]="B", WORKDAY(Main[[#This Row],[Tech Start Date]],15),IF(Main[[#This Row],[Class]]="A",WORKDAY(Main[[#This Row],[Tech Start Date]],5),""))))</f>
        <v/>
      </c>
      <c r="P329" s="77" t="str">
        <f>IF(Main[[#This Row],[Tech Start Date]]&lt;1/1/1990,"",IF(Main[[#This Row],[Class]]="C",WORKDAY(Main[[#This Row],[Tech Start Date]],28),IF(Main[[#This Row],[Class]]="B", WORKDAY(Main[[#This Row],[Tech Start Date]],19),IF(Main[[#This Row],[Class]]="A",WORKDAY(Main[[#This Row],[Tech Start Date]],9),""))))</f>
        <v/>
      </c>
      <c r="Q329" s="74">
        <v>40655</v>
      </c>
      <c r="R329" s="74"/>
      <c r="S329" s="72" t="s">
        <v>6</v>
      </c>
      <c r="T329" s="80" t="s">
        <v>4</v>
      </c>
      <c r="U329" s="72" t="s">
        <v>7</v>
      </c>
      <c r="V329" s="72" t="s">
        <v>1917</v>
      </c>
      <c r="W329" s="72" t="s">
        <v>1919</v>
      </c>
      <c r="X329" s="72" t="s">
        <v>126</v>
      </c>
      <c r="Y329" s="72" t="s">
        <v>3039</v>
      </c>
      <c r="Z329" s="72" t="s">
        <v>4</v>
      </c>
      <c r="AA329" s="146" t="s">
        <v>126</v>
      </c>
    </row>
    <row r="330" spans="1:27" ht="18.600000000000001" customHeight="1">
      <c r="A330" s="139" t="str">
        <f>IF(priority(Main[[#This Row],[Comments]])&lt;&gt;0, priority(Main[[#This Row],[Comments]]),"")</f>
        <v/>
      </c>
      <c r="B330" s="89" t="s">
        <v>1128</v>
      </c>
      <c r="C330" s="72" t="s">
        <v>4</v>
      </c>
      <c r="D330" s="73" t="s">
        <v>177</v>
      </c>
      <c r="E330" s="74"/>
      <c r="F330" s="74">
        <v>40598</v>
      </c>
      <c r="G330" s="75" t="str">
        <f>IF(stdProdLT(Main[[#This Row],[Comments]])=0.1,"N/A",IF(stdProdLT(Main[[#This Row],[Comments]])=0,"",stdProdLT(Main[[#This Row],[Comments]])))</f>
        <v/>
      </c>
      <c r="H330" s="76" t="str">
        <f>IF(AND(Main[[#This Row],[In Stock Date]]&lt;&gt;"",Main[[#This Row],[Revised Due Date]]&lt;&gt;""),Main[[#This Row],[In Stock Date]]-Main[[#This Row],[Revised Due Date]],"")</f>
        <v/>
      </c>
      <c r="I330" s="72" t="s">
        <v>4</v>
      </c>
      <c r="J330" s="72" t="s">
        <v>4</v>
      </c>
      <c r="K330" s="72" t="s">
        <v>4</v>
      </c>
      <c r="L330" s="74"/>
      <c r="M330" s="77" t="str">
        <f>IF(Main[[#This Row],[Tech Start Date]]&lt;1/1/1990,"",IF(Main[[#This Row],[Class]]="C",WORKDAY(Main[[#This Row],[Tech Start Date]],9),IF(Main[[#This Row],[Class]]="B", WORKDAY(Main[[#This Row],[Tech Start Date]],6),IF(Main[[#This Row],[Class]]="A",WORKDAY(Main[[#This Row],[Tech Start Date]],2),""))))</f>
        <v/>
      </c>
      <c r="N330" s="77" t="str">
        <f>IF(Main[[#This Row],[Tech Start Date]]&lt;1/1/1990,"",IF(Main[[#This Row],[Class]]="C",WORKDAY(Main[[#This Row],[Tech Start Date]],19),IF(Main[[#This Row],[Class]]="B", WORKDAY(Main[[#This Row],[Tech Start Date]],12),IF(Main[[#This Row],[Class]]="A",WORKDAY(Main[[#This Row],[Tech Start Date]],4),""))))</f>
        <v/>
      </c>
      <c r="O330" s="77" t="str">
        <f>IF(Main[[#This Row],[Tech Start Date]]&lt;1/1/1990,"",IF(Main[[#This Row],[Class]]="C",WORKDAY(Main[[#This Row],[Tech Start Date]],23),IF(Main[[#This Row],[Class]]="B", WORKDAY(Main[[#This Row],[Tech Start Date]],15),IF(Main[[#This Row],[Class]]="A",WORKDAY(Main[[#This Row],[Tech Start Date]],5),""))))</f>
        <v/>
      </c>
      <c r="P330" s="77" t="str">
        <f>IF(Main[[#This Row],[Tech Start Date]]&lt;1/1/1990,"",IF(Main[[#This Row],[Class]]="C",WORKDAY(Main[[#This Row],[Tech Start Date]],28),IF(Main[[#This Row],[Class]]="B", WORKDAY(Main[[#This Row],[Tech Start Date]],19),IF(Main[[#This Row],[Class]]="A",WORKDAY(Main[[#This Row],[Tech Start Date]],9),""))))</f>
        <v/>
      </c>
      <c r="Q330" s="74">
        <v>40598</v>
      </c>
      <c r="R330" s="74"/>
      <c r="S330" s="72" t="s">
        <v>11</v>
      </c>
      <c r="T330" s="80" t="s">
        <v>4</v>
      </c>
      <c r="U330" s="72" t="s">
        <v>14</v>
      </c>
      <c r="V330" s="72" t="s">
        <v>1927</v>
      </c>
      <c r="W330" s="72" t="s">
        <v>1923</v>
      </c>
      <c r="X330" s="72" t="s">
        <v>2854</v>
      </c>
      <c r="Y330" s="72" t="s">
        <v>2985</v>
      </c>
      <c r="Z330" s="72" t="s">
        <v>4</v>
      </c>
      <c r="AA330" s="146" t="s">
        <v>2854</v>
      </c>
    </row>
    <row r="331" spans="1:27" ht="18.600000000000001" customHeight="1">
      <c r="A331" s="139" t="str">
        <f>IF(priority(Main[[#This Row],[Comments]])&lt;&gt;0, priority(Main[[#This Row],[Comments]]),"")</f>
        <v/>
      </c>
      <c r="B331" s="89" t="s">
        <v>2710</v>
      </c>
      <c r="C331" s="72" t="s">
        <v>4</v>
      </c>
      <c r="D331" s="73" t="s">
        <v>2711</v>
      </c>
      <c r="E331" s="74">
        <v>40896.649571759262</v>
      </c>
      <c r="F331" s="74"/>
      <c r="G331" s="75" t="str">
        <f>IF(stdProdLT(Main[[#This Row],[Comments]])=0.1,"N/A",IF(stdProdLT(Main[[#This Row],[Comments]])=0,"",stdProdLT(Main[[#This Row],[Comments]])))</f>
        <v/>
      </c>
      <c r="H331" s="76" t="str">
        <f>IF(AND(Main[[#This Row],[In Stock Date]]&lt;&gt;"",Main[[#This Row],[Revised Due Date]]&lt;&gt;""),Main[[#This Row],[In Stock Date]]-Main[[#This Row],[Revised Due Date]],"")</f>
        <v/>
      </c>
      <c r="I331" s="72" t="s">
        <v>530</v>
      </c>
      <c r="J331" s="72" t="s">
        <v>28</v>
      </c>
      <c r="K331" s="72" t="s">
        <v>1926</v>
      </c>
      <c r="L331" s="74"/>
      <c r="M331" s="77" t="str">
        <f>IF(Main[[#This Row],[Tech Start Date]]&lt;1/1/1990,"",IF(Main[[#This Row],[Class]]="C",WORKDAY(Main[[#This Row],[Tech Start Date]],9),IF(Main[[#This Row],[Class]]="B", WORKDAY(Main[[#This Row],[Tech Start Date]],6),IF(Main[[#This Row],[Class]]="A",WORKDAY(Main[[#This Row],[Tech Start Date]],2),""))))</f>
        <v/>
      </c>
      <c r="N331" s="77" t="str">
        <f>IF(Main[[#This Row],[Tech Start Date]]&lt;1/1/1990,"",IF(Main[[#This Row],[Class]]="C",WORKDAY(Main[[#This Row],[Tech Start Date]],19),IF(Main[[#This Row],[Class]]="B", WORKDAY(Main[[#This Row],[Tech Start Date]],12),IF(Main[[#This Row],[Class]]="A",WORKDAY(Main[[#This Row],[Tech Start Date]],4),""))))</f>
        <v/>
      </c>
      <c r="O331" s="77" t="str">
        <f>IF(Main[[#This Row],[Tech Start Date]]&lt;1/1/1990,"",IF(Main[[#This Row],[Class]]="C",WORKDAY(Main[[#This Row],[Tech Start Date]],23),IF(Main[[#This Row],[Class]]="B", WORKDAY(Main[[#This Row],[Tech Start Date]],15),IF(Main[[#This Row],[Class]]="A",WORKDAY(Main[[#This Row],[Tech Start Date]],5),""))))</f>
        <v/>
      </c>
      <c r="P331" s="77" t="str">
        <f>IF(Main[[#This Row],[Tech Start Date]]&lt;1/1/1990,"",IF(Main[[#This Row],[Class]]="C",WORKDAY(Main[[#This Row],[Tech Start Date]],28),IF(Main[[#This Row],[Class]]="B", WORKDAY(Main[[#This Row],[Tech Start Date]],19),IF(Main[[#This Row],[Class]]="A",WORKDAY(Main[[#This Row],[Tech Start Date]],9),""))))</f>
        <v/>
      </c>
      <c r="Q331" s="74">
        <v>40939</v>
      </c>
      <c r="R331" s="74"/>
      <c r="S331" s="72" t="s">
        <v>6</v>
      </c>
      <c r="T331" s="80" t="s">
        <v>4</v>
      </c>
      <c r="U331" s="72" t="s">
        <v>29</v>
      </c>
      <c r="V331" s="72" t="s">
        <v>1920</v>
      </c>
      <c r="W331" s="72" t="s">
        <v>1925</v>
      </c>
      <c r="X331" s="72" t="s">
        <v>885</v>
      </c>
      <c r="Y331" s="72" t="s">
        <v>2969</v>
      </c>
      <c r="Z331" s="72" t="s">
        <v>30</v>
      </c>
      <c r="AA331" s="146" t="s">
        <v>885</v>
      </c>
    </row>
    <row r="332" spans="1:27" ht="18.600000000000001" customHeight="1">
      <c r="A332" s="139" t="str">
        <f>IF(priority(Main[[#This Row],[Comments]])&lt;&gt;0, priority(Main[[#This Row],[Comments]]),"")</f>
        <v/>
      </c>
      <c r="B332" s="89" t="s">
        <v>2349</v>
      </c>
      <c r="C332" s="72" t="s">
        <v>2350</v>
      </c>
      <c r="D332" s="73" t="s">
        <v>2351</v>
      </c>
      <c r="E332" s="74"/>
      <c r="F332" s="74"/>
      <c r="G332" s="75" t="str">
        <f>IF(stdProdLT(Main[[#This Row],[Comments]])=0.1,"N/A",IF(stdProdLT(Main[[#This Row],[Comments]])=0,"",stdProdLT(Main[[#This Row],[Comments]])))</f>
        <v/>
      </c>
      <c r="H332" s="76" t="str">
        <f>IF(AND(Main[[#This Row],[In Stock Date]]&lt;&gt;"",Main[[#This Row],[Revised Due Date]]&lt;&gt;""),Main[[#This Row],[In Stock Date]]-Main[[#This Row],[Revised Due Date]],"")</f>
        <v/>
      </c>
      <c r="I332" s="72" t="s">
        <v>4</v>
      </c>
      <c r="J332" s="72" t="s">
        <v>4</v>
      </c>
      <c r="K332" s="72" t="s">
        <v>4</v>
      </c>
      <c r="L332" s="74"/>
      <c r="M332" s="77" t="str">
        <f>IF(Main[[#This Row],[Tech Start Date]]&lt;1/1/1990,"",IF(Main[[#This Row],[Class]]="C",WORKDAY(Main[[#This Row],[Tech Start Date]],9),IF(Main[[#This Row],[Class]]="B", WORKDAY(Main[[#This Row],[Tech Start Date]],6),IF(Main[[#This Row],[Class]]="A",WORKDAY(Main[[#This Row],[Tech Start Date]],2),""))))</f>
        <v/>
      </c>
      <c r="N332" s="77" t="str">
        <f>IF(Main[[#This Row],[Tech Start Date]]&lt;1/1/1990,"",IF(Main[[#This Row],[Class]]="C",WORKDAY(Main[[#This Row],[Tech Start Date]],19),IF(Main[[#This Row],[Class]]="B", WORKDAY(Main[[#This Row],[Tech Start Date]],12),IF(Main[[#This Row],[Class]]="A",WORKDAY(Main[[#This Row],[Tech Start Date]],4),""))))</f>
        <v/>
      </c>
      <c r="O332" s="77" t="str">
        <f>IF(Main[[#This Row],[Tech Start Date]]&lt;1/1/1990,"",IF(Main[[#This Row],[Class]]="C",WORKDAY(Main[[#This Row],[Tech Start Date]],23),IF(Main[[#This Row],[Class]]="B", WORKDAY(Main[[#This Row],[Tech Start Date]],15),IF(Main[[#This Row],[Class]]="A",WORKDAY(Main[[#This Row],[Tech Start Date]],5),""))))</f>
        <v/>
      </c>
      <c r="P332" s="77" t="str">
        <f>IF(Main[[#This Row],[Tech Start Date]]&lt;1/1/1990,"",IF(Main[[#This Row],[Class]]="C",WORKDAY(Main[[#This Row],[Tech Start Date]],28),IF(Main[[#This Row],[Class]]="B", WORKDAY(Main[[#This Row],[Tech Start Date]],19),IF(Main[[#This Row],[Class]]="A",WORKDAY(Main[[#This Row],[Tech Start Date]],9),""))))</f>
        <v/>
      </c>
      <c r="Q332" s="74">
        <v>40840</v>
      </c>
      <c r="R332" s="74"/>
      <c r="S332" s="72" t="s">
        <v>11</v>
      </c>
      <c r="T332" s="80" t="s">
        <v>4</v>
      </c>
      <c r="U332" s="72" t="s">
        <v>12</v>
      </c>
      <c r="V332" s="72" t="s">
        <v>1917</v>
      </c>
      <c r="W332" s="72" t="s">
        <v>1919</v>
      </c>
      <c r="X332" s="72" t="s">
        <v>2861</v>
      </c>
      <c r="Y332" s="72" t="s">
        <v>4</v>
      </c>
      <c r="Z332" s="72" t="s">
        <v>4</v>
      </c>
      <c r="AA332" s="146" t="s">
        <v>2861</v>
      </c>
    </row>
    <row r="333" spans="1:27" ht="18.600000000000001" customHeight="1">
      <c r="A333" s="139" t="str">
        <f>IF(priority(Main[[#This Row],[Comments]])&lt;&gt;0, priority(Main[[#This Row],[Comments]]),"")</f>
        <v/>
      </c>
      <c r="B333" s="89" t="s">
        <v>1129</v>
      </c>
      <c r="C333" s="72" t="s">
        <v>4</v>
      </c>
      <c r="D333" s="73" t="s">
        <v>178</v>
      </c>
      <c r="E333" s="74">
        <v>40688.403611111113</v>
      </c>
      <c r="F333" s="74"/>
      <c r="G333" s="75" t="str">
        <f>IF(stdProdLT(Main[[#This Row],[Comments]])=0.1,"N/A",IF(stdProdLT(Main[[#This Row],[Comments]])=0,"",stdProdLT(Main[[#This Row],[Comments]])))</f>
        <v/>
      </c>
      <c r="H333" s="76" t="str">
        <f>IF(AND(Main[[#This Row],[In Stock Date]]&lt;&gt;"",Main[[#This Row],[Revised Due Date]]&lt;&gt;""),Main[[#This Row],[In Stock Date]]-Main[[#This Row],[Revised Due Date]],"")</f>
        <v/>
      </c>
      <c r="I333" s="72" t="s">
        <v>4</v>
      </c>
      <c r="J333" s="72" t="s">
        <v>4</v>
      </c>
      <c r="K333" s="72" t="s">
        <v>4</v>
      </c>
      <c r="L333" s="74"/>
      <c r="M333" s="77" t="str">
        <f>IF(Main[[#This Row],[Tech Start Date]]&lt;1/1/1990,"",IF(Main[[#This Row],[Class]]="C",WORKDAY(Main[[#This Row],[Tech Start Date]],9),IF(Main[[#This Row],[Class]]="B", WORKDAY(Main[[#This Row],[Tech Start Date]],6),IF(Main[[#This Row],[Class]]="A",WORKDAY(Main[[#This Row],[Tech Start Date]],2),""))))</f>
        <v/>
      </c>
      <c r="N333" s="77" t="str">
        <f>IF(Main[[#This Row],[Tech Start Date]]&lt;1/1/1990,"",IF(Main[[#This Row],[Class]]="C",WORKDAY(Main[[#This Row],[Tech Start Date]],19),IF(Main[[#This Row],[Class]]="B", WORKDAY(Main[[#This Row],[Tech Start Date]],12),IF(Main[[#This Row],[Class]]="A",WORKDAY(Main[[#This Row],[Tech Start Date]],4),""))))</f>
        <v/>
      </c>
      <c r="O333" s="77" t="str">
        <f>IF(Main[[#This Row],[Tech Start Date]]&lt;1/1/1990,"",IF(Main[[#This Row],[Class]]="C",WORKDAY(Main[[#This Row],[Tech Start Date]],23),IF(Main[[#This Row],[Class]]="B", WORKDAY(Main[[#This Row],[Tech Start Date]],15),IF(Main[[#This Row],[Class]]="A",WORKDAY(Main[[#This Row],[Tech Start Date]],5),""))))</f>
        <v/>
      </c>
      <c r="P333" s="77" t="str">
        <f>IF(Main[[#This Row],[Tech Start Date]]&lt;1/1/1990,"",IF(Main[[#This Row],[Class]]="C",WORKDAY(Main[[#This Row],[Tech Start Date]],28),IF(Main[[#This Row],[Class]]="B", WORKDAY(Main[[#This Row],[Tech Start Date]],19),IF(Main[[#This Row],[Class]]="A",WORKDAY(Main[[#This Row],[Tech Start Date]],9),""))))</f>
        <v/>
      </c>
      <c r="Q333" s="74">
        <v>40725</v>
      </c>
      <c r="R333" s="74"/>
      <c r="S333" s="72" t="s">
        <v>6</v>
      </c>
      <c r="T333" s="80" t="s">
        <v>4</v>
      </c>
      <c r="U333" s="72" t="s">
        <v>7</v>
      </c>
      <c r="V333" s="72" t="s">
        <v>1917</v>
      </c>
      <c r="W333" s="72" t="s">
        <v>4</v>
      </c>
      <c r="X333" s="72" t="s">
        <v>2824</v>
      </c>
      <c r="Y333" s="72" t="s">
        <v>2935</v>
      </c>
      <c r="Z333" s="72" t="s">
        <v>4</v>
      </c>
      <c r="AA333" s="146" t="s">
        <v>2824</v>
      </c>
    </row>
    <row r="334" spans="1:27" ht="18.600000000000001" customHeight="1">
      <c r="A334" s="139" t="str">
        <f>IF(priority(Main[[#This Row],[Comments]])&lt;&gt;0, priority(Main[[#This Row],[Comments]]),"")</f>
        <v/>
      </c>
      <c r="B334" s="89" t="s">
        <v>1130</v>
      </c>
      <c r="C334" s="72" t="s">
        <v>4</v>
      </c>
      <c r="D334" s="73" t="s">
        <v>179</v>
      </c>
      <c r="E334" s="74">
        <v>40644.277719907404</v>
      </c>
      <c r="F334" s="74"/>
      <c r="G334" s="75" t="str">
        <f>IF(stdProdLT(Main[[#This Row],[Comments]])=0.1,"N/A",IF(stdProdLT(Main[[#This Row],[Comments]])=0,"",stdProdLT(Main[[#This Row],[Comments]])))</f>
        <v/>
      </c>
      <c r="H334" s="76" t="str">
        <f>IF(AND(Main[[#This Row],[In Stock Date]]&lt;&gt;"",Main[[#This Row],[Revised Due Date]]&lt;&gt;""),Main[[#This Row],[In Stock Date]]-Main[[#This Row],[Revised Due Date]],"")</f>
        <v/>
      </c>
      <c r="I334" s="72" t="s">
        <v>4</v>
      </c>
      <c r="J334" s="72" t="s">
        <v>4</v>
      </c>
      <c r="K334" s="72" t="s">
        <v>4</v>
      </c>
      <c r="L334" s="74"/>
      <c r="M334" s="77" t="str">
        <f>IF(Main[[#This Row],[Tech Start Date]]&lt;1/1/1990,"",IF(Main[[#This Row],[Class]]="C",WORKDAY(Main[[#This Row],[Tech Start Date]],9),IF(Main[[#This Row],[Class]]="B", WORKDAY(Main[[#This Row],[Tech Start Date]],6),IF(Main[[#This Row],[Class]]="A",WORKDAY(Main[[#This Row],[Tech Start Date]],2),""))))</f>
        <v/>
      </c>
      <c r="N334" s="77" t="str">
        <f>IF(Main[[#This Row],[Tech Start Date]]&lt;1/1/1990,"",IF(Main[[#This Row],[Class]]="C",WORKDAY(Main[[#This Row],[Tech Start Date]],19),IF(Main[[#This Row],[Class]]="B", WORKDAY(Main[[#This Row],[Tech Start Date]],12),IF(Main[[#This Row],[Class]]="A",WORKDAY(Main[[#This Row],[Tech Start Date]],4),""))))</f>
        <v/>
      </c>
      <c r="O334" s="77" t="str">
        <f>IF(Main[[#This Row],[Tech Start Date]]&lt;1/1/1990,"",IF(Main[[#This Row],[Class]]="C",WORKDAY(Main[[#This Row],[Tech Start Date]],23),IF(Main[[#This Row],[Class]]="B", WORKDAY(Main[[#This Row],[Tech Start Date]],15),IF(Main[[#This Row],[Class]]="A",WORKDAY(Main[[#This Row],[Tech Start Date]],5),""))))</f>
        <v/>
      </c>
      <c r="P334" s="77" t="str">
        <f>IF(Main[[#This Row],[Tech Start Date]]&lt;1/1/1990,"",IF(Main[[#This Row],[Class]]="C",WORKDAY(Main[[#This Row],[Tech Start Date]],28),IF(Main[[#This Row],[Class]]="B", WORKDAY(Main[[#This Row],[Tech Start Date]],19),IF(Main[[#This Row],[Class]]="A",WORKDAY(Main[[#This Row],[Tech Start Date]],9),""))))</f>
        <v/>
      </c>
      <c r="Q334" s="74">
        <v>40673</v>
      </c>
      <c r="R334" s="74"/>
      <c r="S334" s="72" t="s">
        <v>6</v>
      </c>
      <c r="T334" s="80" t="s">
        <v>4</v>
      </c>
      <c r="U334" s="72" t="s">
        <v>7</v>
      </c>
      <c r="V334" s="72" t="s">
        <v>1917</v>
      </c>
      <c r="W334" s="72" t="s">
        <v>1925</v>
      </c>
      <c r="X334" s="72" t="s">
        <v>2827</v>
      </c>
      <c r="Y334" s="72" t="s">
        <v>2942</v>
      </c>
      <c r="Z334" s="72" t="s">
        <v>4</v>
      </c>
      <c r="AA334" s="146" t="s">
        <v>2827</v>
      </c>
    </row>
    <row r="335" spans="1:27" ht="18.600000000000001" customHeight="1">
      <c r="A335" s="139" t="str">
        <f>IF(priority(Main[[#This Row],[Comments]])&lt;&gt;0, priority(Main[[#This Row],[Comments]]),"")</f>
        <v/>
      </c>
      <c r="B335" s="89" t="s">
        <v>1132</v>
      </c>
      <c r="C335" s="72" t="s">
        <v>180</v>
      </c>
      <c r="D335" s="73" t="s">
        <v>181</v>
      </c>
      <c r="E335" s="74"/>
      <c r="F335" s="74">
        <v>40536</v>
      </c>
      <c r="G335" s="75" t="str">
        <f>IF(stdProdLT(Main[[#This Row],[Comments]])=0.1,"N/A",IF(stdProdLT(Main[[#This Row],[Comments]])=0,"",stdProdLT(Main[[#This Row],[Comments]])))</f>
        <v/>
      </c>
      <c r="H335" s="76" t="str">
        <f>IF(AND(Main[[#This Row],[In Stock Date]]&lt;&gt;"",Main[[#This Row],[Revised Due Date]]&lt;&gt;""),Main[[#This Row],[In Stock Date]]-Main[[#This Row],[Revised Due Date]],"")</f>
        <v/>
      </c>
      <c r="I335" s="72" t="s">
        <v>4</v>
      </c>
      <c r="J335" s="72" t="s">
        <v>28</v>
      </c>
      <c r="K335" s="72" t="s">
        <v>1926</v>
      </c>
      <c r="L335" s="74"/>
      <c r="M335" s="77" t="str">
        <f>IF(Main[[#This Row],[Tech Start Date]]&lt;1/1/1990,"",IF(Main[[#This Row],[Class]]="C",WORKDAY(Main[[#This Row],[Tech Start Date]],9),IF(Main[[#This Row],[Class]]="B", WORKDAY(Main[[#This Row],[Tech Start Date]],6),IF(Main[[#This Row],[Class]]="A",WORKDAY(Main[[#This Row],[Tech Start Date]],2),""))))</f>
        <v/>
      </c>
      <c r="N335" s="77" t="str">
        <f>IF(Main[[#This Row],[Tech Start Date]]&lt;1/1/1990,"",IF(Main[[#This Row],[Class]]="C",WORKDAY(Main[[#This Row],[Tech Start Date]],19),IF(Main[[#This Row],[Class]]="B", WORKDAY(Main[[#This Row],[Tech Start Date]],12),IF(Main[[#This Row],[Class]]="A",WORKDAY(Main[[#This Row],[Tech Start Date]],4),""))))</f>
        <v/>
      </c>
      <c r="O335" s="77" t="str">
        <f>IF(Main[[#This Row],[Tech Start Date]]&lt;1/1/1990,"",IF(Main[[#This Row],[Class]]="C",WORKDAY(Main[[#This Row],[Tech Start Date]],23),IF(Main[[#This Row],[Class]]="B", WORKDAY(Main[[#This Row],[Tech Start Date]],15),IF(Main[[#This Row],[Class]]="A",WORKDAY(Main[[#This Row],[Tech Start Date]],5),""))))</f>
        <v/>
      </c>
      <c r="P335" s="77" t="str">
        <f>IF(Main[[#This Row],[Tech Start Date]]&lt;1/1/1990,"",IF(Main[[#This Row],[Class]]="C",WORKDAY(Main[[#This Row],[Tech Start Date]],28),IF(Main[[#This Row],[Class]]="B", WORKDAY(Main[[#This Row],[Tech Start Date]],19),IF(Main[[#This Row],[Class]]="A",WORKDAY(Main[[#This Row],[Tech Start Date]],9),""))))</f>
        <v/>
      </c>
      <c r="Q335" s="74">
        <v>40466</v>
      </c>
      <c r="R335" s="74"/>
      <c r="S335" s="72" t="s">
        <v>11</v>
      </c>
      <c r="T335" s="80" t="s">
        <v>4</v>
      </c>
      <c r="U335" s="72" t="s">
        <v>14</v>
      </c>
      <c r="V335" s="72" t="s">
        <v>1920</v>
      </c>
      <c r="W335" s="72" t="s">
        <v>1923</v>
      </c>
      <c r="X335" s="72" t="s">
        <v>2830</v>
      </c>
      <c r="Y335" s="72" t="s">
        <v>2949</v>
      </c>
      <c r="Z335" s="72" t="s">
        <v>530</v>
      </c>
      <c r="AA335" s="146" t="s">
        <v>2830</v>
      </c>
    </row>
    <row r="336" spans="1:27" ht="18.600000000000001" customHeight="1">
      <c r="A336" s="139" t="str">
        <f>IF(priority(Main[[#This Row],[Comments]])&lt;&gt;0, priority(Main[[#This Row],[Comments]]),"")</f>
        <v/>
      </c>
      <c r="B336" s="89" t="s">
        <v>1133</v>
      </c>
      <c r="C336" s="72" t="s">
        <v>182</v>
      </c>
      <c r="D336" s="73" t="s">
        <v>183</v>
      </c>
      <c r="E336" s="74"/>
      <c r="F336" s="74">
        <v>40571</v>
      </c>
      <c r="G336" s="75" t="str">
        <f>IF(stdProdLT(Main[[#This Row],[Comments]])=0.1,"N/A",IF(stdProdLT(Main[[#This Row],[Comments]])=0,"",stdProdLT(Main[[#This Row],[Comments]])))</f>
        <v/>
      </c>
      <c r="H336" s="76" t="str">
        <f>IF(AND(Main[[#This Row],[In Stock Date]]&lt;&gt;"",Main[[#This Row],[Revised Due Date]]&lt;&gt;""),Main[[#This Row],[In Stock Date]]-Main[[#This Row],[Revised Due Date]],"")</f>
        <v/>
      </c>
      <c r="I336" s="72" t="s">
        <v>4</v>
      </c>
      <c r="J336" s="72" t="s">
        <v>28</v>
      </c>
      <c r="K336" s="81" t="s">
        <v>4</v>
      </c>
      <c r="L336" s="74"/>
      <c r="M336" s="77" t="str">
        <f>IF(Main[[#This Row],[Tech Start Date]]&lt;1/1/1990,"",IF(Main[[#This Row],[Class]]="C",WORKDAY(Main[[#This Row],[Tech Start Date]],9),IF(Main[[#This Row],[Class]]="B", WORKDAY(Main[[#This Row],[Tech Start Date]],6),IF(Main[[#This Row],[Class]]="A",WORKDAY(Main[[#This Row],[Tech Start Date]],2),""))))</f>
        <v/>
      </c>
      <c r="N336" s="77" t="str">
        <f>IF(Main[[#This Row],[Tech Start Date]]&lt;1/1/1990,"",IF(Main[[#This Row],[Class]]="C",WORKDAY(Main[[#This Row],[Tech Start Date]],19),IF(Main[[#This Row],[Class]]="B", WORKDAY(Main[[#This Row],[Tech Start Date]],12),IF(Main[[#This Row],[Class]]="A",WORKDAY(Main[[#This Row],[Tech Start Date]],4),""))))</f>
        <v/>
      </c>
      <c r="O336" s="77" t="str">
        <f>IF(Main[[#This Row],[Tech Start Date]]&lt;1/1/1990,"",IF(Main[[#This Row],[Class]]="C",WORKDAY(Main[[#This Row],[Tech Start Date]],23),IF(Main[[#This Row],[Class]]="B", WORKDAY(Main[[#This Row],[Tech Start Date]],15),IF(Main[[#This Row],[Class]]="A",WORKDAY(Main[[#This Row],[Tech Start Date]],5),""))))</f>
        <v/>
      </c>
      <c r="P336" s="77" t="str">
        <f>IF(Main[[#This Row],[Tech Start Date]]&lt;1/1/1990,"",IF(Main[[#This Row],[Class]]="C",WORKDAY(Main[[#This Row],[Tech Start Date]],28),IF(Main[[#This Row],[Class]]="B", WORKDAY(Main[[#This Row],[Tech Start Date]],19),IF(Main[[#This Row],[Class]]="A",WORKDAY(Main[[#This Row],[Tech Start Date]],9),""))))</f>
        <v/>
      </c>
      <c r="Q336" s="74"/>
      <c r="R336" s="74"/>
      <c r="S336" s="72" t="s">
        <v>11</v>
      </c>
      <c r="T336" s="80" t="s">
        <v>4</v>
      </c>
      <c r="U336" s="72" t="s">
        <v>14</v>
      </c>
      <c r="V336" s="72" t="s">
        <v>1917</v>
      </c>
      <c r="W336" s="72" t="s">
        <v>1923</v>
      </c>
      <c r="X336" s="72" t="s">
        <v>50</v>
      </c>
      <c r="Y336" s="72" t="s">
        <v>3005</v>
      </c>
      <c r="Z336" s="72" t="s">
        <v>129</v>
      </c>
      <c r="AA336" s="146" t="s">
        <v>3407</v>
      </c>
    </row>
    <row r="337" spans="1:27" ht="18.600000000000001" customHeight="1">
      <c r="A337" s="139" t="str">
        <f>IF(priority(Main[[#This Row],[Comments]])&lt;&gt;0, priority(Main[[#This Row],[Comments]]),"")</f>
        <v/>
      </c>
      <c r="B337" s="89" t="s">
        <v>1134</v>
      </c>
      <c r="C337" s="72" t="s">
        <v>184</v>
      </c>
      <c r="D337" s="73" t="s">
        <v>185</v>
      </c>
      <c r="E337" s="74"/>
      <c r="F337" s="74"/>
      <c r="G337" s="75" t="str">
        <f>IF(stdProdLT(Main[[#This Row],[Comments]])=0.1,"N/A",IF(stdProdLT(Main[[#This Row],[Comments]])=0,"",stdProdLT(Main[[#This Row],[Comments]])))</f>
        <v/>
      </c>
      <c r="H337" s="76" t="str">
        <f>IF(AND(Main[[#This Row],[In Stock Date]]&lt;&gt;"",Main[[#This Row],[Revised Due Date]]&lt;&gt;""),Main[[#This Row],[In Stock Date]]-Main[[#This Row],[Revised Due Date]],"")</f>
        <v/>
      </c>
      <c r="I337" s="72" t="s">
        <v>4</v>
      </c>
      <c r="J337" s="72" t="s">
        <v>4</v>
      </c>
      <c r="K337" s="72" t="s">
        <v>4</v>
      </c>
      <c r="L337" s="74"/>
      <c r="M337" s="77" t="str">
        <f>IF(Main[[#This Row],[Tech Start Date]]&lt;1/1/1990,"",IF(Main[[#This Row],[Class]]="C",WORKDAY(Main[[#This Row],[Tech Start Date]],9),IF(Main[[#This Row],[Class]]="B", WORKDAY(Main[[#This Row],[Tech Start Date]],6),IF(Main[[#This Row],[Class]]="A",WORKDAY(Main[[#This Row],[Tech Start Date]],2),""))))</f>
        <v/>
      </c>
      <c r="N337" s="77" t="str">
        <f>IF(Main[[#This Row],[Tech Start Date]]&lt;1/1/1990,"",IF(Main[[#This Row],[Class]]="C",WORKDAY(Main[[#This Row],[Tech Start Date]],19),IF(Main[[#This Row],[Class]]="B", WORKDAY(Main[[#This Row],[Tech Start Date]],12),IF(Main[[#This Row],[Class]]="A",WORKDAY(Main[[#This Row],[Tech Start Date]],4),""))))</f>
        <v/>
      </c>
      <c r="O337" s="77" t="str">
        <f>IF(Main[[#This Row],[Tech Start Date]]&lt;1/1/1990,"",IF(Main[[#This Row],[Class]]="C",WORKDAY(Main[[#This Row],[Tech Start Date]],23),IF(Main[[#This Row],[Class]]="B", WORKDAY(Main[[#This Row],[Tech Start Date]],15),IF(Main[[#This Row],[Class]]="A",WORKDAY(Main[[#This Row],[Tech Start Date]],5),""))))</f>
        <v/>
      </c>
      <c r="P337" s="77" t="str">
        <f>IF(Main[[#This Row],[Tech Start Date]]&lt;1/1/1990,"",IF(Main[[#This Row],[Class]]="C",WORKDAY(Main[[#This Row],[Tech Start Date]],28),IF(Main[[#This Row],[Class]]="B", WORKDAY(Main[[#This Row],[Tech Start Date]],19),IF(Main[[#This Row],[Class]]="A",WORKDAY(Main[[#This Row],[Tech Start Date]],9),""))))</f>
        <v/>
      </c>
      <c r="Q337" s="74">
        <v>40116</v>
      </c>
      <c r="R337" s="74"/>
      <c r="S337" s="72" t="s">
        <v>11</v>
      </c>
      <c r="T337" s="80" t="s">
        <v>4</v>
      </c>
      <c r="U337" s="72" t="s">
        <v>14</v>
      </c>
      <c r="V337" s="72" t="s">
        <v>1920</v>
      </c>
      <c r="W337" s="72" t="s">
        <v>1919</v>
      </c>
      <c r="X337" s="72" t="s">
        <v>2869</v>
      </c>
      <c r="Y337" s="72" t="s">
        <v>4</v>
      </c>
      <c r="Z337" s="72" t="s">
        <v>4</v>
      </c>
      <c r="AA337" s="146" t="s">
        <v>2869</v>
      </c>
    </row>
    <row r="338" spans="1:27" ht="18.600000000000001" customHeight="1">
      <c r="A338" s="139" t="str">
        <f>IF(priority(Main[[#This Row],[Comments]])&lt;&gt;0, priority(Main[[#This Row],[Comments]]),"")</f>
        <v/>
      </c>
      <c r="B338" s="89" t="s">
        <v>1136</v>
      </c>
      <c r="C338" s="72" t="s">
        <v>187</v>
      </c>
      <c r="D338" s="73" t="s">
        <v>188</v>
      </c>
      <c r="E338" s="74"/>
      <c r="F338" s="74">
        <v>40263</v>
      </c>
      <c r="G338" s="75" t="str">
        <f>IF(stdProdLT(Main[[#This Row],[Comments]])=0.1,"N/A",IF(stdProdLT(Main[[#This Row],[Comments]])=0,"",stdProdLT(Main[[#This Row],[Comments]])))</f>
        <v/>
      </c>
      <c r="H338" s="76" t="str">
        <f>IF(AND(Main[[#This Row],[In Stock Date]]&lt;&gt;"",Main[[#This Row],[Revised Due Date]]&lt;&gt;""),Main[[#This Row],[In Stock Date]]-Main[[#This Row],[Revised Due Date]],"")</f>
        <v/>
      </c>
      <c r="I338" s="72" t="s">
        <v>4</v>
      </c>
      <c r="J338" s="72" t="s">
        <v>4</v>
      </c>
      <c r="K338" s="72" t="s">
        <v>4</v>
      </c>
      <c r="L338" s="74"/>
      <c r="M338" s="77" t="str">
        <f>IF(Main[[#This Row],[Tech Start Date]]&lt;1/1/1990,"",IF(Main[[#This Row],[Class]]="C",WORKDAY(Main[[#This Row],[Tech Start Date]],9),IF(Main[[#This Row],[Class]]="B", WORKDAY(Main[[#This Row],[Tech Start Date]],6),IF(Main[[#This Row],[Class]]="A",WORKDAY(Main[[#This Row],[Tech Start Date]],2),""))))</f>
        <v/>
      </c>
      <c r="N338" s="77" t="str">
        <f>IF(Main[[#This Row],[Tech Start Date]]&lt;1/1/1990,"",IF(Main[[#This Row],[Class]]="C",WORKDAY(Main[[#This Row],[Tech Start Date]],19),IF(Main[[#This Row],[Class]]="B", WORKDAY(Main[[#This Row],[Tech Start Date]],12),IF(Main[[#This Row],[Class]]="A",WORKDAY(Main[[#This Row],[Tech Start Date]],4),""))))</f>
        <v/>
      </c>
      <c r="O338" s="77" t="str">
        <f>IF(Main[[#This Row],[Tech Start Date]]&lt;1/1/1990,"",IF(Main[[#This Row],[Class]]="C",WORKDAY(Main[[#This Row],[Tech Start Date]],23),IF(Main[[#This Row],[Class]]="B", WORKDAY(Main[[#This Row],[Tech Start Date]],15),IF(Main[[#This Row],[Class]]="A",WORKDAY(Main[[#This Row],[Tech Start Date]],5),""))))</f>
        <v/>
      </c>
      <c r="P338" s="77" t="str">
        <f>IF(Main[[#This Row],[Tech Start Date]]&lt;1/1/1990,"",IF(Main[[#This Row],[Class]]="C",WORKDAY(Main[[#This Row],[Tech Start Date]],28),IF(Main[[#This Row],[Class]]="B", WORKDAY(Main[[#This Row],[Tech Start Date]],19),IF(Main[[#This Row],[Class]]="A",WORKDAY(Main[[#This Row],[Tech Start Date]],9),""))))</f>
        <v/>
      </c>
      <c r="Q338" s="74">
        <v>40295</v>
      </c>
      <c r="R338" s="74"/>
      <c r="S338" s="72" t="s">
        <v>11</v>
      </c>
      <c r="T338" s="80" t="s">
        <v>4</v>
      </c>
      <c r="U338" s="72" t="s">
        <v>14</v>
      </c>
      <c r="V338" s="72" t="s">
        <v>1920</v>
      </c>
      <c r="W338" s="72" t="s">
        <v>1923</v>
      </c>
      <c r="X338" s="72" t="s">
        <v>306</v>
      </c>
      <c r="Y338" s="72" t="s">
        <v>4</v>
      </c>
      <c r="Z338" s="72" t="s">
        <v>4</v>
      </c>
      <c r="AA338" s="146" t="s">
        <v>306</v>
      </c>
    </row>
    <row r="339" spans="1:27" ht="18.600000000000001" customHeight="1">
      <c r="A339" s="139" t="str">
        <f>IF(priority(Main[[#This Row],[Comments]])&lt;&gt;0, priority(Main[[#This Row],[Comments]]),"")</f>
        <v/>
      </c>
      <c r="B339" s="89" t="s">
        <v>1137</v>
      </c>
      <c r="C339" s="72" t="s">
        <v>4</v>
      </c>
      <c r="D339" s="73" t="s">
        <v>189</v>
      </c>
      <c r="E339" s="74"/>
      <c r="F339" s="74"/>
      <c r="G339" s="75" t="str">
        <f>IF(stdProdLT(Main[[#This Row],[Comments]])=0.1,"N/A",IF(stdProdLT(Main[[#This Row],[Comments]])=0,"",stdProdLT(Main[[#This Row],[Comments]])))</f>
        <v/>
      </c>
      <c r="H339" s="76" t="str">
        <f>IF(AND(Main[[#This Row],[In Stock Date]]&lt;&gt;"",Main[[#This Row],[Revised Due Date]]&lt;&gt;""),Main[[#This Row],[In Stock Date]]-Main[[#This Row],[Revised Due Date]],"")</f>
        <v/>
      </c>
      <c r="I339" s="72" t="s">
        <v>4</v>
      </c>
      <c r="J339" s="72" t="s">
        <v>4</v>
      </c>
      <c r="K339" s="72" t="s">
        <v>4</v>
      </c>
      <c r="L339" s="74"/>
      <c r="M339" s="77" t="str">
        <f>IF(Main[[#This Row],[Tech Start Date]]&lt;1/1/1990,"",IF(Main[[#This Row],[Class]]="C",WORKDAY(Main[[#This Row],[Tech Start Date]],9),IF(Main[[#This Row],[Class]]="B", WORKDAY(Main[[#This Row],[Tech Start Date]],6),IF(Main[[#This Row],[Class]]="A",WORKDAY(Main[[#This Row],[Tech Start Date]],2),""))))</f>
        <v/>
      </c>
      <c r="N339" s="77" t="str">
        <f>IF(Main[[#This Row],[Tech Start Date]]&lt;1/1/1990,"",IF(Main[[#This Row],[Class]]="C",WORKDAY(Main[[#This Row],[Tech Start Date]],19),IF(Main[[#This Row],[Class]]="B", WORKDAY(Main[[#This Row],[Tech Start Date]],12),IF(Main[[#This Row],[Class]]="A",WORKDAY(Main[[#This Row],[Tech Start Date]],4),""))))</f>
        <v/>
      </c>
      <c r="O339" s="77" t="str">
        <f>IF(Main[[#This Row],[Tech Start Date]]&lt;1/1/1990,"",IF(Main[[#This Row],[Class]]="C",WORKDAY(Main[[#This Row],[Tech Start Date]],23),IF(Main[[#This Row],[Class]]="B", WORKDAY(Main[[#This Row],[Tech Start Date]],15),IF(Main[[#This Row],[Class]]="A",WORKDAY(Main[[#This Row],[Tech Start Date]],5),""))))</f>
        <v/>
      </c>
      <c r="P339" s="77" t="str">
        <f>IF(Main[[#This Row],[Tech Start Date]]&lt;1/1/1990,"",IF(Main[[#This Row],[Class]]="C",WORKDAY(Main[[#This Row],[Tech Start Date]],28),IF(Main[[#This Row],[Class]]="B", WORKDAY(Main[[#This Row],[Tech Start Date]],19),IF(Main[[#This Row],[Class]]="A",WORKDAY(Main[[#This Row],[Tech Start Date]],9),""))))</f>
        <v/>
      </c>
      <c r="Q339" s="74"/>
      <c r="R339" s="74"/>
      <c r="S339" s="72" t="s">
        <v>4</v>
      </c>
      <c r="T339" s="80" t="s">
        <v>4</v>
      </c>
      <c r="U339" s="72" t="s">
        <v>14</v>
      </c>
      <c r="V339" s="72" t="s">
        <v>1920</v>
      </c>
      <c r="W339" s="72" t="s">
        <v>4</v>
      </c>
      <c r="X339" s="72" t="s">
        <v>970</v>
      </c>
      <c r="Y339" s="72" t="s">
        <v>4</v>
      </c>
      <c r="Z339" s="72" t="s">
        <v>4</v>
      </c>
      <c r="AA339" s="146" t="s">
        <v>4</v>
      </c>
    </row>
    <row r="340" spans="1:27" ht="18.600000000000001" customHeight="1">
      <c r="A340" s="139" t="str">
        <f>IF(priority(Main[[#This Row],[Comments]])&lt;&gt;0, priority(Main[[#This Row],[Comments]]),"")</f>
        <v/>
      </c>
      <c r="B340" s="89" t="s">
        <v>1138</v>
      </c>
      <c r="C340" s="72" t="s">
        <v>93</v>
      </c>
      <c r="D340" s="73" t="s">
        <v>190</v>
      </c>
      <c r="E340" s="74"/>
      <c r="F340" s="74">
        <v>40132</v>
      </c>
      <c r="G340" s="75" t="str">
        <f>IF(stdProdLT(Main[[#This Row],[Comments]])=0.1,"N/A",IF(stdProdLT(Main[[#This Row],[Comments]])=0,"",stdProdLT(Main[[#This Row],[Comments]])))</f>
        <v/>
      </c>
      <c r="H340" s="76" t="str">
        <f>IF(AND(Main[[#This Row],[In Stock Date]]&lt;&gt;"",Main[[#This Row],[Revised Due Date]]&lt;&gt;""),Main[[#This Row],[In Stock Date]]-Main[[#This Row],[Revised Due Date]],"")</f>
        <v/>
      </c>
      <c r="I340" s="72" t="s">
        <v>4</v>
      </c>
      <c r="J340" s="72" t="s">
        <v>4</v>
      </c>
      <c r="K340" s="81" t="s">
        <v>4</v>
      </c>
      <c r="L340" s="74"/>
      <c r="M340" s="77" t="str">
        <f>IF(Main[[#This Row],[Tech Start Date]]&lt;1/1/1990,"",IF(Main[[#This Row],[Class]]="C",WORKDAY(Main[[#This Row],[Tech Start Date]],9),IF(Main[[#This Row],[Class]]="B", WORKDAY(Main[[#This Row],[Tech Start Date]],6),IF(Main[[#This Row],[Class]]="A",WORKDAY(Main[[#This Row],[Tech Start Date]],2),""))))</f>
        <v/>
      </c>
      <c r="N340" s="77" t="str">
        <f>IF(Main[[#This Row],[Tech Start Date]]&lt;1/1/1990,"",IF(Main[[#This Row],[Class]]="C",WORKDAY(Main[[#This Row],[Tech Start Date]],19),IF(Main[[#This Row],[Class]]="B", WORKDAY(Main[[#This Row],[Tech Start Date]],12),IF(Main[[#This Row],[Class]]="A",WORKDAY(Main[[#This Row],[Tech Start Date]],4),""))))</f>
        <v/>
      </c>
      <c r="O340" s="77" t="str">
        <f>IF(Main[[#This Row],[Tech Start Date]]&lt;1/1/1990,"",IF(Main[[#This Row],[Class]]="C",WORKDAY(Main[[#This Row],[Tech Start Date]],23),IF(Main[[#This Row],[Class]]="B", WORKDAY(Main[[#This Row],[Tech Start Date]],15),IF(Main[[#This Row],[Class]]="A",WORKDAY(Main[[#This Row],[Tech Start Date]],5),""))))</f>
        <v/>
      </c>
      <c r="P340" s="77" t="str">
        <f>IF(Main[[#This Row],[Tech Start Date]]&lt;1/1/1990,"",IF(Main[[#This Row],[Class]]="C",WORKDAY(Main[[#This Row],[Tech Start Date]],28),IF(Main[[#This Row],[Class]]="B", WORKDAY(Main[[#This Row],[Tech Start Date]],19),IF(Main[[#This Row],[Class]]="A",WORKDAY(Main[[#This Row],[Tech Start Date]],9),""))))</f>
        <v/>
      </c>
      <c r="Q340" s="74">
        <v>40132</v>
      </c>
      <c r="R340" s="74"/>
      <c r="S340" s="72" t="s">
        <v>11</v>
      </c>
      <c r="T340" s="80" t="s">
        <v>4</v>
      </c>
      <c r="U340" s="72" t="s">
        <v>14</v>
      </c>
      <c r="V340" s="72" t="s">
        <v>1920</v>
      </c>
      <c r="W340" s="72" t="s">
        <v>1928</v>
      </c>
      <c r="X340" s="72" t="s">
        <v>2862</v>
      </c>
      <c r="Y340" s="72" t="s">
        <v>4</v>
      </c>
      <c r="Z340" s="72" t="s">
        <v>4</v>
      </c>
      <c r="AA340" s="146" t="s">
        <v>2862</v>
      </c>
    </row>
    <row r="341" spans="1:27" ht="18.600000000000001" customHeight="1">
      <c r="A341" s="139" t="str">
        <f>IF(priority(Main[[#This Row],[Comments]])&lt;&gt;0, priority(Main[[#This Row],[Comments]]),"")</f>
        <v/>
      </c>
      <c r="B341" s="89" t="s">
        <v>1139</v>
      </c>
      <c r="C341" s="72" t="s">
        <v>93</v>
      </c>
      <c r="D341" s="73" t="s">
        <v>191</v>
      </c>
      <c r="E341" s="74"/>
      <c r="F341" s="74">
        <v>40132</v>
      </c>
      <c r="G341" s="75" t="str">
        <f>IF(stdProdLT(Main[[#This Row],[Comments]])=0.1,"N/A",IF(stdProdLT(Main[[#This Row],[Comments]])=0,"",stdProdLT(Main[[#This Row],[Comments]])))</f>
        <v/>
      </c>
      <c r="H341" s="76" t="str">
        <f>IF(AND(Main[[#This Row],[In Stock Date]]&lt;&gt;"",Main[[#This Row],[Revised Due Date]]&lt;&gt;""),Main[[#This Row],[In Stock Date]]-Main[[#This Row],[Revised Due Date]],"")</f>
        <v/>
      </c>
      <c r="I341" s="72" t="s">
        <v>4</v>
      </c>
      <c r="J341" s="72" t="s">
        <v>4</v>
      </c>
      <c r="K341" s="72" t="s">
        <v>4</v>
      </c>
      <c r="L341" s="74"/>
      <c r="M341" s="77" t="str">
        <f>IF(Main[[#This Row],[Tech Start Date]]&lt;1/1/1990,"",IF(Main[[#This Row],[Class]]="C",WORKDAY(Main[[#This Row],[Tech Start Date]],9),IF(Main[[#This Row],[Class]]="B", WORKDAY(Main[[#This Row],[Tech Start Date]],6),IF(Main[[#This Row],[Class]]="A",WORKDAY(Main[[#This Row],[Tech Start Date]],2),""))))</f>
        <v/>
      </c>
      <c r="N341" s="77" t="str">
        <f>IF(Main[[#This Row],[Tech Start Date]]&lt;1/1/1990,"",IF(Main[[#This Row],[Class]]="C",WORKDAY(Main[[#This Row],[Tech Start Date]],19),IF(Main[[#This Row],[Class]]="B", WORKDAY(Main[[#This Row],[Tech Start Date]],12),IF(Main[[#This Row],[Class]]="A",WORKDAY(Main[[#This Row],[Tech Start Date]],4),""))))</f>
        <v/>
      </c>
      <c r="O341" s="77" t="str">
        <f>IF(Main[[#This Row],[Tech Start Date]]&lt;1/1/1990,"",IF(Main[[#This Row],[Class]]="C",WORKDAY(Main[[#This Row],[Tech Start Date]],23),IF(Main[[#This Row],[Class]]="B", WORKDAY(Main[[#This Row],[Tech Start Date]],15),IF(Main[[#This Row],[Class]]="A",WORKDAY(Main[[#This Row],[Tech Start Date]],5),""))))</f>
        <v/>
      </c>
      <c r="P341" s="77" t="str">
        <f>IF(Main[[#This Row],[Tech Start Date]]&lt;1/1/1990,"",IF(Main[[#This Row],[Class]]="C",WORKDAY(Main[[#This Row],[Tech Start Date]],28),IF(Main[[#This Row],[Class]]="B", WORKDAY(Main[[#This Row],[Tech Start Date]],19),IF(Main[[#This Row],[Class]]="A",WORKDAY(Main[[#This Row],[Tech Start Date]],9),""))))</f>
        <v/>
      </c>
      <c r="Q341" s="74">
        <v>40132</v>
      </c>
      <c r="R341" s="74"/>
      <c r="S341" s="72" t="s">
        <v>11</v>
      </c>
      <c r="T341" s="80" t="s">
        <v>4</v>
      </c>
      <c r="U341" s="72" t="s">
        <v>14</v>
      </c>
      <c r="V341" s="72" t="s">
        <v>1920</v>
      </c>
      <c r="W341" s="72" t="s">
        <v>1928</v>
      </c>
      <c r="X341" s="72" t="s">
        <v>2862</v>
      </c>
      <c r="Y341" s="72" t="s">
        <v>4</v>
      </c>
      <c r="Z341" s="72" t="s">
        <v>4</v>
      </c>
      <c r="AA341" s="146" t="s">
        <v>2862</v>
      </c>
    </row>
    <row r="342" spans="1:27" ht="18.600000000000001" customHeight="1">
      <c r="A342" s="139" t="str">
        <f>IF(priority(Main[[#This Row],[Comments]])&lt;&gt;0, priority(Main[[#This Row],[Comments]]),"")</f>
        <v/>
      </c>
      <c r="B342" s="89" t="s">
        <v>1140</v>
      </c>
      <c r="C342" s="72" t="s">
        <v>4</v>
      </c>
      <c r="D342" s="73" t="s">
        <v>192</v>
      </c>
      <c r="E342" s="74">
        <v>40371.395115740743</v>
      </c>
      <c r="F342" s="74"/>
      <c r="G342" s="75" t="str">
        <f>IF(stdProdLT(Main[[#This Row],[Comments]])=0.1,"N/A",IF(stdProdLT(Main[[#This Row],[Comments]])=0,"",stdProdLT(Main[[#This Row],[Comments]])))</f>
        <v/>
      </c>
      <c r="H342" s="76" t="str">
        <f>IF(AND(Main[[#This Row],[In Stock Date]]&lt;&gt;"",Main[[#This Row],[Revised Due Date]]&lt;&gt;""),Main[[#This Row],[In Stock Date]]-Main[[#This Row],[Revised Due Date]],"")</f>
        <v/>
      </c>
      <c r="I342" s="72" t="s">
        <v>4</v>
      </c>
      <c r="J342" s="72" t="s">
        <v>4</v>
      </c>
      <c r="K342" s="72" t="s">
        <v>4</v>
      </c>
      <c r="L342" s="74"/>
      <c r="M342" s="77" t="str">
        <f>IF(Main[[#This Row],[Tech Start Date]]&lt;1/1/1990,"",IF(Main[[#This Row],[Class]]="C",WORKDAY(Main[[#This Row],[Tech Start Date]],9),IF(Main[[#This Row],[Class]]="B", WORKDAY(Main[[#This Row],[Tech Start Date]],6),IF(Main[[#This Row],[Class]]="A",WORKDAY(Main[[#This Row],[Tech Start Date]],2),""))))</f>
        <v/>
      </c>
      <c r="N342" s="77" t="str">
        <f>IF(Main[[#This Row],[Tech Start Date]]&lt;1/1/1990,"",IF(Main[[#This Row],[Class]]="C",WORKDAY(Main[[#This Row],[Tech Start Date]],19),IF(Main[[#This Row],[Class]]="B", WORKDAY(Main[[#This Row],[Tech Start Date]],12),IF(Main[[#This Row],[Class]]="A",WORKDAY(Main[[#This Row],[Tech Start Date]],4),""))))</f>
        <v/>
      </c>
      <c r="O342" s="77" t="str">
        <f>IF(Main[[#This Row],[Tech Start Date]]&lt;1/1/1990,"",IF(Main[[#This Row],[Class]]="C",WORKDAY(Main[[#This Row],[Tech Start Date]],23),IF(Main[[#This Row],[Class]]="B", WORKDAY(Main[[#This Row],[Tech Start Date]],15),IF(Main[[#This Row],[Class]]="A",WORKDAY(Main[[#This Row],[Tech Start Date]],5),""))))</f>
        <v/>
      </c>
      <c r="P342" s="77" t="str">
        <f>IF(Main[[#This Row],[Tech Start Date]]&lt;1/1/1990,"",IF(Main[[#This Row],[Class]]="C",WORKDAY(Main[[#This Row],[Tech Start Date]],28),IF(Main[[#This Row],[Class]]="B", WORKDAY(Main[[#This Row],[Tech Start Date]],19),IF(Main[[#This Row],[Class]]="A",WORKDAY(Main[[#This Row],[Tech Start Date]],9),""))))</f>
        <v/>
      </c>
      <c r="Q342" s="74">
        <v>40385</v>
      </c>
      <c r="R342" s="74"/>
      <c r="S342" s="72" t="s">
        <v>6</v>
      </c>
      <c r="T342" s="80" t="s">
        <v>4</v>
      </c>
      <c r="U342" s="72" t="s">
        <v>7</v>
      </c>
      <c r="V342" s="72" t="s">
        <v>1917</v>
      </c>
      <c r="W342" s="72" t="s">
        <v>1919</v>
      </c>
      <c r="X342" s="72" t="s">
        <v>102</v>
      </c>
      <c r="Y342" s="72" t="s">
        <v>3007</v>
      </c>
      <c r="Z342" s="72" t="s">
        <v>4</v>
      </c>
      <c r="AA342" s="146" t="s">
        <v>3408</v>
      </c>
    </row>
    <row r="343" spans="1:27" ht="18.600000000000001" customHeight="1">
      <c r="A343" s="139" t="str">
        <f>IF(priority(Main[[#This Row],[Comments]])&lt;&gt;0, priority(Main[[#This Row],[Comments]]),"")</f>
        <v/>
      </c>
      <c r="B343" s="89" t="s">
        <v>1141</v>
      </c>
      <c r="C343" s="72" t="s">
        <v>53</v>
      </c>
      <c r="D343" s="73" t="s">
        <v>193</v>
      </c>
      <c r="E343" s="74"/>
      <c r="F343" s="74"/>
      <c r="G343" s="75" t="str">
        <f>IF(stdProdLT(Main[[#This Row],[Comments]])=0.1,"N/A",IF(stdProdLT(Main[[#This Row],[Comments]])=0,"",stdProdLT(Main[[#This Row],[Comments]])))</f>
        <v/>
      </c>
      <c r="H343" s="76" t="str">
        <f>IF(AND(Main[[#This Row],[In Stock Date]]&lt;&gt;"",Main[[#This Row],[Revised Due Date]]&lt;&gt;""),Main[[#This Row],[In Stock Date]]-Main[[#This Row],[Revised Due Date]],"")</f>
        <v/>
      </c>
      <c r="I343" s="72" t="s">
        <v>4</v>
      </c>
      <c r="J343" s="72" t="s">
        <v>28</v>
      </c>
      <c r="K343" s="72" t="s">
        <v>1924</v>
      </c>
      <c r="L343" s="74"/>
      <c r="M343" s="77" t="str">
        <f>IF(Main[[#This Row],[Tech Start Date]]&lt;1/1/1990,"",IF(Main[[#This Row],[Class]]="C",WORKDAY(Main[[#This Row],[Tech Start Date]],9),IF(Main[[#This Row],[Class]]="B", WORKDAY(Main[[#This Row],[Tech Start Date]],6),IF(Main[[#This Row],[Class]]="A",WORKDAY(Main[[#This Row],[Tech Start Date]],2),""))))</f>
        <v/>
      </c>
      <c r="N343" s="77" t="str">
        <f>IF(Main[[#This Row],[Tech Start Date]]&lt;1/1/1990,"",IF(Main[[#This Row],[Class]]="C",WORKDAY(Main[[#This Row],[Tech Start Date]],19),IF(Main[[#This Row],[Class]]="B", WORKDAY(Main[[#This Row],[Tech Start Date]],12),IF(Main[[#This Row],[Class]]="A",WORKDAY(Main[[#This Row],[Tech Start Date]],4),""))))</f>
        <v/>
      </c>
      <c r="O343" s="77" t="str">
        <f>IF(Main[[#This Row],[Tech Start Date]]&lt;1/1/1990,"",IF(Main[[#This Row],[Class]]="C",WORKDAY(Main[[#This Row],[Tech Start Date]],23),IF(Main[[#This Row],[Class]]="B", WORKDAY(Main[[#This Row],[Tech Start Date]],15),IF(Main[[#This Row],[Class]]="A",WORKDAY(Main[[#This Row],[Tech Start Date]],5),""))))</f>
        <v/>
      </c>
      <c r="P343" s="77" t="str">
        <f>IF(Main[[#This Row],[Tech Start Date]]&lt;1/1/1990,"",IF(Main[[#This Row],[Class]]="C",WORKDAY(Main[[#This Row],[Tech Start Date]],28),IF(Main[[#This Row],[Class]]="B", WORKDAY(Main[[#This Row],[Tech Start Date]],19),IF(Main[[#This Row],[Class]]="A",WORKDAY(Main[[#This Row],[Tech Start Date]],9),""))))</f>
        <v/>
      </c>
      <c r="Q343" s="74">
        <v>40581</v>
      </c>
      <c r="R343" s="74"/>
      <c r="S343" s="72" t="s">
        <v>11</v>
      </c>
      <c r="T343" s="80" t="s">
        <v>4</v>
      </c>
      <c r="U343" s="72" t="s">
        <v>14</v>
      </c>
      <c r="V343" s="72" t="s">
        <v>1918</v>
      </c>
      <c r="W343" s="72" t="s">
        <v>1919</v>
      </c>
      <c r="X343" s="72" t="s">
        <v>2822</v>
      </c>
      <c r="Y343" s="72" t="s">
        <v>2934</v>
      </c>
      <c r="Z343" s="72" t="s">
        <v>3165</v>
      </c>
      <c r="AA343" s="146" t="s">
        <v>2822</v>
      </c>
    </row>
    <row r="344" spans="1:27" ht="18.600000000000001" customHeight="1">
      <c r="A344" s="139" t="str">
        <f>IF(priority(Main[[#This Row],[Comments]])&lt;&gt;0, priority(Main[[#This Row],[Comments]]),"")</f>
        <v/>
      </c>
      <c r="B344" s="89" t="s">
        <v>1845</v>
      </c>
      <c r="C344" s="72" t="s">
        <v>4</v>
      </c>
      <c r="D344" s="73" t="s">
        <v>901</v>
      </c>
      <c r="E344" s="74"/>
      <c r="F344" s="74"/>
      <c r="G344" s="75" t="str">
        <f>IF(stdProdLT(Main[[#This Row],[Comments]])=0.1,"N/A",IF(stdProdLT(Main[[#This Row],[Comments]])=0,"",stdProdLT(Main[[#This Row],[Comments]])))</f>
        <v/>
      </c>
      <c r="H344" s="76" t="str">
        <f>IF(AND(Main[[#This Row],[In Stock Date]]&lt;&gt;"",Main[[#This Row],[Revised Due Date]]&lt;&gt;""),Main[[#This Row],[In Stock Date]]-Main[[#This Row],[Revised Due Date]],"")</f>
        <v/>
      </c>
      <c r="I344" s="72" t="s">
        <v>102</v>
      </c>
      <c r="J344" s="72" t="s">
        <v>52</v>
      </c>
      <c r="K344" s="72" t="s">
        <v>1926</v>
      </c>
      <c r="L344" s="74"/>
      <c r="M344" s="77" t="str">
        <f>IF(Main[[#This Row],[Tech Start Date]]&lt;1/1/1990,"",IF(Main[[#This Row],[Class]]="C",WORKDAY(Main[[#This Row],[Tech Start Date]],9),IF(Main[[#This Row],[Class]]="B", WORKDAY(Main[[#This Row],[Tech Start Date]],6),IF(Main[[#This Row],[Class]]="A",WORKDAY(Main[[#This Row],[Tech Start Date]],2),""))))</f>
        <v/>
      </c>
      <c r="N344" s="77" t="str">
        <f>IF(Main[[#This Row],[Tech Start Date]]&lt;1/1/1990,"",IF(Main[[#This Row],[Class]]="C",WORKDAY(Main[[#This Row],[Tech Start Date]],19),IF(Main[[#This Row],[Class]]="B", WORKDAY(Main[[#This Row],[Tech Start Date]],12),IF(Main[[#This Row],[Class]]="A",WORKDAY(Main[[#This Row],[Tech Start Date]],4),""))))</f>
        <v/>
      </c>
      <c r="O344" s="77" t="str">
        <f>IF(Main[[#This Row],[Tech Start Date]]&lt;1/1/1990,"",IF(Main[[#This Row],[Class]]="C",WORKDAY(Main[[#This Row],[Tech Start Date]],23),IF(Main[[#This Row],[Class]]="B", WORKDAY(Main[[#This Row],[Tech Start Date]],15),IF(Main[[#This Row],[Class]]="A",WORKDAY(Main[[#This Row],[Tech Start Date]],5),""))))</f>
        <v/>
      </c>
      <c r="P344" s="77" t="str">
        <f>IF(Main[[#This Row],[Tech Start Date]]&lt;1/1/1990,"",IF(Main[[#This Row],[Class]]="C",WORKDAY(Main[[#This Row],[Tech Start Date]],28),IF(Main[[#This Row],[Class]]="B", WORKDAY(Main[[#This Row],[Tech Start Date]],19),IF(Main[[#This Row],[Class]]="A",WORKDAY(Main[[#This Row],[Tech Start Date]],9),""))))</f>
        <v/>
      </c>
      <c r="Q344" s="74"/>
      <c r="R344" s="74">
        <v>40494</v>
      </c>
      <c r="S344" s="72" t="s">
        <v>6</v>
      </c>
      <c r="T344" s="80" t="s">
        <v>4</v>
      </c>
      <c r="U344" s="72" t="s">
        <v>14</v>
      </c>
      <c r="V344" s="72" t="s">
        <v>1917</v>
      </c>
      <c r="W344" s="72" t="s">
        <v>1931</v>
      </c>
      <c r="X344" s="72" t="s">
        <v>2055</v>
      </c>
      <c r="Y344" s="72" t="s">
        <v>3008</v>
      </c>
      <c r="Z344" s="72" t="s">
        <v>3166</v>
      </c>
      <c r="AA344" s="146" t="s">
        <v>2055</v>
      </c>
    </row>
    <row r="345" spans="1:27" ht="18.600000000000001" customHeight="1">
      <c r="A345" s="139" t="str">
        <f>IF(priority(Main[[#This Row],[Comments]])&lt;&gt;0, priority(Main[[#This Row],[Comments]]),"")</f>
        <v/>
      </c>
      <c r="B345" s="89" t="s">
        <v>1160</v>
      </c>
      <c r="C345" s="72" t="s">
        <v>4</v>
      </c>
      <c r="D345" s="73" t="s">
        <v>2352</v>
      </c>
      <c r="E345" s="74">
        <v>40436.507916666669</v>
      </c>
      <c r="F345" s="74"/>
      <c r="G345" s="75" t="str">
        <f>IF(stdProdLT(Main[[#This Row],[Comments]])=0.1,"N/A",IF(stdProdLT(Main[[#This Row],[Comments]])=0,"",stdProdLT(Main[[#This Row],[Comments]])))</f>
        <v/>
      </c>
      <c r="H345" s="76" t="str">
        <f>IF(AND(Main[[#This Row],[In Stock Date]]&lt;&gt;"",Main[[#This Row],[Revised Due Date]]&lt;&gt;""),Main[[#This Row],[In Stock Date]]-Main[[#This Row],[Revised Due Date]],"")</f>
        <v/>
      </c>
      <c r="I345" s="72" t="s">
        <v>914</v>
      </c>
      <c r="J345" s="72" t="s">
        <v>52</v>
      </c>
      <c r="K345" s="72" t="s">
        <v>4</v>
      </c>
      <c r="L345" s="74"/>
      <c r="M345" s="77" t="str">
        <f>IF(Main[[#This Row],[Tech Start Date]]&lt;1/1/1990,"",IF(Main[[#This Row],[Class]]="C",WORKDAY(Main[[#This Row],[Tech Start Date]],9),IF(Main[[#This Row],[Class]]="B", WORKDAY(Main[[#This Row],[Tech Start Date]],6),IF(Main[[#This Row],[Class]]="A",WORKDAY(Main[[#This Row],[Tech Start Date]],2),""))))</f>
        <v/>
      </c>
      <c r="N345" s="77" t="str">
        <f>IF(Main[[#This Row],[Tech Start Date]]&lt;1/1/1990,"",IF(Main[[#This Row],[Class]]="C",WORKDAY(Main[[#This Row],[Tech Start Date]],19),IF(Main[[#This Row],[Class]]="B", WORKDAY(Main[[#This Row],[Tech Start Date]],12),IF(Main[[#This Row],[Class]]="A",WORKDAY(Main[[#This Row],[Tech Start Date]],4),""))))</f>
        <v/>
      </c>
      <c r="O345" s="77" t="str">
        <f>IF(Main[[#This Row],[Tech Start Date]]&lt;1/1/1990,"",IF(Main[[#This Row],[Class]]="C",WORKDAY(Main[[#This Row],[Tech Start Date]],23),IF(Main[[#This Row],[Class]]="B", WORKDAY(Main[[#This Row],[Tech Start Date]],15),IF(Main[[#This Row],[Class]]="A",WORKDAY(Main[[#This Row],[Tech Start Date]],5),""))))</f>
        <v/>
      </c>
      <c r="P345" s="77" t="str">
        <f>IF(Main[[#This Row],[Tech Start Date]]&lt;1/1/1990,"",IF(Main[[#This Row],[Class]]="C",WORKDAY(Main[[#This Row],[Tech Start Date]],28),IF(Main[[#This Row],[Class]]="B", WORKDAY(Main[[#This Row],[Tech Start Date]],19),IF(Main[[#This Row],[Class]]="A",WORKDAY(Main[[#This Row],[Tech Start Date]],9),""))))</f>
        <v/>
      </c>
      <c r="Q345" s="74">
        <v>40451</v>
      </c>
      <c r="R345" s="74"/>
      <c r="S345" s="72" t="s">
        <v>6</v>
      </c>
      <c r="T345" s="80" t="s">
        <v>4</v>
      </c>
      <c r="U345" s="72" t="s">
        <v>29</v>
      </c>
      <c r="V345" s="72" t="s">
        <v>1917</v>
      </c>
      <c r="W345" s="72" t="s">
        <v>1919</v>
      </c>
      <c r="X345" s="72" t="s">
        <v>2873</v>
      </c>
      <c r="Y345" s="72" t="s">
        <v>3009</v>
      </c>
      <c r="Z345" s="72" t="s">
        <v>530</v>
      </c>
      <c r="AA345" s="146" t="s">
        <v>2873</v>
      </c>
    </row>
    <row r="346" spans="1:27" ht="18.600000000000001" customHeight="1">
      <c r="A346" s="139" t="str">
        <f>IF(priority(Main[[#This Row],[Comments]])&lt;&gt;0, priority(Main[[#This Row],[Comments]]),"")</f>
        <v/>
      </c>
      <c r="B346" s="89" t="s">
        <v>1498</v>
      </c>
      <c r="C346" s="72" t="s">
        <v>93</v>
      </c>
      <c r="D346" s="73" t="s">
        <v>600</v>
      </c>
      <c r="E346" s="74">
        <v>40016.655266203707</v>
      </c>
      <c r="F346" s="74"/>
      <c r="G346" s="75" t="str">
        <f>IF(stdProdLT(Main[[#This Row],[Comments]])=0.1,"N/A",IF(stdProdLT(Main[[#This Row],[Comments]])=0,"",stdProdLT(Main[[#This Row],[Comments]])))</f>
        <v/>
      </c>
      <c r="H346" s="76" t="str">
        <f>IF(AND(Main[[#This Row],[In Stock Date]]&lt;&gt;"",Main[[#This Row],[Revised Due Date]]&lt;&gt;""),Main[[#This Row],[In Stock Date]]-Main[[#This Row],[Revised Due Date]],"")</f>
        <v/>
      </c>
      <c r="I346" s="72" t="s">
        <v>4</v>
      </c>
      <c r="J346" s="72" t="s">
        <v>4</v>
      </c>
      <c r="K346" s="72" t="s">
        <v>4</v>
      </c>
      <c r="L346" s="74"/>
      <c r="M346" s="77" t="str">
        <f>IF(Main[[#This Row],[Tech Start Date]]&lt;1/1/1990,"",IF(Main[[#This Row],[Class]]="C",WORKDAY(Main[[#This Row],[Tech Start Date]],9),IF(Main[[#This Row],[Class]]="B", WORKDAY(Main[[#This Row],[Tech Start Date]],6),IF(Main[[#This Row],[Class]]="A",WORKDAY(Main[[#This Row],[Tech Start Date]],2),""))))</f>
        <v/>
      </c>
      <c r="N346" s="77" t="str">
        <f>IF(Main[[#This Row],[Tech Start Date]]&lt;1/1/1990,"",IF(Main[[#This Row],[Class]]="C",WORKDAY(Main[[#This Row],[Tech Start Date]],19),IF(Main[[#This Row],[Class]]="B", WORKDAY(Main[[#This Row],[Tech Start Date]],12),IF(Main[[#This Row],[Class]]="A",WORKDAY(Main[[#This Row],[Tech Start Date]],4),""))))</f>
        <v/>
      </c>
      <c r="O346" s="77" t="str">
        <f>IF(Main[[#This Row],[Tech Start Date]]&lt;1/1/1990,"",IF(Main[[#This Row],[Class]]="C",WORKDAY(Main[[#This Row],[Tech Start Date]],23),IF(Main[[#This Row],[Class]]="B", WORKDAY(Main[[#This Row],[Tech Start Date]],15),IF(Main[[#This Row],[Class]]="A",WORKDAY(Main[[#This Row],[Tech Start Date]],5),""))))</f>
        <v/>
      </c>
      <c r="P346" s="77" t="str">
        <f>IF(Main[[#This Row],[Tech Start Date]]&lt;1/1/1990,"",IF(Main[[#This Row],[Class]]="C",WORKDAY(Main[[#This Row],[Tech Start Date]],28),IF(Main[[#This Row],[Class]]="B", WORKDAY(Main[[#This Row],[Tech Start Date]],19),IF(Main[[#This Row],[Class]]="A",WORKDAY(Main[[#This Row],[Tech Start Date]],9),""))))</f>
        <v/>
      </c>
      <c r="Q346" s="74"/>
      <c r="R346" s="74"/>
      <c r="S346" s="72" t="s">
        <v>17</v>
      </c>
      <c r="T346" s="80" t="s">
        <v>4</v>
      </c>
      <c r="U346" s="72" t="s">
        <v>29</v>
      </c>
      <c r="V346" s="72" t="s">
        <v>1920</v>
      </c>
      <c r="W346" s="72" t="s">
        <v>1923</v>
      </c>
      <c r="X346" s="72" t="s">
        <v>2859</v>
      </c>
      <c r="Y346" s="72" t="s">
        <v>2997</v>
      </c>
      <c r="Z346" s="72" t="s">
        <v>4</v>
      </c>
      <c r="AA346" s="146" t="s">
        <v>2859</v>
      </c>
    </row>
    <row r="347" spans="1:27" ht="18.600000000000001" customHeight="1">
      <c r="A347" s="139" t="str">
        <f>IF(priority(Main[[#This Row],[Comments]])&lt;&gt;0, priority(Main[[#This Row],[Comments]]),"")</f>
        <v/>
      </c>
      <c r="B347" s="89" t="s">
        <v>1679</v>
      </c>
      <c r="C347" s="72" t="s">
        <v>4</v>
      </c>
      <c r="D347" s="73" t="s">
        <v>736</v>
      </c>
      <c r="E347" s="74">
        <v>40618.366238425922</v>
      </c>
      <c r="F347" s="74"/>
      <c r="G347" s="75" t="str">
        <f>IF(stdProdLT(Main[[#This Row],[Comments]])=0.1,"N/A",IF(stdProdLT(Main[[#This Row],[Comments]])=0,"",stdProdLT(Main[[#This Row],[Comments]])))</f>
        <v/>
      </c>
      <c r="H347" s="76" t="str">
        <f>IF(AND(Main[[#This Row],[In Stock Date]]&lt;&gt;"",Main[[#This Row],[Revised Due Date]]&lt;&gt;""),Main[[#This Row],[In Stock Date]]-Main[[#This Row],[Revised Due Date]],"")</f>
        <v/>
      </c>
      <c r="I347" s="72" t="s">
        <v>30</v>
      </c>
      <c r="J347" s="72" t="s">
        <v>28</v>
      </c>
      <c r="K347" s="72" t="s">
        <v>1926</v>
      </c>
      <c r="L347" s="74"/>
      <c r="M347" s="77" t="str">
        <f>IF(Main[[#This Row],[Tech Start Date]]&lt;1/1/1990,"",IF(Main[[#This Row],[Class]]="C",WORKDAY(Main[[#This Row],[Tech Start Date]],9),IF(Main[[#This Row],[Class]]="B", WORKDAY(Main[[#This Row],[Tech Start Date]],6),IF(Main[[#This Row],[Class]]="A",WORKDAY(Main[[#This Row],[Tech Start Date]],2),""))))</f>
        <v/>
      </c>
      <c r="N347" s="77" t="str">
        <f>IF(Main[[#This Row],[Tech Start Date]]&lt;1/1/1990,"",IF(Main[[#This Row],[Class]]="C",WORKDAY(Main[[#This Row],[Tech Start Date]],19),IF(Main[[#This Row],[Class]]="B", WORKDAY(Main[[#This Row],[Tech Start Date]],12),IF(Main[[#This Row],[Class]]="A",WORKDAY(Main[[#This Row],[Tech Start Date]],4),""))))</f>
        <v/>
      </c>
      <c r="O347" s="77" t="str">
        <f>IF(Main[[#This Row],[Tech Start Date]]&lt;1/1/1990,"",IF(Main[[#This Row],[Class]]="C",WORKDAY(Main[[#This Row],[Tech Start Date]],23),IF(Main[[#This Row],[Class]]="B", WORKDAY(Main[[#This Row],[Tech Start Date]],15),IF(Main[[#This Row],[Class]]="A",WORKDAY(Main[[#This Row],[Tech Start Date]],5),""))))</f>
        <v/>
      </c>
      <c r="P347" s="77" t="str">
        <f>IF(Main[[#This Row],[Tech Start Date]]&lt;1/1/1990,"",IF(Main[[#This Row],[Class]]="C",WORKDAY(Main[[#This Row],[Tech Start Date]],28),IF(Main[[#This Row],[Class]]="B", WORKDAY(Main[[#This Row],[Tech Start Date]],19),IF(Main[[#This Row],[Class]]="A",WORKDAY(Main[[#This Row],[Tech Start Date]],9),""))))</f>
        <v/>
      </c>
      <c r="Q347" s="74"/>
      <c r="R347" s="74"/>
      <c r="S347" s="72" t="s">
        <v>6</v>
      </c>
      <c r="T347" s="80" t="s">
        <v>4</v>
      </c>
      <c r="U347" s="72" t="s">
        <v>29</v>
      </c>
      <c r="V347" s="72" t="s">
        <v>1920</v>
      </c>
      <c r="W347" s="72" t="s">
        <v>1919</v>
      </c>
      <c r="X347" s="72" t="s">
        <v>415</v>
      </c>
      <c r="Y347" s="72" t="s">
        <v>2981</v>
      </c>
      <c r="Z347" s="72" t="s">
        <v>30</v>
      </c>
      <c r="AA347" s="146" t="s">
        <v>415</v>
      </c>
    </row>
    <row r="348" spans="1:27" ht="18.600000000000001" customHeight="1">
      <c r="A348" s="139" t="str">
        <f>IF(priority(Main[[#This Row],[Comments]])&lt;&gt;0, priority(Main[[#This Row],[Comments]]),"")</f>
        <v/>
      </c>
      <c r="B348" s="89" t="s">
        <v>2072</v>
      </c>
      <c r="C348" s="72" t="s">
        <v>4</v>
      </c>
      <c r="D348" s="73" t="s">
        <v>2073</v>
      </c>
      <c r="E348" s="74"/>
      <c r="F348" s="74"/>
      <c r="G348" s="75" t="str">
        <f>IF(stdProdLT(Main[[#This Row],[Comments]])=0.1,"N/A",IF(stdProdLT(Main[[#This Row],[Comments]])=0,"",stdProdLT(Main[[#This Row],[Comments]])))</f>
        <v/>
      </c>
      <c r="H348" s="76" t="str">
        <f>IF(AND(Main[[#This Row],[In Stock Date]]&lt;&gt;"",Main[[#This Row],[Revised Due Date]]&lt;&gt;""),Main[[#This Row],[In Stock Date]]-Main[[#This Row],[Revised Due Date]],"")</f>
        <v/>
      </c>
      <c r="I348" s="72" t="s">
        <v>4</v>
      </c>
      <c r="J348" s="72" t="s">
        <v>4</v>
      </c>
      <c r="K348" s="72" t="s">
        <v>4</v>
      </c>
      <c r="L348" s="74"/>
      <c r="M348" s="77" t="str">
        <f>IF(Main[[#This Row],[Tech Start Date]]&lt;1/1/1990,"",IF(Main[[#This Row],[Class]]="C",WORKDAY(Main[[#This Row],[Tech Start Date]],9),IF(Main[[#This Row],[Class]]="B", WORKDAY(Main[[#This Row],[Tech Start Date]],6),IF(Main[[#This Row],[Class]]="A",WORKDAY(Main[[#This Row],[Tech Start Date]],2),""))))</f>
        <v/>
      </c>
      <c r="N348" s="77" t="str">
        <f>IF(Main[[#This Row],[Tech Start Date]]&lt;1/1/1990,"",IF(Main[[#This Row],[Class]]="C",WORKDAY(Main[[#This Row],[Tech Start Date]],19),IF(Main[[#This Row],[Class]]="B", WORKDAY(Main[[#This Row],[Tech Start Date]],12),IF(Main[[#This Row],[Class]]="A",WORKDAY(Main[[#This Row],[Tech Start Date]],4),""))))</f>
        <v/>
      </c>
      <c r="O348" s="77" t="str">
        <f>IF(Main[[#This Row],[Tech Start Date]]&lt;1/1/1990,"",IF(Main[[#This Row],[Class]]="C",WORKDAY(Main[[#This Row],[Tech Start Date]],23),IF(Main[[#This Row],[Class]]="B", WORKDAY(Main[[#This Row],[Tech Start Date]],15),IF(Main[[#This Row],[Class]]="A",WORKDAY(Main[[#This Row],[Tech Start Date]],5),""))))</f>
        <v/>
      </c>
      <c r="P348" s="77" t="str">
        <f>IF(Main[[#This Row],[Tech Start Date]]&lt;1/1/1990,"",IF(Main[[#This Row],[Class]]="C",WORKDAY(Main[[#This Row],[Tech Start Date]],28),IF(Main[[#This Row],[Class]]="B", WORKDAY(Main[[#This Row],[Tech Start Date]],19),IF(Main[[#This Row],[Class]]="A",WORKDAY(Main[[#This Row],[Tech Start Date]],9),""))))</f>
        <v/>
      </c>
      <c r="Q348" s="74"/>
      <c r="R348" s="74"/>
      <c r="S348" s="72" t="s">
        <v>6</v>
      </c>
      <c r="T348" s="80" t="s">
        <v>4</v>
      </c>
      <c r="U348" s="72" t="s">
        <v>14</v>
      </c>
      <c r="V348" s="72" t="s">
        <v>1917</v>
      </c>
      <c r="W348" s="72" t="s">
        <v>1921</v>
      </c>
      <c r="X348" s="72" t="s">
        <v>306</v>
      </c>
      <c r="Y348" s="72" t="s">
        <v>4</v>
      </c>
      <c r="Z348" s="72" t="s">
        <v>4</v>
      </c>
      <c r="AA348" s="146" t="s">
        <v>3398</v>
      </c>
    </row>
    <row r="349" spans="1:27" ht="18.600000000000001" customHeight="1">
      <c r="A349" s="139" t="str">
        <f>IF(priority(Main[[#This Row],[Comments]])&lt;&gt;0, priority(Main[[#This Row],[Comments]]),"")</f>
        <v/>
      </c>
      <c r="B349" s="89" t="s">
        <v>1122</v>
      </c>
      <c r="C349" s="72" t="s">
        <v>169</v>
      </c>
      <c r="D349" s="73" t="s">
        <v>170</v>
      </c>
      <c r="E349" s="74"/>
      <c r="F349" s="74">
        <v>40237</v>
      </c>
      <c r="G349" s="75" t="str">
        <f>IF(stdProdLT(Main[[#This Row],[Comments]])=0.1,"N/A",IF(stdProdLT(Main[[#This Row],[Comments]])=0,"",stdProdLT(Main[[#This Row],[Comments]])))</f>
        <v/>
      </c>
      <c r="H349" s="76" t="str">
        <f>IF(AND(Main[[#This Row],[In Stock Date]]&lt;&gt;"",Main[[#This Row],[Revised Due Date]]&lt;&gt;""),Main[[#This Row],[In Stock Date]]-Main[[#This Row],[Revised Due Date]],"")</f>
        <v/>
      </c>
      <c r="I349" s="72" t="s">
        <v>4</v>
      </c>
      <c r="J349" s="72" t="s">
        <v>4</v>
      </c>
      <c r="K349" s="72" t="s">
        <v>4</v>
      </c>
      <c r="L349" s="74"/>
      <c r="M349" s="77" t="str">
        <f>IF(Main[[#This Row],[Tech Start Date]]&lt;1/1/1990,"",IF(Main[[#This Row],[Class]]="C",WORKDAY(Main[[#This Row],[Tech Start Date]],9),IF(Main[[#This Row],[Class]]="B", WORKDAY(Main[[#This Row],[Tech Start Date]],6),IF(Main[[#This Row],[Class]]="A",WORKDAY(Main[[#This Row],[Tech Start Date]],2),""))))</f>
        <v/>
      </c>
      <c r="N349" s="77" t="str">
        <f>IF(Main[[#This Row],[Tech Start Date]]&lt;1/1/1990,"",IF(Main[[#This Row],[Class]]="C",WORKDAY(Main[[#This Row],[Tech Start Date]],19),IF(Main[[#This Row],[Class]]="B", WORKDAY(Main[[#This Row],[Tech Start Date]],12),IF(Main[[#This Row],[Class]]="A",WORKDAY(Main[[#This Row],[Tech Start Date]],4),""))))</f>
        <v/>
      </c>
      <c r="O349" s="77" t="str">
        <f>IF(Main[[#This Row],[Tech Start Date]]&lt;1/1/1990,"",IF(Main[[#This Row],[Class]]="C",WORKDAY(Main[[#This Row],[Tech Start Date]],23),IF(Main[[#This Row],[Class]]="B", WORKDAY(Main[[#This Row],[Tech Start Date]],15),IF(Main[[#This Row],[Class]]="A",WORKDAY(Main[[#This Row],[Tech Start Date]],5),""))))</f>
        <v/>
      </c>
      <c r="P349" s="77" t="str">
        <f>IF(Main[[#This Row],[Tech Start Date]]&lt;1/1/1990,"",IF(Main[[#This Row],[Class]]="C",WORKDAY(Main[[#This Row],[Tech Start Date]],28),IF(Main[[#This Row],[Class]]="B", WORKDAY(Main[[#This Row],[Tech Start Date]],19),IF(Main[[#This Row],[Class]]="A",WORKDAY(Main[[#This Row],[Tech Start Date]],9),""))))</f>
        <v/>
      </c>
      <c r="Q349" s="74">
        <v>40132</v>
      </c>
      <c r="R349" s="74"/>
      <c r="S349" s="72" t="s">
        <v>11</v>
      </c>
      <c r="T349" s="80" t="s">
        <v>4</v>
      </c>
      <c r="U349" s="72" t="s">
        <v>14</v>
      </c>
      <c r="V349" s="72" t="s">
        <v>1917</v>
      </c>
      <c r="W349" s="72" t="s">
        <v>1922</v>
      </c>
      <c r="X349" s="72" t="s">
        <v>2864</v>
      </c>
      <c r="Y349" s="72" t="s">
        <v>4</v>
      </c>
      <c r="Z349" s="72" t="s">
        <v>4</v>
      </c>
      <c r="AA349" s="146" t="s">
        <v>2864</v>
      </c>
    </row>
    <row r="350" spans="1:27" ht="18.600000000000001" customHeight="1">
      <c r="A350" s="139" t="str">
        <f>IF(priority(Main[[#This Row],[Comments]])&lt;&gt;0, priority(Main[[#This Row],[Comments]]),"")</f>
        <v/>
      </c>
      <c r="B350" s="89" t="s">
        <v>2362</v>
      </c>
      <c r="C350" s="72" t="s">
        <v>4</v>
      </c>
      <c r="D350" s="73" t="s">
        <v>2363</v>
      </c>
      <c r="E350" s="74">
        <v>40826.383356481485</v>
      </c>
      <c r="F350" s="74"/>
      <c r="G350" s="75" t="str">
        <f>IF(stdProdLT(Main[[#This Row],[Comments]])=0.1,"N/A",IF(stdProdLT(Main[[#This Row],[Comments]])=0,"",stdProdLT(Main[[#This Row],[Comments]])))</f>
        <v/>
      </c>
      <c r="H350" s="76" t="str">
        <f>IF(AND(Main[[#This Row],[In Stock Date]]&lt;&gt;"",Main[[#This Row],[Revised Due Date]]&lt;&gt;""),Main[[#This Row],[In Stock Date]]-Main[[#This Row],[Revised Due Date]],"")</f>
        <v/>
      </c>
      <c r="I350" s="72" t="s">
        <v>30</v>
      </c>
      <c r="J350" s="72" t="s">
        <v>2215</v>
      </c>
      <c r="K350" s="72" t="s">
        <v>4</v>
      </c>
      <c r="L350" s="74"/>
      <c r="M350" s="77" t="str">
        <f>IF(Main[[#This Row],[Tech Start Date]]&lt;1/1/1990,"",IF(Main[[#This Row],[Class]]="C",WORKDAY(Main[[#This Row],[Tech Start Date]],9),IF(Main[[#This Row],[Class]]="B", WORKDAY(Main[[#This Row],[Tech Start Date]],6),IF(Main[[#This Row],[Class]]="A",WORKDAY(Main[[#This Row],[Tech Start Date]],2),""))))</f>
        <v/>
      </c>
      <c r="N350" s="77" t="str">
        <f>IF(Main[[#This Row],[Tech Start Date]]&lt;1/1/1990,"",IF(Main[[#This Row],[Class]]="C",WORKDAY(Main[[#This Row],[Tech Start Date]],19),IF(Main[[#This Row],[Class]]="B", WORKDAY(Main[[#This Row],[Tech Start Date]],12),IF(Main[[#This Row],[Class]]="A",WORKDAY(Main[[#This Row],[Tech Start Date]],4),""))))</f>
        <v/>
      </c>
      <c r="O350" s="77" t="str">
        <f>IF(Main[[#This Row],[Tech Start Date]]&lt;1/1/1990,"",IF(Main[[#This Row],[Class]]="C",WORKDAY(Main[[#This Row],[Tech Start Date]],23),IF(Main[[#This Row],[Class]]="B", WORKDAY(Main[[#This Row],[Tech Start Date]],15),IF(Main[[#This Row],[Class]]="A",WORKDAY(Main[[#This Row],[Tech Start Date]],5),""))))</f>
        <v/>
      </c>
      <c r="P350" s="77" t="str">
        <f>IF(Main[[#This Row],[Tech Start Date]]&lt;1/1/1990,"",IF(Main[[#This Row],[Class]]="C",WORKDAY(Main[[#This Row],[Tech Start Date]],28),IF(Main[[#This Row],[Class]]="B", WORKDAY(Main[[#This Row],[Tech Start Date]],19),IF(Main[[#This Row],[Class]]="A",WORKDAY(Main[[#This Row],[Tech Start Date]],9),""))))</f>
        <v/>
      </c>
      <c r="Q350" s="74"/>
      <c r="R350" s="74"/>
      <c r="S350" s="72" t="s">
        <v>6</v>
      </c>
      <c r="T350" s="80" t="s">
        <v>4</v>
      </c>
      <c r="U350" s="72" t="s">
        <v>29</v>
      </c>
      <c r="V350" s="72" t="s">
        <v>1920</v>
      </c>
      <c r="W350" s="72" t="s">
        <v>1919</v>
      </c>
      <c r="X350" s="72" t="s">
        <v>306</v>
      </c>
      <c r="Y350" s="72" t="s">
        <v>4</v>
      </c>
      <c r="Z350" s="72" t="s">
        <v>81</v>
      </c>
      <c r="AA350" s="146" t="s">
        <v>3406</v>
      </c>
    </row>
    <row r="351" spans="1:27" ht="18.600000000000001" customHeight="1">
      <c r="A351" s="139" t="str">
        <f>IF(priority(Main[[#This Row],[Comments]])&lt;&gt;0, priority(Main[[#This Row],[Comments]]),"")</f>
        <v/>
      </c>
      <c r="B351" s="89" t="s">
        <v>1123</v>
      </c>
      <c r="C351" s="72" t="s">
        <v>172</v>
      </c>
      <c r="D351" s="73" t="s">
        <v>173</v>
      </c>
      <c r="E351" s="74"/>
      <c r="F351" s="74">
        <v>40848</v>
      </c>
      <c r="G351" s="75" t="str">
        <f>IF(stdProdLT(Main[[#This Row],[Comments]])=0.1,"N/A",IF(stdProdLT(Main[[#This Row],[Comments]])=0,"",stdProdLT(Main[[#This Row],[Comments]])))</f>
        <v/>
      </c>
      <c r="H351" s="76" t="str">
        <f>IF(AND(Main[[#This Row],[In Stock Date]]&lt;&gt;"",Main[[#This Row],[Revised Due Date]]&lt;&gt;""),Main[[#This Row],[In Stock Date]]-Main[[#This Row],[Revised Due Date]],"")</f>
        <v/>
      </c>
      <c r="I351" s="72" t="s">
        <v>4</v>
      </c>
      <c r="J351" s="72" t="s">
        <v>51</v>
      </c>
      <c r="K351" s="81" t="s">
        <v>4</v>
      </c>
      <c r="L351" s="74"/>
      <c r="M351" s="77" t="str">
        <f>IF(Main[[#This Row],[Tech Start Date]]&lt;1/1/1990,"",IF(Main[[#This Row],[Class]]="C",WORKDAY(Main[[#This Row],[Tech Start Date]],9),IF(Main[[#This Row],[Class]]="B", WORKDAY(Main[[#This Row],[Tech Start Date]],6),IF(Main[[#This Row],[Class]]="A",WORKDAY(Main[[#This Row],[Tech Start Date]],2),""))))</f>
        <v/>
      </c>
      <c r="N351" s="77" t="str">
        <f>IF(Main[[#This Row],[Tech Start Date]]&lt;1/1/1990,"",IF(Main[[#This Row],[Class]]="C",WORKDAY(Main[[#This Row],[Tech Start Date]],19),IF(Main[[#This Row],[Class]]="B", WORKDAY(Main[[#This Row],[Tech Start Date]],12),IF(Main[[#This Row],[Class]]="A",WORKDAY(Main[[#This Row],[Tech Start Date]],4),""))))</f>
        <v/>
      </c>
      <c r="O351" s="77" t="str">
        <f>IF(Main[[#This Row],[Tech Start Date]]&lt;1/1/1990,"",IF(Main[[#This Row],[Class]]="C",WORKDAY(Main[[#This Row],[Tech Start Date]],23),IF(Main[[#This Row],[Class]]="B", WORKDAY(Main[[#This Row],[Tech Start Date]],15),IF(Main[[#This Row],[Class]]="A",WORKDAY(Main[[#This Row],[Tech Start Date]],5),""))))</f>
        <v/>
      </c>
      <c r="P351" s="77" t="str">
        <f>IF(Main[[#This Row],[Tech Start Date]]&lt;1/1/1990,"",IF(Main[[#This Row],[Class]]="C",WORKDAY(Main[[#This Row],[Tech Start Date]],28),IF(Main[[#This Row],[Class]]="B", WORKDAY(Main[[#This Row],[Tech Start Date]],19),IF(Main[[#This Row],[Class]]="A",WORKDAY(Main[[#This Row],[Tech Start Date]],9),""))))</f>
        <v/>
      </c>
      <c r="Q351" s="74">
        <v>40648</v>
      </c>
      <c r="R351" s="74"/>
      <c r="S351" s="72" t="s">
        <v>11</v>
      </c>
      <c r="T351" s="80" t="s">
        <v>4</v>
      </c>
      <c r="U351" s="72" t="s">
        <v>12</v>
      </c>
      <c r="V351" s="72" t="s">
        <v>1917</v>
      </c>
      <c r="W351" s="72" t="s">
        <v>1923</v>
      </c>
      <c r="X351" s="72" t="s">
        <v>50</v>
      </c>
      <c r="Y351" s="72" t="s">
        <v>2949</v>
      </c>
      <c r="Z351" s="72" t="s">
        <v>3166</v>
      </c>
      <c r="AA351" s="146" t="s">
        <v>2830</v>
      </c>
    </row>
    <row r="352" spans="1:27" ht="18.600000000000001" customHeight="1">
      <c r="A352" s="139" t="str">
        <f>IF(priority(Main[[#This Row],[Comments]])&lt;&gt;0, priority(Main[[#This Row],[Comments]]),"")</f>
        <v/>
      </c>
      <c r="B352" s="89" t="s">
        <v>2542</v>
      </c>
      <c r="C352" s="72" t="s">
        <v>2357</v>
      </c>
      <c r="D352" s="73" t="s">
        <v>2543</v>
      </c>
      <c r="E352" s="74"/>
      <c r="F352" s="74">
        <v>41030</v>
      </c>
      <c r="G352" s="75" t="str">
        <f>IF(stdProdLT(Main[[#This Row],[Comments]])=0.1,"N/A",IF(stdProdLT(Main[[#This Row],[Comments]])=0,"",stdProdLT(Main[[#This Row],[Comments]])))</f>
        <v/>
      </c>
      <c r="H352" s="76" t="str">
        <f>IF(AND(Main[[#This Row],[In Stock Date]]&lt;&gt;"",Main[[#This Row],[Revised Due Date]]&lt;&gt;""),Main[[#This Row],[In Stock Date]]-Main[[#This Row],[Revised Due Date]],"")</f>
        <v/>
      </c>
      <c r="I352" s="72" t="s">
        <v>4</v>
      </c>
      <c r="J352" s="72" t="s">
        <v>75</v>
      </c>
      <c r="K352" s="72" t="s">
        <v>4</v>
      </c>
      <c r="L352" s="74"/>
      <c r="M352" s="77" t="str">
        <f>IF(Main[[#This Row],[Tech Start Date]]&lt;1/1/1990,"",IF(Main[[#This Row],[Class]]="C",WORKDAY(Main[[#This Row],[Tech Start Date]],9),IF(Main[[#This Row],[Class]]="B", WORKDAY(Main[[#This Row],[Tech Start Date]],6),IF(Main[[#This Row],[Class]]="A",WORKDAY(Main[[#This Row],[Tech Start Date]],2),""))))</f>
        <v/>
      </c>
      <c r="N352" s="77" t="str">
        <f>IF(Main[[#This Row],[Tech Start Date]]&lt;1/1/1990,"",IF(Main[[#This Row],[Class]]="C",WORKDAY(Main[[#This Row],[Tech Start Date]],19),IF(Main[[#This Row],[Class]]="B", WORKDAY(Main[[#This Row],[Tech Start Date]],12),IF(Main[[#This Row],[Class]]="A",WORKDAY(Main[[#This Row],[Tech Start Date]],4),""))))</f>
        <v/>
      </c>
      <c r="O352" s="77" t="str">
        <f>IF(Main[[#This Row],[Tech Start Date]]&lt;1/1/1990,"",IF(Main[[#This Row],[Class]]="C",WORKDAY(Main[[#This Row],[Tech Start Date]],23),IF(Main[[#This Row],[Class]]="B", WORKDAY(Main[[#This Row],[Tech Start Date]],15),IF(Main[[#This Row],[Class]]="A",WORKDAY(Main[[#This Row],[Tech Start Date]],5),""))))</f>
        <v/>
      </c>
      <c r="P352" s="77" t="str">
        <f>IF(Main[[#This Row],[Tech Start Date]]&lt;1/1/1990,"",IF(Main[[#This Row],[Class]]="C",WORKDAY(Main[[#This Row],[Tech Start Date]],28),IF(Main[[#This Row],[Class]]="B", WORKDAY(Main[[#This Row],[Tech Start Date]],19),IF(Main[[#This Row],[Class]]="A",WORKDAY(Main[[#This Row],[Tech Start Date]],9),""))))</f>
        <v/>
      </c>
      <c r="Q352" s="74">
        <v>40923</v>
      </c>
      <c r="R352" s="74"/>
      <c r="S352" s="72" t="s">
        <v>11</v>
      </c>
      <c r="T352" s="80" t="s">
        <v>4</v>
      </c>
      <c r="U352" s="72" t="s">
        <v>14</v>
      </c>
      <c r="V352" s="72" t="s">
        <v>1927</v>
      </c>
      <c r="W352" s="72" t="s">
        <v>1923</v>
      </c>
      <c r="X352" s="72" t="s">
        <v>2854</v>
      </c>
      <c r="Y352" s="72" t="s">
        <v>2985</v>
      </c>
      <c r="Z352" s="72" t="s">
        <v>530</v>
      </c>
      <c r="AA352" s="146" t="s">
        <v>2854</v>
      </c>
    </row>
    <row r="353" spans="1:27" ht="18.600000000000001" customHeight="1">
      <c r="A353" s="139" t="str">
        <f>IF(priority(Main[[#This Row],[Comments]])&lt;&gt;0, priority(Main[[#This Row],[Comments]]),"")</f>
        <v/>
      </c>
      <c r="B353" s="89" t="s">
        <v>1124</v>
      </c>
      <c r="C353" s="72" t="s">
        <v>4</v>
      </c>
      <c r="D353" s="73" t="s">
        <v>174</v>
      </c>
      <c r="E353" s="74">
        <v>40681.639328703706</v>
      </c>
      <c r="F353" s="74"/>
      <c r="G353" s="75" t="str">
        <f>IF(stdProdLT(Main[[#This Row],[Comments]])=0.1,"N/A",IF(stdProdLT(Main[[#This Row],[Comments]])=0,"",stdProdLT(Main[[#This Row],[Comments]])))</f>
        <v/>
      </c>
      <c r="H353" s="76" t="str">
        <f>IF(AND(Main[[#This Row],[In Stock Date]]&lt;&gt;"",Main[[#This Row],[Revised Due Date]]&lt;&gt;""),Main[[#This Row],[In Stock Date]]-Main[[#This Row],[Revised Due Date]],"")</f>
        <v/>
      </c>
      <c r="I353" s="72" t="s">
        <v>4</v>
      </c>
      <c r="J353" s="72" t="s">
        <v>4</v>
      </c>
      <c r="K353" s="72" t="s">
        <v>4</v>
      </c>
      <c r="L353" s="74"/>
      <c r="M353" s="77" t="str">
        <f>IF(Main[[#This Row],[Tech Start Date]]&lt;1/1/1990,"",IF(Main[[#This Row],[Class]]="C",WORKDAY(Main[[#This Row],[Tech Start Date]],9),IF(Main[[#This Row],[Class]]="B", WORKDAY(Main[[#This Row],[Tech Start Date]],6),IF(Main[[#This Row],[Class]]="A",WORKDAY(Main[[#This Row],[Tech Start Date]],2),""))))</f>
        <v/>
      </c>
      <c r="N353" s="77" t="str">
        <f>IF(Main[[#This Row],[Tech Start Date]]&lt;1/1/1990,"",IF(Main[[#This Row],[Class]]="C",WORKDAY(Main[[#This Row],[Tech Start Date]],19),IF(Main[[#This Row],[Class]]="B", WORKDAY(Main[[#This Row],[Tech Start Date]],12),IF(Main[[#This Row],[Class]]="A",WORKDAY(Main[[#This Row],[Tech Start Date]],4),""))))</f>
        <v/>
      </c>
      <c r="O353" s="77" t="str">
        <f>IF(Main[[#This Row],[Tech Start Date]]&lt;1/1/1990,"",IF(Main[[#This Row],[Class]]="C",WORKDAY(Main[[#This Row],[Tech Start Date]],23),IF(Main[[#This Row],[Class]]="B", WORKDAY(Main[[#This Row],[Tech Start Date]],15),IF(Main[[#This Row],[Class]]="A",WORKDAY(Main[[#This Row],[Tech Start Date]],5),""))))</f>
        <v/>
      </c>
      <c r="P353" s="77" t="str">
        <f>IF(Main[[#This Row],[Tech Start Date]]&lt;1/1/1990,"",IF(Main[[#This Row],[Class]]="C",WORKDAY(Main[[#This Row],[Tech Start Date]],28),IF(Main[[#This Row],[Class]]="B", WORKDAY(Main[[#This Row],[Tech Start Date]],19),IF(Main[[#This Row],[Class]]="A",WORKDAY(Main[[#This Row],[Tech Start Date]],9),""))))</f>
        <v/>
      </c>
      <c r="Q353" s="74">
        <v>40702</v>
      </c>
      <c r="R353" s="74"/>
      <c r="S353" s="72" t="s">
        <v>6</v>
      </c>
      <c r="T353" s="80" t="s">
        <v>4</v>
      </c>
      <c r="U353" s="72" t="s">
        <v>7</v>
      </c>
      <c r="V353" s="72" t="s">
        <v>1917</v>
      </c>
      <c r="W353" s="72" t="s">
        <v>1925</v>
      </c>
      <c r="X353" s="72" t="s">
        <v>2827</v>
      </c>
      <c r="Y353" s="72" t="s">
        <v>2942</v>
      </c>
      <c r="Z353" s="72" t="s">
        <v>4</v>
      </c>
      <c r="AA353" s="146" t="s">
        <v>2827</v>
      </c>
    </row>
    <row r="354" spans="1:27" ht="18.600000000000001" customHeight="1">
      <c r="A354" s="139" t="str">
        <f>IF(priority(Main[[#This Row],[Comments]])&lt;&gt;0, priority(Main[[#This Row],[Comments]]),"")</f>
        <v/>
      </c>
      <c r="B354" s="89" t="s">
        <v>1185</v>
      </c>
      <c r="C354" s="72" t="s">
        <v>243</v>
      </c>
      <c r="D354" s="73" t="s">
        <v>244</v>
      </c>
      <c r="E354" s="74"/>
      <c r="F354" s="74">
        <v>40299</v>
      </c>
      <c r="G354" s="75" t="str">
        <f>IF(stdProdLT(Main[[#This Row],[Comments]])=0.1,"N/A",IF(stdProdLT(Main[[#This Row],[Comments]])=0,"",stdProdLT(Main[[#This Row],[Comments]])))</f>
        <v/>
      </c>
      <c r="H354" s="76" t="str">
        <f>IF(AND(Main[[#This Row],[In Stock Date]]&lt;&gt;"",Main[[#This Row],[Revised Due Date]]&lt;&gt;""),Main[[#This Row],[In Stock Date]]-Main[[#This Row],[Revised Due Date]],"")</f>
        <v/>
      </c>
      <c r="I354" s="72" t="s">
        <v>4</v>
      </c>
      <c r="J354" s="72" t="s">
        <v>4</v>
      </c>
      <c r="K354" s="72" t="s">
        <v>4</v>
      </c>
      <c r="L354" s="74"/>
      <c r="M354" s="77" t="str">
        <f>IF(Main[[#This Row],[Tech Start Date]]&lt;1/1/1990,"",IF(Main[[#This Row],[Class]]="C",WORKDAY(Main[[#This Row],[Tech Start Date]],9),IF(Main[[#This Row],[Class]]="B", WORKDAY(Main[[#This Row],[Tech Start Date]],6),IF(Main[[#This Row],[Class]]="A",WORKDAY(Main[[#This Row],[Tech Start Date]],2),""))))</f>
        <v/>
      </c>
      <c r="N354" s="77" t="str">
        <f>IF(Main[[#This Row],[Tech Start Date]]&lt;1/1/1990,"",IF(Main[[#This Row],[Class]]="C",WORKDAY(Main[[#This Row],[Tech Start Date]],19),IF(Main[[#This Row],[Class]]="B", WORKDAY(Main[[#This Row],[Tech Start Date]],12),IF(Main[[#This Row],[Class]]="A",WORKDAY(Main[[#This Row],[Tech Start Date]],4),""))))</f>
        <v/>
      </c>
      <c r="O354" s="77" t="str">
        <f>IF(Main[[#This Row],[Tech Start Date]]&lt;1/1/1990,"",IF(Main[[#This Row],[Class]]="C",WORKDAY(Main[[#This Row],[Tech Start Date]],23),IF(Main[[#This Row],[Class]]="B", WORKDAY(Main[[#This Row],[Tech Start Date]],15),IF(Main[[#This Row],[Class]]="A",WORKDAY(Main[[#This Row],[Tech Start Date]],5),""))))</f>
        <v/>
      </c>
      <c r="P354" s="77" t="str">
        <f>IF(Main[[#This Row],[Tech Start Date]]&lt;1/1/1990,"",IF(Main[[#This Row],[Class]]="C",WORKDAY(Main[[#This Row],[Tech Start Date]],28),IF(Main[[#This Row],[Class]]="B", WORKDAY(Main[[#This Row],[Tech Start Date]],19),IF(Main[[#This Row],[Class]]="A",WORKDAY(Main[[#This Row],[Tech Start Date]],9),""))))</f>
        <v/>
      </c>
      <c r="Q354" s="74">
        <v>40241</v>
      </c>
      <c r="R354" s="74"/>
      <c r="S354" s="72" t="s">
        <v>11</v>
      </c>
      <c r="T354" s="80" t="s">
        <v>4</v>
      </c>
      <c r="U354" s="72" t="s">
        <v>14</v>
      </c>
      <c r="V354" s="72" t="s">
        <v>1927</v>
      </c>
      <c r="W354" s="72" t="s">
        <v>1925</v>
      </c>
      <c r="X354" s="72" t="s">
        <v>2874</v>
      </c>
      <c r="Y354" s="72" t="s">
        <v>3018</v>
      </c>
      <c r="Z354" s="72" t="s">
        <v>4</v>
      </c>
      <c r="AA354" s="146" t="s">
        <v>2874</v>
      </c>
    </row>
    <row r="355" spans="1:27" ht="18.600000000000001" customHeight="1">
      <c r="A355" s="139" t="str">
        <f>IF(priority(Main[[#This Row],[Comments]])&lt;&gt;0, priority(Main[[#This Row],[Comments]]),"")</f>
        <v/>
      </c>
      <c r="B355" s="89" t="s">
        <v>3563</v>
      </c>
      <c r="C355" s="72" t="s">
        <v>2207</v>
      </c>
      <c r="D355" s="73" t="s">
        <v>3564</v>
      </c>
      <c r="E355" s="74"/>
      <c r="F355" s="74"/>
      <c r="G355" s="75" t="str">
        <f>IF(stdProdLT(Main[[#This Row],[Comments]])=0.1,"N/A",IF(stdProdLT(Main[[#This Row],[Comments]])=0,"",stdProdLT(Main[[#This Row],[Comments]])))</f>
        <v/>
      </c>
      <c r="H355" s="76" t="str">
        <f>IF(AND(Main[[#This Row],[In Stock Date]]&lt;&gt;"",Main[[#This Row],[Revised Due Date]]&lt;&gt;""),Main[[#This Row],[In Stock Date]]-Main[[#This Row],[Revised Due Date]],"")</f>
        <v/>
      </c>
      <c r="I355" s="72" t="s">
        <v>4</v>
      </c>
      <c r="J355" s="72" t="s">
        <v>4</v>
      </c>
      <c r="K355" s="72" t="s">
        <v>4</v>
      </c>
      <c r="L355" s="74"/>
      <c r="M355" s="77" t="str">
        <f>IF(Main[[#This Row],[Tech Start Date]]&lt;1/1/1990,"",IF(Main[[#This Row],[Class]]="C",WORKDAY(Main[[#This Row],[Tech Start Date]],9),IF(Main[[#This Row],[Class]]="B", WORKDAY(Main[[#This Row],[Tech Start Date]],6),IF(Main[[#This Row],[Class]]="A",WORKDAY(Main[[#This Row],[Tech Start Date]],2),""))))</f>
        <v/>
      </c>
      <c r="N355" s="77" t="str">
        <f>IF(Main[[#This Row],[Tech Start Date]]&lt;1/1/1990,"",IF(Main[[#This Row],[Class]]="C",WORKDAY(Main[[#This Row],[Tech Start Date]],19),IF(Main[[#This Row],[Class]]="B", WORKDAY(Main[[#This Row],[Tech Start Date]],12),IF(Main[[#This Row],[Class]]="A",WORKDAY(Main[[#This Row],[Tech Start Date]],4),""))))</f>
        <v/>
      </c>
      <c r="O355" s="77" t="str">
        <f>IF(Main[[#This Row],[Tech Start Date]]&lt;1/1/1990,"",IF(Main[[#This Row],[Class]]="C",WORKDAY(Main[[#This Row],[Tech Start Date]],23),IF(Main[[#This Row],[Class]]="B", WORKDAY(Main[[#This Row],[Tech Start Date]],15),IF(Main[[#This Row],[Class]]="A",WORKDAY(Main[[#This Row],[Tech Start Date]],5),""))))</f>
        <v/>
      </c>
      <c r="P355" s="77" t="str">
        <f>IF(Main[[#This Row],[Tech Start Date]]&lt;1/1/1990,"",IF(Main[[#This Row],[Class]]="C",WORKDAY(Main[[#This Row],[Tech Start Date]],28),IF(Main[[#This Row],[Class]]="B", WORKDAY(Main[[#This Row],[Tech Start Date]],19),IF(Main[[#This Row],[Class]]="A",WORKDAY(Main[[#This Row],[Tech Start Date]],9),""))))</f>
        <v/>
      </c>
      <c r="Q355" s="74">
        <v>40984</v>
      </c>
      <c r="R355" s="74"/>
      <c r="S355" s="72" t="s">
        <v>11</v>
      </c>
      <c r="T355" s="80" t="s">
        <v>4</v>
      </c>
      <c r="U355" s="72" t="s">
        <v>14</v>
      </c>
      <c r="V355" s="72" t="s">
        <v>1917</v>
      </c>
      <c r="W355" s="72" t="s">
        <v>1925</v>
      </c>
      <c r="X355" s="72" t="s">
        <v>2917</v>
      </c>
      <c r="Y355" s="72" t="s">
        <v>4</v>
      </c>
      <c r="Z355" s="72" t="s">
        <v>4</v>
      </c>
      <c r="AA355" s="146" t="s">
        <v>3473</v>
      </c>
    </row>
    <row r="356" spans="1:27" ht="18.600000000000001" customHeight="1">
      <c r="A356" s="139" t="str">
        <f>IF(priority(Main[[#This Row],[Comments]])&lt;&gt;0, priority(Main[[#This Row],[Comments]]),"")</f>
        <v/>
      </c>
      <c r="B356" s="89" t="s">
        <v>1186</v>
      </c>
      <c r="C356" s="72" t="s">
        <v>4</v>
      </c>
      <c r="D356" s="73" t="s">
        <v>39</v>
      </c>
      <c r="E356" s="74"/>
      <c r="F356" s="74"/>
      <c r="G356" s="75" t="str">
        <f>IF(stdProdLT(Main[[#This Row],[Comments]])=0.1,"N/A",IF(stdProdLT(Main[[#This Row],[Comments]])=0,"",stdProdLT(Main[[#This Row],[Comments]])))</f>
        <v/>
      </c>
      <c r="H356" s="76" t="str">
        <f>IF(AND(Main[[#This Row],[In Stock Date]]&lt;&gt;"",Main[[#This Row],[Revised Due Date]]&lt;&gt;""),Main[[#This Row],[In Stock Date]]-Main[[#This Row],[Revised Due Date]],"")</f>
        <v/>
      </c>
      <c r="I356" s="72" t="s">
        <v>4</v>
      </c>
      <c r="J356" s="72" t="s">
        <v>4</v>
      </c>
      <c r="K356" s="72" t="s">
        <v>4</v>
      </c>
      <c r="L356" s="74"/>
      <c r="M356" s="77" t="str">
        <f>IF(Main[[#This Row],[Tech Start Date]]&lt;1/1/1990,"",IF(Main[[#This Row],[Class]]="C",WORKDAY(Main[[#This Row],[Tech Start Date]],9),IF(Main[[#This Row],[Class]]="B", WORKDAY(Main[[#This Row],[Tech Start Date]],6),IF(Main[[#This Row],[Class]]="A",WORKDAY(Main[[#This Row],[Tech Start Date]],2),""))))</f>
        <v/>
      </c>
      <c r="N356" s="77" t="str">
        <f>IF(Main[[#This Row],[Tech Start Date]]&lt;1/1/1990,"",IF(Main[[#This Row],[Class]]="C",WORKDAY(Main[[#This Row],[Tech Start Date]],19),IF(Main[[#This Row],[Class]]="B", WORKDAY(Main[[#This Row],[Tech Start Date]],12),IF(Main[[#This Row],[Class]]="A",WORKDAY(Main[[#This Row],[Tech Start Date]],4),""))))</f>
        <v/>
      </c>
      <c r="O356" s="77" t="str">
        <f>IF(Main[[#This Row],[Tech Start Date]]&lt;1/1/1990,"",IF(Main[[#This Row],[Class]]="C",WORKDAY(Main[[#This Row],[Tech Start Date]],23),IF(Main[[#This Row],[Class]]="B", WORKDAY(Main[[#This Row],[Tech Start Date]],15),IF(Main[[#This Row],[Class]]="A",WORKDAY(Main[[#This Row],[Tech Start Date]],5),""))))</f>
        <v/>
      </c>
      <c r="P356" s="77" t="str">
        <f>IF(Main[[#This Row],[Tech Start Date]]&lt;1/1/1990,"",IF(Main[[#This Row],[Class]]="C",WORKDAY(Main[[#This Row],[Tech Start Date]],28),IF(Main[[#This Row],[Class]]="B", WORKDAY(Main[[#This Row],[Tech Start Date]],19),IF(Main[[#This Row],[Class]]="A",WORKDAY(Main[[#This Row],[Tech Start Date]],9),""))))</f>
        <v/>
      </c>
      <c r="Q356" s="74">
        <v>40669</v>
      </c>
      <c r="R356" s="74"/>
      <c r="S356" s="72" t="s">
        <v>6</v>
      </c>
      <c r="T356" s="80" t="s">
        <v>4</v>
      </c>
      <c r="U356" s="72" t="s">
        <v>14</v>
      </c>
      <c r="V356" s="72" t="s">
        <v>1920</v>
      </c>
      <c r="W356" s="72" t="s">
        <v>4</v>
      </c>
      <c r="X356" s="72" t="s">
        <v>2824</v>
      </c>
      <c r="Y356" s="72" t="s">
        <v>2935</v>
      </c>
      <c r="Z356" s="72" t="s">
        <v>4</v>
      </c>
      <c r="AA356" s="146" t="s">
        <v>2824</v>
      </c>
    </row>
    <row r="357" spans="1:27" ht="18.600000000000001" customHeight="1">
      <c r="A357" s="139" t="str">
        <f>IF(priority(Main[[#This Row],[Comments]])&lt;&gt;0, priority(Main[[#This Row],[Comments]]),"")</f>
        <v/>
      </c>
      <c r="B357" s="89" t="s">
        <v>2074</v>
      </c>
      <c r="C357" s="72" t="s">
        <v>4</v>
      </c>
      <c r="D357" s="73" t="s">
        <v>2075</v>
      </c>
      <c r="E357" s="74">
        <v>40774.330196759256</v>
      </c>
      <c r="F357" s="74"/>
      <c r="G357" s="75" t="str">
        <f>IF(stdProdLT(Main[[#This Row],[Comments]])=0.1,"N/A",IF(stdProdLT(Main[[#This Row],[Comments]])=0,"",stdProdLT(Main[[#This Row],[Comments]])))</f>
        <v/>
      </c>
      <c r="H357" s="76" t="str">
        <f>IF(AND(Main[[#This Row],[In Stock Date]]&lt;&gt;"",Main[[#This Row],[Revised Due Date]]&lt;&gt;""),Main[[#This Row],[In Stock Date]]-Main[[#This Row],[Revised Due Date]],"")</f>
        <v/>
      </c>
      <c r="I357" s="72" t="s">
        <v>4</v>
      </c>
      <c r="J357" s="72" t="s">
        <v>4</v>
      </c>
      <c r="K357" s="81" t="s">
        <v>4</v>
      </c>
      <c r="L357" s="74"/>
      <c r="M357" s="77" t="str">
        <f>IF(Main[[#This Row],[Tech Start Date]]&lt;1/1/1990,"",IF(Main[[#This Row],[Class]]="C",WORKDAY(Main[[#This Row],[Tech Start Date]],9),IF(Main[[#This Row],[Class]]="B", WORKDAY(Main[[#This Row],[Tech Start Date]],6),IF(Main[[#This Row],[Class]]="A",WORKDAY(Main[[#This Row],[Tech Start Date]],2),""))))</f>
        <v/>
      </c>
      <c r="N357" s="77" t="str">
        <f>IF(Main[[#This Row],[Tech Start Date]]&lt;1/1/1990,"",IF(Main[[#This Row],[Class]]="C",WORKDAY(Main[[#This Row],[Tech Start Date]],19),IF(Main[[#This Row],[Class]]="B", WORKDAY(Main[[#This Row],[Tech Start Date]],12),IF(Main[[#This Row],[Class]]="A",WORKDAY(Main[[#This Row],[Tech Start Date]],4),""))))</f>
        <v/>
      </c>
      <c r="O357" s="77" t="str">
        <f>IF(Main[[#This Row],[Tech Start Date]]&lt;1/1/1990,"",IF(Main[[#This Row],[Class]]="C",WORKDAY(Main[[#This Row],[Tech Start Date]],23),IF(Main[[#This Row],[Class]]="B", WORKDAY(Main[[#This Row],[Tech Start Date]],15),IF(Main[[#This Row],[Class]]="A",WORKDAY(Main[[#This Row],[Tech Start Date]],5),""))))</f>
        <v/>
      </c>
      <c r="P357" s="77" t="str">
        <f>IF(Main[[#This Row],[Tech Start Date]]&lt;1/1/1990,"",IF(Main[[#This Row],[Class]]="C",WORKDAY(Main[[#This Row],[Tech Start Date]],28),IF(Main[[#This Row],[Class]]="B", WORKDAY(Main[[#This Row],[Tech Start Date]],19),IF(Main[[#This Row],[Class]]="A",WORKDAY(Main[[#This Row],[Tech Start Date]],9),""))))</f>
        <v/>
      </c>
      <c r="Q357" s="74">
        <v>40788</v>
      </c>
      <c r="R357" s="74"/>
      <c r="S357" s="72" t="s">
        <v>6</v>
      </c>
      <c r="T357" s="80" t="s">
        <v>4</v>
      </c>
      <c r="U357" s="72" t="s">
        <v>7</v>
      </c>
      <c r="V357" s="72" t="s">
        <v>1917</v>
      </c>
      <c r="W357" s="72" t="s">
        <v>4</v>
      </c>
      <c r="X357" s="72" t="s">
        <v>2857</v>
      </c>
      <c r="Y357" s="72" t="s">
        <v>2992</v>
      </c>
      <c r="Z357" s="72" t="s">
        <v>4</v>
      </c>
      <c r="AA357" s="146" t="s">
        <v>2857</v>
      </c>
    </row>
    <row r="358" spans="1:27" ht="18.600000000000001" customHeight="1">
      <c r="A358" s="139" t="str">
        <f>IF(priority(Main[[#This Row],[Comments]])&lt;&gt;0, priority(Main[[#This Row],[Comments]]),"")</f>
        <v/>
      </c>
      <c r="B358" s="89" t="s">
        <v>1187</v>
      </c>
      <c r="C358" s="72" t="s">
        <v>245</v>
      </c>
      <c r="D358" s="73" t="s">
        <v>246</v>
      </c>
      <c r="E358" s="74"/>
      <c r="F358" s="74"/>
      <c r="G358" s="75" t="str">
        <f>IF(stdProdLT(Main[[#This Row],[Comments]])=0.1,"N/A",IF(stdProdLT(Main[[#This Row],[Comments]])=0,"",stdProdLT(Main[[#This Row],[Comments]])))</f>
        <v/>
      </c>
      <c r="H358" s="76" t="str">
        <f>IF(AND(Main[[#This Row],[In Stock Date]]&lt;&gt;"",Main[[#This Row],[Revised Due Date]]&lt;&gt;""),Main[[#This Row],[In Stock Date]]-Main[[#This Row],[Revised Due Date]],"")</f>
        <v/>
      </c>
      <c r="I358" s="72" t="s">
        <v>4</v>
      </c>
      <c r="J358" s="72" t="s">
        <v>4</v>
      </c>
      <c r="K358" s="72" t="s">
        <v>4</v>
      </c>
      <c r="L358" s="74"/>
      <c r="M358" s="77" t="str">
        <f>IF(Main[[#This Row],[Tech Start Date]]&lt;1/1/1990,"",IF(Main[[#This Row],[Class]]="C",WORKDAY(Main[[#This Row],[Tech Start Date]],9),IF(Main[[#This Row],[Class]]="B", WORKDAY(Main[[#This Row],[Tech Start Date]],6),IF(Main[[#This Row],[Class]]="A",WORKDAY(Main[[#This Row],[Tech Start Date]],2),""))))</f>
        <v/>
      </c>
      <c r="N358" s="77" t="str">
        <f>IF(Main[[#This Row],[Tech Start Date]]&lt;1/1/1990,"",IF(Main[[#This Row],[Class]]="C",WORKDAY(Main[[#This Row],[Tech Start Date]],19),IF(Main[[#This Row],[Class]]="B", WORKDAY(Main[[#This Row],[Tech Start Date]],12),IF(Main[[#This Row],[Class]]="A",WORKDAY(Main[[#This Row],[Tech Start Date]],4),""))))</f>
        <v/>
      </c>
      <c r="O358" s="77" t="str">
        <f>IF(Main[[#This Row],[Tech Start Date]]&lt;1/1/1990,"",IF(Main[[#This Row],[Class]]="C",WORKDAY(Main[[#This Row],[Tech Start Date]],23),IF(Main[[#This Row],[Class]]="B", WORKDAY(Main[[#This Row],[Tech Start Date]],15),IF(Main[[#This Row],[Class]]="A",WORKDAY(Main[[#This Row],[Tech Start Date]],5),""))))</f>
        <v/>
      </c>
      <c r="P358" s="77" t="str">
        <f>IF(Main[[#This Row],[Tech Start Date]]&lt;1/1/1990,"",IF(Main[[#This Row],[Class]]="C",WORKDAY(Main[[#This Row],[Tech Start Date]],28),IF(Main[[#This Row],[Class]]="B", WORKDAY(Main[[#This Row],[Tech Start Date]],19),IF(Main[[#This Row],[Class]]="A",WORKDAY(Main[[#This Row],[Tech Start Date]],9),""))))</f>
        <v/>
      </c>
      <c r="Q358" s="74">
        <v>40325</v>
      </c>
      <c r="R358" s="74"/>
      <c r="S358" s="72" t="s">
        <v>11</v>
      </c>
      <c r="T358" s="80" t="s">
        <v>4</v>
      </c>
      <c r="U358" s="72" t="s">
        <v>12</v>
      </c>
      <c r="V358" s="72" t="s">
        <v>1918</v>
      </c>
      <c r="W358" s="72" t="s">
        <v>1923</v>
      </c>
      <c r="X358" s="72" t="s">
        <v>50</v>
      </c>
      <c r="Y358" s="72" t="s">
        <v>3019</v>
      </c>
      <c r="Z358" s="72" t="s">
        <v>4</v>
      </c>
      <c r="AA358" s="146" t="s">
        <v>3411</v>
      </c>
    </row>
    <row r="359" spans="1:27" ht="18.600000000000001" customHeight="1">
      <c r="A359" s="139" t="str">
        <f>IF(priority(Main[[#This Row],[Comments]])&lt;&gt;0, priority(Main[[#This Row],[Comments]]),"")</f>
        <v/>
      </c>
      <c r="B359" s="89" t="s">
        <v>3525</v>
      </c>
      <c r="C359" s="72" t="s">
        <v>3271</v>
      </c>
      <c r="D359" s="73" t="s">
        <v>3526</v>
      </c>
      <c r="E359" s="74"/>
      <c r="F359" s="74">
        <v>41068</v>
      </c>
      <c r="G359" s="75" t="str">
        <f>IF(stdProdLT(Main[[#This Row],[Comments]])=0.1,"N/A",IF(stdProdLT(Main[[#This Row],[Comments]])=0,"",stdProdLT(Main[[#This Row],[Comments]])))</f>
        <v/>
      </c>
      <c r="H359" s="76" t="str">
        <f>IF(AND(Main[[#This Row],[In Stock Date]]&lt;&gt;"",Main[[#This Row],[Revised Due Date]]&lt;&gt;""),Main[[#This Row],[In Stock Date]]-Main[[#This Row],[Revised Due Date]],"")</f>
        <v/>
      </c>
      <c r="I359" s="72" t="s">
        <v>4</v>
      </c>
      <c r="J359" s="72" t="s">
        <v>4</v>
      </c>
      <c r="K359" s="72" t="s">
        <v>4</v>
      </c>
      <c r="L359" s="74"/>
      <c r="M359" s="77" t="str">
        <f>IF(Main[[#This Row],[Tech Start Date]]&lt;1/1/1990,"",IF(Main[[#This Row],[Class]]="C",WORKDAY(Main[[#This Row],[Tech Start Date]],9),IF(Main[[#This Row],[Class]]="B", WORKDAY(Main[[#This Row],[Tech Start Date]],6),IF(Main[[#This Row],[Class]]="A",WORKDAY(Main[[#This Row],[Tech Start Date]],2),""))))</f>
        <v/>
      </c>
      <c r="N359" s="77" t="str">
        <f>IF(Main[[#This Row],[Tech Start Date]]&lt;1/1/1990,"",IF(Main[[#This Row],[Class]]="C",WORKDAY(Main[[#This Row],[Tech Start Date]],19),IF(Main[[#This Row],[Class]]="B", WORKDAY(Main[[#This Row],[Tech Start Date]],12),IF(Main[[#This Row],[Class]]="A",WORKDAY(Main[[#This Row],[Tech Start Date]],4),""))))</f>
        <v/>
      </c>
      <c r="O359" s="77" t="str">
        <f>IF(Main[[#This Row],[Tech Start Date]]&lt;1/1/1990,"",IF(Main[[#This Row],[Class]]="C",WORKDAY(Main[[#This Row],[Tech Start Date]],23),IF(Main[[#This Row],[Class]]="B", WORKDAY(Main[[#This Row],[Tech Start Date]],15),IF(Main[[#This Row],[Class]]="A",WORKDAY(Main[[#This Row],[Tech Start Date]],5),""))))</f>
        <v/>
      </c>
      <c r="P359" s="77" t="str">
        <f>IF(Main[[#This Row],[Tech Start Date]]&lt;1/1/1990,"",IF(Main[[#This Row],[Class]]="C",WORKDAY(Main[[#This Row],[Tech Start Date]],28),IF(Main[[#This Row],[Class]]="B", WORKDAY(Main[[#This Row],[Tech Start Date]],19),IF(Main[[#This Row],[Class]]="A",WORKDAY(Main[[#This Row],[Tech Start Date]],9),""))))</f>
        <v/>
      </c>
      <c r="Q359" s="74">
        <v>40956</v>
      </c>
      <c r="R359" s="74"/>
      <c r="S359" s="72" t="s">
        <v>11</v>
      </c>
      <c r="T359" s="80" t="s">
        <v>4</v>
      </c>
      <c r="U359" s="72" t="s">
        <v>14</v>
      </c>
      <c r="V359" s="72" t="s">
        <v>1927</v>
      </c>
      <c r="W359" s="72" t="s">
        <v>1925</v>
      </c>
      <c r="X359" s="72" t="s">
        <v>2835</v>
      </c>
      <c r="Y359" s="72" t="s">
        <v>2957</v>
      </c>
      <c r="Z359" s="72" t="s">
        <v>4</v>
      </c>
      <c r="AA359" s="146" t="s">
        <v>2835</v>
      </c>
    </row>
    <row r="360" spans="1:27" ht="18.600000000000001" customHeight="1">
      <c r="A360" s="139" t="str">
        <f>IF(priority(Main[[#This Row],[Comments]])&lt;&gt;0, priority(Main[[#This Row],[Comments]]),"")</f>
        <v/>
      </c>
      <c r="B360" s="89" t="s">
        <v>1688</v>
      </c>
      <c r="C360" s="72" t="s">
        <v>79</v>
      </c>
      <c r="D360" s="73" t="s">
        <v>741</v>
      </c>
      <c r="E360" s="74">
        <v>40458.641226851854</v>
      </c>
      <c r="F360" s="74"/>
      <c r="G360" s="75" t="str">
        <f>IF(stdProdLT(Main[[#This Row],[Comments]])=0.1,"N/A",IF(stdProdLT(Main[[#This Row],[Comments]])=0,"",stdProdLT(Main[[#This Row],[Comments]])))</f>
        <v/>
      </c>
      <c r="H360" s="76" t="str">
        <f>IF(AND(Main[[#This Row],[In Stock Date]]&lt;&gt;"",Main[[#This Row],[Revised Due Date]]&lt;&gt;""),Main[[#This Row],[In Stock Date]]-Main[[#This Row],[Revised Due Date]],"")</f>
        <v/>
      </c>
      <c r="I360" s="72" t="s">
        <v>4</v>
      </c>
      <c r="J360" s="72" t="s">
        <v>28</v>
      </c>
      <c r="K360" s="72" t="s">
        <v>1929</v>
      </c>
      <c r="L360" s="74"/>
      <c r="M360" s="77" t="str">
        <f>IF(Main[[#This Row],[Tech Start Date]]&lt;1/1/1990,"",IF(Main[[#This Row],[Class]]="C",WORKDAY(Main[[#This Row],[Tech Start Date]],9),IF(Main[[#This Row],[Class]]="B", WORKDAY(Main[[#This Row],[Tech Start Date]],6),IF(Main[[#This Row],[Class]]="A",WORKDAY(Main[[#This Row],[Tech Start Date]],2),""))))</f>
        <v/>
      </c>
      <c r="N360" s="77" t="str">
        <f>IF(Main[[#This Row],[Tech Start Date]]&lt;1/1/1990,"",IF(Main[[#This Row],[Class]]="C",WORKDAY(Main[[#This Row],[Tech Start Date]],19),IF(Main[[#This Row],[Class]]="B", WORKDAY(Main[[#This Row],[Tech Start Date]],12),IF(Main[[#This Row],[Class]]="A",WORKDAY(Main[[#This Row],[Tech Start Date]],4),""))))</f>
        <v/>
      </c>
      <c r="O360" s="77" t="str">
        <f>IF(Main[[#This Row],[Tech Start Date]]&lt;1/1/1990,"",IF(Main[[#This Row],[Class]]="C",WORKDAY(Main[[#This Row],[Tech Start Date]],23),IF(Main[[#This Row],[Class]]="B", WORKDAY(Main[[#This Row],[Tech Start Date]],15),IF(Main[[#This Row],[Class]]="A",WORKDAY(Main[[#This Row],[Tech Start Date]],5),""))))</f>
        <v/>
      </c>
      <c r="P360" s="77" t="str">
        <f>IF(Main[[#This Row],[Tech Start Date]]&lt;1/1/1990,"",IF(Main[[#This Row],[Class]]="C",WORKDAY(Main[[#This Row],[Tech Start Date]],28),IF(Main[[#This Row],[Class]]="B", WORKDAY(Main[[#This Row],[Tech Start Date]],19),IF(Main[[#This Row],[Class]]="A",WORKDAY(Main[[#This Row],[Tech Start Date]],9),""))))</f>
        <v/>
      </c>
      <c r="Q360" s="74">
        <v>40486</v>
      </c>
      <c r="R360" s="74"/>
      <c r="S360" s="72" t="s">
        <v>17</v>
      </c>
      <c r="T360" s="80" t="s">
        <v>4</v>
      </c>
      <c r="U360" s="72" t="s">
        <v>7</v>
      </c>
      <c r="V360" s="72" t="s">
        <v>1917</v>
      </c>
      <c r="W360" s="72" t="s">
        <v>1922</v>
      </c>
      <c r="X360" s="72" t="s">
        <v>2827</v>
      </c>
      <c r="Y360" s="72" t="s">
        <v>2942</v>
      </c>
      <c r="Z360" s="72" t="s">
        <v>129</v>
      </c>
      <c r="AA360" s="146" t="s">
        <v>2827</v>
      </c>
    </row>
    <row r="361" spans="1:27" ht="18.600000000000001" customHeight="1">
      <c r="A361" s="139" t="str">
        <f>IF(priority(Main[[#This Row],[Comments]])&lt;&gt;0, priority(Main[[#This Row],[Comments]]),"")</f>
        <v/>
      </c>
      <c r="B361" s="89" t="s">
        <v>2043</v>
      </c>
      <c r="C361" s="72" t="s">
        <v>4</v>
      </c>
      <c r="D361" s="73" t="s">
        <v>2044</v>
      </c>
      <c r="E361" s="74"/>
      <c r="F361" s="74"/>
      <c r="G361" s="75" t="str">
        <f>IF(stdProdLT(Main[[#This Row],[Comments]])=0.1,"N/A",IF(stdProdLT(Main[[#This Row],[Comments]])=0,"",stdProdLT(Main[[#This Row],[Comments]])))</f>
        <v/>
      </c>
      <c r="H361" s="76" t="str">
        <f>IF(AND(Main[[#This Row],[In Stock Date]]&lt;&gt;"",Main[[#This Row],[Revised Due Date]]&lt;&gt;""),Main[[#This Row],[In Stock Date]]-Main[[#This Row],[Revised Due Date]],"")</f>
        <v/>
      </c>
      <c r="I361" s="72" t="s">
        <v>4</v>
      </c>
      <c r="J361" s="72" t="s">
        <v>4</v>
      </c>
      <c r="K361" s="72" t="s">
        <v>4</v>
      </c>
      <c r="L361" s="74"/>
      <c r="M361" s="77" t="str">
        <f>IF(Main[[#This Row],[Tech Start Date]]&lt;1/1/1990,"",IF(Main[[#This Row],[Class]]="C",WORKDAY(Main[[#This Row],[Tech Start Date]],9),IF(Main[[#This Row],[Class]]="B", WORKDAY(Main[[#This Row],[Tech Start Date]],6),IF(Main[[#This Row],[Class]]="A",WORKDAY(Main[[#This Row],[Tech Start Date]],2),""))))</f>
        <v/>
      </c>
      <c r="N361" s="77" t="str">
        <f>IF(Main[[#This Row],[Tech Start Date]]&lt;1/1/1990,"",IF(Main[[#This Row],[Class]]="C",WORKDAY(Main[[#This Row],[Tech Start Date]],19),IF(Main[[#This Row],[Class]]="B", WORKDAY(Main[[#This Row],[Tech Start Date]],12),IF(Main[[#This Row],[Class]]="A",WORKDAY(Main[[#This Row],[Tech Start Date]],4),""))))</f>
        <v/>
      </c>
      <c r="O361" s="77" t="str">
        <f>IF(Main[[#This Row],[Tech Start Date]]&lt;1/1/1990,"",IF(Main[[#This Row],[Class]]="C",WORKDAY(Main[[#This Row],[Tech Start Date]],23),IF(Main[[#This Row],[Class]]="B", WORKDAY(Main[[#This Row],[Tech Start Date]],15),IF(Main[[#This Row],[Class]]="A",WORKDAY(Main[[#This Row],[Tech Start Date]],5),""))))</f>
        <v/>
      </c>
      <c r="P361" s="77" t="str">
        <f>IF(Main[[#This Row],[Tech Start Date]]&lt;1/1/1990,"",IF(Main[[#This Row],[Class]]="C",WORKDAY(Main[[#This Row],[Tech Start Date]],28),IF(Main[[#This Row],[Class]]="B", WORKDAY(Main[[#This Row],[Tech Start Date]],19),IF(Main[[#This Row],[Class]]="A",WORKDAY(Main[[#This Row],[Tech Start Date]],9),""))))</f>
        <v/>
      </c>
      <c r="Q361" s="74"/>
      <c r="R361" s="74"/>
      <c r="S361" s="72" t="s">
        <v>6</v>
      </c>
      <c r="T361" s="80" t="s">
        <v>4</v>
      </c>
      <c r="U361" s="72" t="s">
        <v>14</v>
      </c>
      <c r="V361" s="72" t="s">
        <v>1920</v>
      </c>
      <c r="W361" s="72" t="s">
        <v>1921</v>
      </c>
      <c r="X361" s="72" t="s">
        <v>306</v>
      </c>
      <c r="Y361" s="72" t="s">
        <v>4</v>
      </c>
      <c r="Z361" s="72" t="s">
        <v>4</v>
      </c>
      <c r="AA361" s="146" t="s">
        <v>4</v>
      </c>
    </row>
    <row r="362" spans="1:27" ht="18.600000000000001" customHeight="1">
      <c r="A362" s="139" t="str">
        <f>IF(priority(Main[[#This Row],[Comments]])&lt;&gt;0, priority(Main[[#This Row],[Comments]]),"")</f>
        <v/>
      </c>
      <c r="B362" s="89" t="s">
        <v>1189</v>
      </c>
      <c r="C362" s="72" t="s">
        <v>33</v>
      </c>
      <c r="D362" s="73" t="s">
        <v>248</v>
      </c>
      <c r="E362" s="74"/>
      <c r="F362" s="74"/>
      <c r="G362" s="75" t="str">
        <f>IF(stdProdLT(Main[[#This Row],[Comments]])=0.1,"N/A",IF(stdProdLT(Main[[#This Row],[Comments]])=0,"",stdProdLT(Main[[#This Row],[Comments]])))</f>
        <v/>
      </c>
      <c r="H362" s="76" t="str">
        <f>IF(AND(Main[[#This Row],[In Stock Date]]&lt;&gt;"",Main[[#This Row],[Revised Due Date]]&lt;&gt;""),Main[[#This Row],[In Stock Date]]-Main[[#This Row],[Revised Due Date]],"")</f>
        <v/>
      </c>
      <c r="I362" s="72" t="s">
        <v>4</v>
      </c>
      <c r="J362" s="72" t="s">
        <v>4</v>
      </c>
      <c r="K362" s="72" t="s">
        <v>4</v>
      </c>
      <c r="L362" s="74"/>
      <c r="M362" s="77" t="str">
        <f>IF(Main[[#This Row],[Tech Start Date]]&lt;1/1/1990,"",IF(Main[[#This Row],[Class]]="C",WORKDAY(Main[[#This Row],[Tech Start Date]],9),IF(Main[[#This Row],[Class]]="B", WORKDAY(Main[[#This Row],[Tech Start Date]],6),IF(Main[[#This Row],[Class]]="A",WORKDAY(Main[[#This Row],[Tech Start Date]],2),""))))</f>
        <v/>
      </c>
      <c r="N362" s="77" t="str">
        <f>IF(Main[[#This Row],[Tech Start Date]]&lt;1/1/1990,"",IF(Main[[#This Row],[Class]]="C",WORKDAY(Main[[#This Row],[Tech Start Date]],19),IF(Main[[#This Row],[Class]]="B", WORKDAY(Main[[#This Row],[Tech Start Date]],12),IF(Main[[#This Row],[Class]]="A",WORKDAY(Main[[#This Row],[Tech Start Date]],4),""))))</f>
        <v/>
      </c>
      <c r="O362" s="77" t="str">
        <f>IF(Main[[#This Row],[Tech Start Date]]&lt;1/1/1990,"",IF(Main[[#This Row],[Class]]="C",WORKDAY(Main[[#This Row],[Tech Start Date]],23),IF(Main[[#This Row],[Class]]="B", WORKDAY(Main[[#This Row],[Tech Start Date]],15),IF(Main[[#This Row],[Class]]="A",WORKDAY(Main[[#This Row],[Tech Start Date]],5),""))))</f>
        <v/>
      </c>
      <c r="P362" s="77" t="str">
        <f>IF(Main[[#This Row],[Tech Start Date]]&lt;1/1/1990,"",IF(Main[[#This Row],[Class]]="C",WORKDAY(Main[[#This Row],[Tech Start Date]],28),IF(Main[[#This Row],[Class]]="B", WORKDAY(Main[[#This Row],[Tech Start Date]],19),IF(Main[[#This Row],[Class]]="A",WORKDAY(Main[[#This Row],[Tech Start Date]],9),""))))</f>
        <v/>
      </c>
      <c r="Q362" s="74">
        <v>40269</v>
      </c>
      <c r="R362" s="74"/>
      <c r="S362" s="72" t="s">
        <v>11</v>
      </c>
      <c r="T362" s="80" t="s">
        <v>4</v>
      </c>
      <c r="U362" s="72" t="s">
        <v>14</v>
      </c>
      <c r="V362" s="72" t="s">
        <v>1920</v>
      </c>
      <c r="W362" s="72" t="s">
        <v>1919</v>
      </c>
      <c r="X362" s="72" t="s">
        <v>2875</v>
      </c>
      <c r="Y362" s="72" t="s">
        <v>4</v>
      </c>
      <c r="Z362" s="72" t="s">
        <v>4</v>
      </c>
      <c r="AA362" s="146" t="s">
        <v>2875</v>
      </c>
    </row>
    <row r="363" spans="1:27" ht="18.600000000000001" customHeight="1">
      <c r="A363" s="139" t="str">
        <f>IF(priority(Main[[#This Row],[Comments]])&lt;&gt;0, priority(Main[[#This Row],[Comments]]),"")</f>
        <v/>
      </c>
      <c r="B363" s="89" t="s">
        <v>1190</v>
      </c>
      <c r="C363" s="72" t="s">
        <v>249</v>
      </c>
      <c r="D363" s="73" t="s">
        <v>250</v>
      </c>
      <c r="E363" s="74"/>
      <c r="F363" s="74"/>
      <c r="G363" s="75" t="str">
        <f>IF(stdProdLT(Main[[#This Row],[Comments]])=0.1,"N/A",IF(stdProdLT(Main[[#This Row],[Comments]])=0,"",stdProdLT(Main[[#This Row],[Comments]])))</f>
        <v/>
      </c>
      <c r="H363" s="76" t="str">
        <f>IF(AND(Main[[#This Row],[In Stock Date]]&lt;&gt;"",Main[[#This Row],[Revised Due Date]]&lt;&gt;""),Main[[#This Row],[In Stock Date]]-Main[[#This Row],[Revised Due Date]],"")</f>
        <v/>
      </c>
      <c r="I363" s="72" t="s">
        <v>4</v>
      </c>
      <c r="J363" s="72" t="s">
        <v>28</v>
      </c>
      <c r="K363" s="72" t="s">
        <v>4</v>
      </c>
      <c r="L363" s="74"/>
      <c r="M363" s="77" t="str">
        <f>IF(Main[[#This Row],[Tech Start Date]]&lt;1/1/1990,"",IF(Main[[#This Row],[Class]]="C",WORKDAY(Main[[#This Row],[Tech Start Date]],9),IF(Main[[#This Row],[Class]]="B", WORKDAY(Main[[#This Row],[Tech Start Date]],6),IF(Main[[#This Row],[Class]]="A",WORKDAY(Main[[#This Row],[Tech Start Date]],2),""))))</f>
        <v/>
      </c>
      <c r="N363" s="77" t="str">
        <f>IF(Main[[#This Row],[Tech Start Date]]&lt;1/1/1990,"",IF(Main[[#This Row],[Class]]="C",WORKDAY(Main[[#This Row],[Tech Start Date]],19),IF(Main[[#This Row],[Class]]="B", WORKDAY(Main[[#This Row],[Tech Start Date]],12),IF(Main[[#This Row],[Class]]="A",WORKDAY(Main[[#This Row],[Tech Start Date]],4),""))))</f>
        <v/>
      </c>
      <c r="O363" s="77" t="str">
        <f>IF(Main[[#This Row],[Tech Start Date]]&lt;1/1/1990,"",IF(Main[[#This Row],[Class]]="C",WORKDAY(Main[[#This Row],[Tech Start Date]],23),IF(Main[[#This Row],[Class]]="B", WORKDAY(Main[[#This Row],[Tech Start Date]],15),IF(Main[[#This Row],[Class]]="A",WORKDAY(Main[[#This Row],[Tech Start Date]],5),""))))</f>
        <v/>
      </c>
      <c r="P363" s="77" t="str">
        <f>IF(Main[[#This Row],[Tech Start Date]]&lt;1/1/1990,"",IF(Main[[#This Row],[Class]]="C",WORKDAY(Main[[#This Row],[Tech Start Date]],28),IF(Main[[#This Row],[Class]]="B", WORKDAY(Main[[#This Row],[Tech Start Date]],19),IF(Main[[#This Row],[Class]]="A",WORKDAY(Main[[#This Row],[Tech Start Date]],9),""))))</f>
        <v/>
      </c>
      <c r="Q363" s="74"/>
      <c r="R363" s="74"/>
      <c r="S363" s="72" t="s">
        <v>6</v>
      </c>
      <c r="T363" s="80" t="s">
        <v>4</v>
      </c>
      <c r="U363" s="72" t="s">
        <v>14</v>
      </c>
      <c r="V363" s="72" t="s">
        <v>1917</v>
      </c>
      <c r="W363" s="72" t="s">
        <v>1925</v>
      </c>
      <c r="X363" s="72" t="s">
        <v>891</v>
      </c>
      <c r="Y363" s="72" t="s">
        <v>3020</v>
      </c>
      <c r="Z363" s="72" t="s">
        <v>129</v>
      </c>
      <c r="AA363" s="146" t="s">
        <v>3384</v>
      </c>
    </row>
    <row r="364" spans="1:27" ht="18.600000000000001" customHeight="1">
      <c r="A364" s="139" t="str">
        <f>IF(priority(Main[[#This Row],[Comments]])&lt;&gt;0, priority(Main[[#This Row],[Comments]]),"")</f>
        <v/>
      </c>
      <c r="B364" s="89" t="s">
        <v>1191</v>
      </c>
      <c r="C364" s="72" t="s">
        <v>4</v>
      </c>
      <c r="D364" s="73" t="s">
        <v>251</v>
      </c>
      <c r="E364" s="74"/>
      <c r="F364" s="74"/>
      <c r="G364" s="75" t="str">
        <f>IF(stdProdLT(Main[[#This Row],[Comments]])=0.1,"N/A",IF(stdProdLT(Main[[#This Row],[Comments]])=0,"",stdProdLT(Main[[#This Row],[Comments]])))</f>
        <v/>
      </c>
      <c r="H364" s="76" t="str">
        <f>IF(AND(Main[[#This Row],[In Stock Date]]&lt;&gt;"",Main[[#This Row],[Revised Due Date]]&lt;&gt;""),Main[[#This Row],[In Stock Date]]-Main[[#This Row],[Revised Due Date]],"")</f>
        <v/>
      </c>
      <c r="I364" s="72" t="s">
        <v>4</v>
      </c>
      <c r="J364" s="72" t="s">
        <v>4</v>
      </c>
      <c r="K364" s="72" t="s">
        <v>4</v>
      </c>
      <c r="L364" s="74"/>
      <c r="M364" s="77" t="str">
        <f>IF(Main[[#This Row],[Tech Start Date]]&lt;1/1/1990,"",IF(Main[[#This Row],[Class]]="C",WORKDAY(Main[[#This Row],[Tech Start Date]],9),IF(Main[[#This Row],[Class]]="B", WORKDAY(Main[[#This Row],[Tech Start Date]],6),IF(Main[[#This Row],[Class]]="A",WORKDAY(Main[[#This Row],[Tech Start Date]],2),""))))</f>
        <v/>
      </c>
      <c r="N364" s="77" t="str">
        <f>IF(Main[[#This Row],[Tech Start Date]]&lt;1/1/1990,"",IF(Main[[#This Row],[Class]]="C",WORKDAY(Main[[#This Row],[Tech Start Date]],19),IF(Main[[#This Row],[Class]]="B", WORKDAY(Main[[#This Row],[Tech Start Date]],12),IF(Main[[#This Row],[Class]]="A",WORKDAY(Main[[#This Row],[Tech Start Date]],4),""))))</f>
        <v/>
      </c>
      <c r="O364" s="77" t="str">
        <f>IF(Main[[#This Row],[Tech Start Date]]&lt;1/1/1990,"",IF(Main[[#This Row],[Class]]="C",WORKDAY(Main[[#This Row],[Tech Start Date]],23),IF(Main[[#This Row],[Class]]="B", WORKDAY(Main[[#This Row],[Tech Start Date]],15),IF(Main[[#This Row],[Class]]="A",WORKDAY(Main[[#This Row],[Tech Start Date]],5),""))))</f>
        <v/>
      </c>
      <c r="P364" s="77" t="str">
        <f>IF(Main[[#This Row],[Tech Start Date]]&lt;1/1/1990,"",IF(Main[[#This Row],[Class]]="C",WORKDAY(Main[[#This Row],[Tech Start Date]],28),IF(Main[[#This Row],[Class]]="B", WORKDAY(Main[[#This Row],[Tech Start Date]],19),IF(Main[[#This Row],[Class]]="A",WORKDAY(Main[[#This Row],[Tech Start Date]],9),""))))</f>
        <v/>
      </c>
      <c r="Q364" s="74"/>
      <c r="R364" s="74"/>
      <c r="S364" s="72" t="s">
        <v>6</v>
      </c>
      <c r="T364" s="80" t="s">
        <v>4</v>
      </c>
      <c r="U364" s="72" t="s">
        <v>14</v>
      </c>
      <c r="V364" s="72" t="s">
        <v>1920</v>
      </c>
      <c r="W364" s="72" t="s">
        <v>1921</v>
      </c>
      <c r="X364" s="72" t="s">
        <v>306</v>
      </c>
      <c r="Y364" s="72" t="s">
        <v>4</v>
      </c>
      <c r="Z364" s="72" t="s">
        <v>4</v>
      </c>
      <c r="AA364" s="146" t="s">
        <v>415</v>
      </c>
    </row>
    <row r="365" spans="1:27" ht="18.600000000000001" customHeight="1">
      <c r="A365" s="139" t="str">
        <f>IF(priority(Main[[#This Row],[Comments]])&lt;&gt;0, priority(Main[[#This Row],[Comments]]),"")</f>
        <v/>
      </c>
      <c r="B365" s="89" t="s">
        <v>1192</v>
      </c>
      <c r="C365" s="72" t="s">
        <v>113</v>
      </c>
      <c r="D365" s="73" t="s">
        <v>136</v>
      </c>
      <c r="E365" s="74"/>
      <c r="F365" s="74"/>
      <c r="G365" s="75" t="str">
        <f>IF(stdProdLT(Main[[#This Row],[Comments]])=0.1,"N/A",IF(stdProdLT(Main[[#This Row],[Comments]])=0,"",stdProdLT(Main[[#This Row],[Comments]])))</f>
        <v/>
      </c>
      <c r="H365" s="76" t="str">
        <f>IF(AND(Main[[#This Row],[In Stock Date]]&lt;&gt;"",Main[[#This Row],[Revised Due Date]]&lt;&gt;""),Main[[#This Row],[In Stock Date]]-Main[[#This Row],[Revised Due Date]],"")</f>
        <v/>
      </c>
      <c r="I365" s="72" t="s">
        <v>4</v>
      </c>
      <c r="J365" s="72" t="s">
        <v>4</v>
      </c>
      <c r="K365" s="72" t="s">
        <v>4</v>
      </c>
      <c r="L365" s="74"/>
      <c r="M365" s="77" t="str">
        <f>IF(Main[[#This Row],[Tech Start Date]]&lt;1/1/1990,"",IF(Main[[#This Row],[Class]]="C",WORKDAY(Main[[#This Row],[Tech Start Date]],9),IF(Main[[#This Row],[Class]]="B", WORKDAY(Main[[#This Row],[Tech Start Date]],6),IF(Main[[#This Row],[Class]]="A",WORKDAY(Main[[#This Row],[Tech Start Date]],2),""))))</f>
        <v/>
      </c>
      <c r="N365" s="77" t="str">
        <f>IF(Main[[#This Row],[Tech Start Date]]&lt;1/1/1990,"",IF(Main[[#This Row],[Class]]="C",WORKDAY(Main[[#This Row],[Tech Start Date]],19),IF(Main[[#This Row],[Class]]="B", WORKDAY(Main[[#This Row],[Tech Start Date]],12),IF(Main[[#This Row],[Class]]="A",WORKDAY(Main[[#This Row],[Tech Start Date]],4),""))))</f>
        <v/>
      </c>
      <c r="O365" s="77" t="str">
        <f>IF(Main[[#This Row],[Tech Start Date]]&lt;1/1/1990,"",IF(Main[[#This Row],[Class]]="C",WORKDAY(Main[[#This Row],[Tech Start Date]],23),IF(Main[[#This Row],[Class]]="B", WORKDAY(Main[[#This Row],[Tech Start Date]],15),IF(Main[[#This Row],[Class]]="A",WORKDAY(Main[[#This Row],[Tech Start Date]],5),""))))</f>
        <v/>
      </c>
      <c r="P365" s="77" t="str">
        <f>IF(Main[[#This Row],[Tech Start Date]]&lt;1/1/1990,"",IF(Main[[#This Row],[Class]]="C",WORKDAY(Main[[#This Row],[Tech Start Date]],28),IF(Main[[#This Row],[Class]]="B", WORKDAY(Main[[#This Row],[Tech Start Date]],19),IF(Main[[#This Row],[Class]]="A",WORKDAY(Main[[#This Row],[Tech Start Date]],9),""))))</f>
        <v/>
      </c>
      <c r="Q365" s="74">
        <v>40641</v>
      </c>
      <c r="R365" s="74"/>
      <c r="S365" s="72" t="s">
        <v>11</v>
      </c>
      <c r="T365" s="80" t="s">
        <v>4</v>
      </c>
      <c r="U365" s="72" t="s">
        <v>14</v>
      </c>
      <c r="V365" s="72" t="s">
        <v>1917</v>
      </c>
      <c r="W365" s="72" t="s">
        <v>1925</v>
      </c>
      <c r="X365" s="72" t="s">
        <v>2845</v>
      </c>
      <c r="Y365" s="72" t="s">
        <v>2987</v>
      </c>
      <c r="Z365" s="72" t="s">
        <v>4</v>
      </c>
      <c r="AA365" s="146" t="s">
        <v>2845</v>
      </c>
    </row>
    <row r="366" spans="1:27" ht="18.600000000000001" customHeight="1">
      <c r="A366" s="139" t="str">
        <f>IF(priority(Main[[#This Row],[Comments]])&lt;&gt;0, priority(Main[[#This Row],[Comments]]),"")</f>
        <v/>
      </c>
      <c r="B366" s="89" t="s">
        <v>1135</v>
      </c>
      <c r="C366" s="72" t="s">
        <v>4</v>
      </c>
      <c r="D366" s="73" t="s">
        <v>186</v>
      </c>
      <c r="E366" s="74">
        <v>40585.675416666665</v>
      </c>
      <c r="F366" s="74">
        <v>40606</v>
      </c>
      <c r="G366" s="75" t="str">
        <f>IF(stdProdLT(Main[[#This Row],[Comments]])=0.1,"N/A",IF(stdProdLT(Main[[#This Row],[Comments]])=0,"",stdProdLT(Main[[#This Row],[Comments]])))</f>
        <v/>
      </c>
      <c r="H366" s="76" t="str">
        <f>IF(AND(Main[[#This Row],[In Stock Date]]&lt;&gt;"",Main[[#This Row],[Revised Due Date]]&lt;&gt;""),Main[[#This Row],[In Stock Date]]-Main[[#This Row],[Revised Due Date]],"")</f>
        <v/>
      </c>
      <c r="I366" s="72" t="s">
        <v>4</v>
      </c>
      <c r="J366" s="72" t="s">
        <v>28</v>
      </c>
      <c r="K366" s="72" t="s">
        <v>1929</v>
      </c>
      <c r="L366" s="74"/>
      <c r="M366" s="77" t="str">
        <f>IF(Main[[#This Row],[Tech Start Date]]&lt;1/1/1990,"",IF(Main[[#This Row],[Class]]="C",WORKDAY(Main[[#This Row],[Tech Start Date]],9),IF(Main[[#This Row],[Class]]="B", WORKDAY(Main[[#This Row],[Tech Start Date]],6),IF(Main[[#This Row],[Class]]="A",WORKDAY(Main[[#This Row],[Tech Start Date]],2),""))))</f>
        <v/>
      </c>
      <c r="N366" s="77" t="str">
        <f>IF(Main[[#This Row],[Tech Start Date]]&lt;1/1/1990,"",IF(Main[[#This Row],[Class]]="C",WORKDAY(Main[[#This Row],[Tech Start Date]],19),IF(Main[[#This Row],[Class]]="B", WORKDAY(Main[[#This Row],[Tech Start Date]],12),IF(Main[[#This Row],[Class]]="A",WORKDAY(Main[[#This Row],[Tech Start Date]],4),""))))</f>
        <v/>
      </c>
      <c r="O366" s="77" t="str">
        <f>IF(Main[[#This Row],[Tech Start Date]]&lt;1/1/1990,"",IF(Main[[#This Row],[Class]]="C",WORKDAY(Main[[#This Row],[Tech Start Date]],23),IF(Main[[#This Row],[Class]]="B", WORKDAY(Main[[#This Row],[Tech Start Date]],15),IF(Main[[#This Row],[Class]]="A",WORKDAY(Main[[#This Row],[Tech Start Date]],5),""))))</f>
        <v/>
      </c>
      <c r="P366" s="77" t="str">
        <f>IF(Main[[#This Row],[Tech Start Date]]&lt;1/1/1990,"",IF(Main[[#This Row],[Class]]="C",WORKDAY(Main[[#This Row],[Tech Start Date]],28),IF(Main[[#This Row],[Class]]="B", WORKDAY(Main[[#This Row],[Tech Start Date]],19),IF(Main[[#This Row],[Class]]="A",WORKDAY(Main[[#This Row],[Tech Start Date]],9),""))))</f>
        <v/>
      </c>
      <c r="Q366" s="74">
        <v>40606</v>
      </c>
      <c r="R366" s="74"/>
      <c r="S366" s="72" t="s">
        <v>17</v>
      </c>
      <c r="T366" s="80" t="s">
        <v>4</v>
      </c>
      <c r="U366" s="72" t="s">
        <v>7</v>
      </c>
      <c r="V366" s="72" t="s">
        <v>1917</v>
      </c>
      <c r="W366" s="72" t="s">
        <v>1925</v>
      </c>
      <c r="X366" s="72" t="s">
        <v>2834</v>
      </c>
      <c r="Y366" s="72" t="s">
        <v>2956</v>
      </c>
      <c r="Z366" s="72" t="s">
        <v>129</v>
      </c>
      <c r="AA366" s="146" t="s">
        <v>2834</v>
      </c>
    </row>
    <row r="367" spans="1:27" ht="18.600000000000001" customHeight="1">
      <c r="A367" s="139" t="str">
        <f>IF(priority(Main[[#This Row],[Comments]])&lt;&gt;0, priority(Main[[#This Row],[Comments]]),"")</f>
        <v/>
      </c>
      <c r="B367" s="89" t="s">
        <v>1193</v>
      </c>
      <c r="C367" s="72" t="s">
        <v>4</v>
      </c>
      <c r="D367" s="73" t="s">
        <v>2361</v>
      </c>
      <c r="E367" s="74">
        <v>40620.555636574078</v>
      </c>
      <c r="F367" s="74"/>
      <c r="G367" s="75" t="str">
        <f>IF(stdProdLT(Main[[#This Row],[Comments]])=0.1,"N/A",IF(stdProdLT(Main[[#This Row],[Comments]])=0,"",stdProdLT(Main[[#This Row],[Comments]])))</f>
        <v/>
      </c>
      <c r="H367" s="76" t="str">
        <f>IF(AND(Main[[#This Row],[In Stock Date]]&lt;&gt;"",Main[[#This Row],[Revised Due Date]]&lt;&gt;""),Main[[#This Row],[In Stock Date]]-Main[[#This Row],[Revised Due Date]],"")</f>
        <v/>
      </c>
      <c r="I367" s="72" t="s">
        <v>30</v>
      </c>
      <c r="J367" s="72" t="s">
        <v>75</v>
      </c>
      <c r="K367" s="72" t="s">
        <v>1926</v>
      </c>
      <c r="L367" s="74"/>
      <c r="M367" s="77" t="str">
        <f>IF(Main[[#This Row],[Tech Start Date]]&lt;1/1/1990,"",IF(Main[[#This Row],[Class]]="C",WORKDAY(Main[[#This Row],[Tech Start Date]],9),IF(Main[[#This Row],[Class]]="B", WORKDAY(Main[[#This Row],[Tech Start Date]],6),IF(Main[[#This Row],[Class]]="A",WORKDAY(Main[[#This Row],[Tech Start Date]],2),""))))</f>
        <v/>
      </c>
      <c r="N367" s="77" t="str">
        <f>IF(Main[[#This Row],[Tech Start Date]]&lt;1/1/1990,"",IF(Main[[#This Row],[Class]]="C",WORKDAY(Main[[#This Row],[Tech Start Date]],19),IF(Main[[#This Row],[Class]]="B", WORKDAY(Main[[#This Row],[Tech Start Date]],12),IF(Main[[#This Row],[Class]]="A",WORKDAY(Main[[#This Row],[Tech Start Date]],4),""))))</f>
        <v/>
      </c>
      <c r="O367" s="77" t="str">
        <f>IF(Main[[#This Row],[Tech Start Date]]&lt;1/1/1990,"",IF(Main[[#This Row],[Class]]="C",WORKDAY(Main[[#This Row],[Tech Start Date]],23),IF(Main[[#This Row],[Class]]="B", WORKDAY(Main[[#This Row],[Tech Start Date]],15),IF(Main[[#This Row],[Class]]="A",WORKDAY(Main[[#This Row],[Tech Start Date]],5),""))))</f>
        <v/>
      </c>
      <c r="P367" s="77" t="str">
        <f>IF(Main[[#This Row],[Tech Start Date]]&lt;1/1/1990,"",IF(Main[[#This Row],[Class]]="C",WORKDAY(Main[[#This Row],[Tech Start Date]],28),IF(Main[[#This Row],[Class]]="B", WORKDAY(Main[[#This Row],[Tech Start Date]],19),IF(Main[[#This Row],[Class]]="A",WORKDAY(Main[[#This Row],[Tech Start Date]],9),""))))</f>
        <v/>
      </c>
      <c r="Q367" s="74">
        <v>40662</v>
      </c>
      <c r="R367" s="74"/>
      <c r="S367" s="72" t="s">
        <v>6</v>
      </c>
      <c r="T367" s="80" t="s">
        <v>4</v>
      </c>
      <c r="U367" s="72" t="s">
        <v>29</v>
      </c>
      <c r="V367" s="72" t="s">
        <v>1920</v>
      </c>
      <c r="W367" s="72" t="s">
        <v>1921</v>
      </c>
      <c r="X367" s="72" t="s">
        <v>30</v>
      </c>
      <c r="Y367" s="72" t="s">
        <v>3021</v>
      </c>
      <c r="Z367" s="72" t="s">
        <v>30</v>
      </c>
      <c r="AA367" s="146" t="s">
        <v>3412</v>
      </c>
    </row>
    <row r="368" spans="1:27" ht="18.600000000000001" customHeight="1">
      <c r="A368" s="139" t="str">
        <f>IF(priority(Main[[#This Row],[Comments]])&lt;&gt;0, priority(Main[[#This Row],[Comments]]),"")</f>
        <v/>
      </c>
      <c r="B368" s="89" t="s">
        <v>1230</v>
      </c>
      <c r="C368" s="72" t="s">
        <v>4</v>
      </c>
      <c r="D368" s="73" t="s">
        <v>289</v>
      </c>
      <c r="E368" s="74">
        <v>40379.350532407407</v>
      </c>
      <c r="F368" s="74"/>
      <c r="G368" s="75" t="str">
        <f>IF(stdProdLT(Main[[#This Row],[Comments]])=0.1,"N/A",IF(stdProdLT(Main[[#This Row],[Comments]])=0,"",stdProdLT(Main[[#This Row],[Comments]])))</f>
        <v/>
      </c>
      <c r="H368" s="76" t="str">
        <f>IF(AND(Main[[#This Row],[In Stock Date]]&lt;&gt;"",Main[[#This Row],[Revised Due Date]]&lt;&gt;""),Main[[#This Row],[In Stock Date]]-Main[[#This Row],[Revised Due Date]],"")</f>
        <v/>
      </c>
      <c r="I368" s="72" t="s">
        <v>4</v>
      </c>
      <c r="J368" s="72" t="s">
        <v>28</v>
      </c>
      <c r="K368" s="72" t="s">
        <v>4</v>
      </c>
      <c r="L368" s="74"/>
      <c r="M368" s="77" t="str">
        <f>IF(Main[[#This Row],[Tech Start Date]]&lt;1/1/1990,"",IF(Main[[#This Row],[Class]]="C",WORKDAY(Main[[#This Row],[Tech Start Date]],9),IF(Main[[#This Row],[Class]]="B", WORKDAY(Main[[#This Row],[Tech Start Date]],6),IF(Main[[#This Row],[Class]]="A",WORKDAY(Main[[#This Row],[Tech Start Date]],2),""))))</f>
        <v/>
      </c>
      <c r="N368" s="77" t="str">
        <f>IF(Main[[#This Row],[Tech Start Date]]&lt;1/1/1990,"",IF(Main[[#This Row],[Class]]="C",WORKDAY(Main[[#This Row],[Tech Start Date]],19),IF(Main[[#This Row],[Class]]="B", WORKDAY(Main[[#This Row],[Tech Start Date]],12),IF(Main[[#This Row],[Class]]="A",WORKDAY(Main[[#This Row],[Tech Start Date]],4),""))))</f>
        <v/>
      </c>
      <c r="O368" s="77" t="str">
        <f>IF(Main[[#This Row],[Tech Start Date]]&lt;1/1/1990,"",IF(Main[[#This Row],[Class]]="C",WORKDAY(Main[[#This Row],[Tech Start Date]],23),IF(Main[[#This Row],[Class]]="B", WORKDAY(Main[[#This Row],[Tech Start Date]],15),IF(Main[[#This Row],[Class]]="A",WORKDAY(Main[[#This Row],[Tech Start Date]],5),""))))</f>
        <v/>
      </c>
      <c r="P368" s="77" t="str">
        <f>IF(Main[[#This Row],[Tech Start Date]]&lt;1/1/1990,"",IF(Main[[#This Row],[Class]]="C",WORKDAY(Main[[#This Row],[Tech Start Date]],28),IF(Main[[#This Row],[Class]]="B", WORKDAY(Main[[#This Row],[Tech Start Date]],19),IF(Main[[#This Row],[Class]]="A",WORKDAY(Main[[#This Row],[Tech Start Date]],9),""))))</f>
        <v/>
      </c>
      <c r="Q368" s="74">
        <v>40413</v>
      </c>
      <c r="R368" s="74"/>
      <c r="S368" s="72" t="s">
        <v>6</v>
      </c>
      <c r="T368" s="80" t="s">
        <v>4</v>
      </c>
      <c r="U368" s="72" t="s">
        <v>7</v>
      </c>
      <c r="V368" s="72" t="s">
        <v>1917</v>
      </c>
      <c r="W368" s="72" t="s">
        <v>1919</v>
      </c>
      <c r="X368" s="72" t="s">
        <v>2824</v>
      </c>
      <c r="Y368" s="72" t="s">
        <v>2935</v>
      </c>
      <c r="Z368" s="72" t="s">
        <v>129</v>
      </c>
      <c r="AA368" s="146" t="s">
        <v>2824</v>
      </c>
    </row>
    <row r="369" spans="1:27" ht="18.600000000000001" customHeight="1">
      <c r="A369" s="139" t="str">
        <f>IF(priority(Main[[#This Row],[Comments]])&lt;&gt;0, priority(Main[[#This Row],[Comments]]),"")</f>
        <v/>
      </c>
      <c r="B369" s="89" t="s">
        <v>1231</v>
      </c>
      <c r="C369" s="72" t="s">
        <v>290</v>
      </c>
      <c r="D369" s="73" t="s">
        <v>291</v>
      </c>
      <c r="E369" s="74"/>
      <c r="F369" s="74"/>
      <c r="G369" s="75" t="str">
        <f>IF(stdProdLT(Main[[#This Row],[Comments]])=0.1,"N/A",IF(stdProdLT(Main[[#This Row],[Comments]])=0,"",stdProdLT(Main[[#This Row],[Comments]])))</f>
        <v/>
      </c>
      <c r="H369" s="76" t="str">
        <f>IF(AND(Main[[#This Row],[In Stock Date]]&lt;&gt;"",Main[[#This Row],[Revised Due Date]]&lt;&gt;""),Main[[#This Row],[In Stock Date]]-Main[[#This Row],[Revised Due Date]],"")</f>
        <v/>
      </c>
      <c r="I369" s="72" t="s">
        <v>4</v>
      </c>
      <c r="J369" s="72" t="s">
        <v>4</v>
      </c>
      <c r="K369" s="81" t="s">
        <v>4</v>
      </c>
      <c r="L369" s="74"/>
      <c r="M369" s="77" t="str">
        <f>IF(Main[[#This Row],[Tech Start Date]]&lt;1/1/1990,"",IF(Main[[#This Row],[Class]]="C",WORKDAY(Main[[#This Row],[Tech Start Date]],9),IF(Main[[#This Row],[Class]]="B", WORKDAY(Main[[#This Row],[Tech Start Date]],6),IF(Main[[#This Row],[Class]]="A",WORKDAY(Main[[#This Row],[Tech Start Date]],2),""))))</f>
        <v/>
      </c>
      <c r="N369" s="77" t="str">
        <f>IF(Main[[#This Row],[Tech Start Date]]&lt;1/1/1990,"",IF(Main[[#This Row],[Class]]="C",WORKDAY(Main[[#This Row],[Tech Start Date]],19),IF(Main[[#This Row],[Class]]="B", WORKDAY(Main[[#This Row],[Tech Start Date]],12),IF(Main[[#This Row],[Class]]="A",WORKDAY(Main[[#This Row],[Tech Start Date]],4),""))))</f>
        <v/>
      </c>
      <c r="O369" s="77" t="str">
        <f>IF(Main[[#This Row],[Tech Start Date]]&lt;1/1/1990,"",IF(Main[[#This Row],[Class]]="C",WORKDAY(Main[[#This Row],[Tech Start Date]],23),IF(Main[[#This Row],[Class]]="B", WORKDAY(Main[[#This Row],[Tech Start Date]],15),IF(Main[[#This Row],[Class]]="A",WORKDAY(Main[[#This Row],[Tech Start Date]],5),""))))</f>
        <v/>
      </c>
      <c r="P369" s="77" t="str">
        <f>IF(Main[[#This Row],[Tech Start Date]]&lt;1/1/1990,"",IF(Main[[#This Row],[Class]]="C",WORKDAY(Main[[#This Row],[Tech Start Date]],28),IF(Main[[#This Row],[Class]]="B", WORKDAY(Main[[#This Row],[Tech Start Date]],19),IF(Main[[#This Row],[Class]]="A",WORKDAY(Main[[#This Row],[Tech Start Date]],9),""))))</f>
        <v/>
      </c>
      <c r="Q369" s="74">
        <v>40052</v>
      </c>
      <c r="R369" s="74"/>
      <c r="S369" s="72" t="s">
        <v>11</v>
      </c>
      <c r="T369" s="80" t="s">
        <v>4</v>
      </c>
      <c r="U369" s="72" t="s">
        <v>14</v>
      </c>
      <c r="V369" s="72" t="s">
        <v>1920</v>
      </c>
      <c r="W369" s="72" t="s">
        <v>1919</v>
      </c>
      <c r="X369" s="72" t="s">
        <v>2840</v>
      </c>
      <c r="Y369" s="72" t="s">
        <v>4</v>
      </c>
      <c r="Z369" s="72" t="s">
        <v>4</v>
      </c>
      <c r="AA369" s="146" t="s">
        <v>2840</v>
      </c>
    </row>
    <row r="370" spans="1:27" ht="18.600000000000001" customHeight="1">
      <c r="A370" s="139" t="str">
        <f>IF(priority(Main[[#This Row],[Comments]])&lt;&gt;0, priority(Main[[#This Row],[Comments]]),"")</f>
        <v/>
      </c>
      <c r="B370" s="89" t="s">
        <v>2713</v>
      </c>
      <c r="C370" s="72" t="s">
        <v>2714</v>
      </c>
      <c r="D370" s="73" t="s">
        <v>2715</v>
      </c>
      <c r="E370" s="74"/>
      <c r="F370" s="74">
        <v>40900</v>
      </c>
      <c r="G370" s="75" t="str">
        <f>IF(stdProdLT(Main[[#This Row],[Comments]])=0.1,"N/A",IF(stdProdLT(Main[[#This Row],[Comments]])=0,"",stdProdLT(Main[[#This Row],[Comments]])))</f>
        <v/>
      </c>
      <c r="H370" s="76" t="str">
        <f>IF(AND(Main[[#This Row],[In Stock Date]]&lt;&gt;"",Main[[#This Row],[Revised Due Date]]&lt;&gt;""),Main[[#This Row],[In Stock Date]]-Main[[#This Row],[Revised Due Date]],"")</f>
        <v/>
      </c>
      <c r="I370" s="72" t="s">
        <v>4</v>
      </c>
      <c r="J370" s="72" t="s">
        <v>4</v>
      </c>
      <c r="K370" s="72" t="s">
        <v>4</v>
      </c>
      <c r="L370" s="74"/>
      <c r="M370" s="77" t="str">
        <f>IF(Main[[#This Row],[Tech Start Date]]&lt;1/1/1990,"",IF(Main[[#This Row],[Class]]="C",WORKDAY(Main[[#This Row],[Tech Start Date]],9),IF(Main[[#This Row],[Class]]="B", WORKDAY(Main[[#This Row],[Tech Start Date]],6),IF(Main[[#This Row],[Class]]="A",WORKDAY(Main[[#This Row],[Tech Start Date]],2),""))))</f>
        <v/>
      </c>
      <c r="N370" s="77" t="str">
        <f>IF(Main[[#This Row],[Tech Start Date]]&lt;1/1/1990,"",IF(Main[[#This Row],[Class]]="C",WORKDAY(Main[[#This Row],[Tech Start Date]],19),IF(Main[[#This Row],[Class]]="B", WORKDAY(Main[[#This Row],[Tech Start Date]],12),IF(Main[[#This Row],[Class]]="A",WORKDAY(Main[[#This Row],[Tech Start Date]],4),""))))</f>
        <v/>
      </c>
      <c r="O370" s="77" t="str">
        <f>IF(Main[[#This Row],[Tech Start Date]]&lt;1/1/1990,"",IF(Main[[#This Row],[Class]]="C",WORKDAY(Main[[#This Row],[Tech Start Date]],23),IF(Main[[#This Row],[Class]]="B", WORKDAY(Main[[#This Row],[Tech Start Date]],15),IF(Main[[#This Row],[Class]]="A",WORKDAY(Main[[#This Row],[Tech Start Date]],5),""))))</f>
        <v/>
      </c>
      <c r="P370" s="77" t="str">
        <f>IF(Main[[#This Row],[Tech Start Date]]&lt;1/1/1990,"",IF(Main[[#This Row],[Class]]="C",WORKDAY(Main[[#This Row],[Tech Start Date]],28),IF(Main[[#This Row],[Class]]="B", WORKDAY(Main[[#This Row],[Tech Start Date]],19),IF(Main[[#This Row],[Class]]="A",WORKDAY(Main[[#This Row],[Tech Start Date]],9),""))))</f>
        <v/>
      </c>
      <c r="Q370" s="74">
        <v>40899</v>
      </c>
      <c r="R370" s="74"/>
      <c r="S370" s="72" t="s">
        <v>11</v>
      </c>
      <c r="T370" s="80" t="s">
        <v>4</v>
      </c>
      <c r="U370" s="72" t="s">
        <v>14</v>
      </c>
      <c r="V370" s="72" t="s">
        <v>1920</v>
      </c>
      <c r="W370" s="72" t="s">
        <v>1923</v>
      </c>
      <c r="X370" s="72" t="s">
        <v>2876</v>
      </c>
      <c r="Y370" s="72" t="s">
        <v>3022</v>
      </c>
      <c r="Z370" s="72" t="s">
        <v>4</v>
      </c>
      <c r="AA370" s="146" t="s">
        <v>2876</v>
      </c>
    </row>
    <row r="371" spans="1:27" ht="18.600000000000001" customHeight="1">
      <c r="A371" s="139" t="str">
        <f>IF(priority(Main[[#This Row],[Comments]])&lt;&gt;0, priority(Main[[#This Row],[Comments]]),"")</f>
        <v/>
      </c>
      <c r="B371" s="89" t="s">
        <v>3608</v>
      </c>
      <c r="C371" s="72" t="s">
        <v>4</v>
      </c>
      <c r="D371" s="73" t="s">
        <v>3609</v>
      </c>
      <c r="E371" s="74">
        <v>40959.340949074074</v>
      </c>
      <c r="F371" s="74"/>
      <c r="G371" s="75" t="str">
        <f>IF(stdProdLT(Main[[#This Row],[Comments]])=0.1,"N/A",IF(stdProdLT(Main[[#This Row],[Comments]])=0,"",stdProdLT(Main[[#This Row],[Comments]])))</f>
        <v/>
      </c>
      <c r="H371" s="76" t="str">
        <f>IF(AND(Main[[#This Row],[In Stock Date]]&lt;&gt;"",Main[[#This Row],[Revised Due Date]]&lt;&gt;""),Main[[#This Row],[In Stock Date]]-Main[[#This Row],[Revised Due Date]],"")</f>
        <v/>
      </c>
      <c r="I371" s="72" t="s">
        <v>4</v>
      </c>
      <c r="J371" s="72" t="s">
        <v>4</v>
      </c>
      <c r="K371" s="72" t="s">
        <v>4</v>
      </c>
      <c r="L371" s="74"/>
      <c r="M371" s="77" t="str">
        <f>IF(Main[[#This Row],[Tech Start Date]]&lt;1/1/1990,"",IF(Main[[#This Row],[Class]]="C",WORKDAY(Main[[#This Row],[Tech Start Date]],9),IF(Main[[#This Row],[Class]]="B", WORKDAY(Main[[#This Row],[Tech Start Date]],6),IF(Main[[#This Row],[Class]]="A",WORKDAY(Main[[#This Row],[Tech Start Date]],2),""))))</f>
        <v/>
      </c>
      <c r="N371" s="77" t="str">
        <f>IF(Main[[#This Row],[Tech Start Date]]&lt;1/1/1990,"",IF(Main[[#This Row],[Class]]="C",WORKDAY(Main[[#This Row],[Tech Start Date]],19),IF(Main[[#This Row],[Class]]="B", WORKDAY(Main[[#This Row],[Tech Start Date]],12),IF(Main[[#This Row],[Class]]="A",WORKDAY(Main[[#This Row],[Tech Start Date]],4),""))))</f>
        <v/>
      </c>
      <c r="O371" s="77" t="str">
        <f>IF(Main[[#This Row],[Tech Start Date]]&lt;1/1/1990,"",IF(Main[[#This Row],[Class]]="C",WORKDAY(Main[[#This Row],[Tech Start Date]],23),IF(Main[[#This Row],[Class]]="B", WORKDAY(Main[[#This Row],[Tech Start Date]],15),IF(Main[[#This Row],[Class]]="A",WORKDAY(Main[[#This Row],[Tech Start Date]],5),""))))</f>
        <v/>
      </c>
      <c r="P371" s="77" t="str">
        <f>IF(Main[[#This Row],[Tech Start Date]]&lt;1/1/1990,"",IF(Main[[#This Row],[Class]]="C",WORKDAY(Main[[#This Row],[Tech Start Date]],28),IF(Main[[#This Row],[Class]]="B", WORKDAY(Main[[#This Row],[Tech Start Date]],19),IF(Main[[#This Row],[Class]]="A",WORKDAY(Main[[#This Row],[Tech Start Date]],9),""))))</f>
        <v/>
      </c>
      <c r="Q371" s="74"/>
      <c r="R371" s="74"/>
      <c r="S371" s="72" t="s">
        <v>6</v>
      </c>
      <c r="T371" s="80" t="s">
        <v>4</v>
      </c>
      <c r="U371" s="72" t="s">
        <v>7</v>
      </c>
      <c r="V371" s="72" t="s">
        <v>1918</v>
      </c>
      <c r="W371" s="72" t="s">
        <v>1919</v>
      </c>
      <c r="X371" s="72" t="s">
        <v>306</v>
      </c>
      <c r="Y371" s="72" t="s">
        <v>4</v>
      </c>
      <c r="Z371" s="72" t="s">
        <v>2214</v>
      </c>
      <c r="AA371" s="146" t="s">
        <v>4</v>
      </c>
    </row>
    <row r="372" spans="1:27" ht="18.600000000000001" customHeight="1">
      <c r="A372" s="139" t="str">
        <f>IF(priority(Main[[#This Row],[Comments]])&lt;&gt;0, priority(Main[[#This Row],[Comments]]),"")</f>
        <v/>
      </c>
      <c r="B372" s="89" t="s">
        <v>2367</v>
      </c>
      <c r="C372" s="72" t="s">
        <v>4</v>
      </c>
      <c r="D372" s="73" t="s">
        <v>2368</v>
      </c>
      <c r="E372" s="74"/>
      <c r="F372" s="74"/>
      <c r="G372" s="75" t="str">
        <f>IF(stdProdLT(Main[[#This Row],[Comments]])=0.1,"N/A",IF(stdProdLT(Main[[#This Row],[Comments]])=0,"",stdProdLT(Main[[#This Row],[Comments]])))</f>
        <v/>
      </c>
      <c r="H372" s="76" t="str">
        <f>IF(AND(Main[[#This Row],[In Stock Date]]&lt;&gt;"",Main[[#This Row],[Revised Due Date]]&lt;&gt;""),Main[[#This Row],[In Stock Date]]-Main[[#This Row],[Revised Due Date]],"")</f>
        <v/>
      </c>
      <c r="I372" s="72" t="s">
        <v>4</v>
      </c>
      <c r="J372" s="72" t="s">
        <v>4</v>
      </c>
      <c r="K372" s="72" t="s">
        <v>4</v>
      </c>
      <c r="L372" s="74"/>
      <c r="M372" s="77" t="str">
        <f>IF(Main[[#This Row],[Tech Start Date]]&lt;1/1/1990,"",IF(Main[[#This Row],[Class]]="C",WORKDAY(Main[[#This Row],[Tech Start Date]],9),IF(Main[[#This Row],[Class]]="B", WORKDAY(Main[[#This Row],[Tech Start Date]],6),IF(Main[[#This Row],[Class]]="A",WORKDAY(Main[[#This Row],[Tech Start Date]],2),""))))</f>
        <v/>
      </c>
      <c r="N372" s="77" t="str">
        <f>IF(Main[[#This Row],[Tech Start Date]]&lt;1/1/1990,"",IF(Main[[#This Row],[Class]]="C",WORKDAY(Main[[#This Row],[Tech Start Date]],19),IF(Main[[#This Row],[Class]]="B", WORKDAY(Main[[#This Row],[Tech Start Date]],12),IF(Main[[#This Row],[Class]]="A",WORKDAY(Main[[#This Row],[Tech Start Date]],4),""))))</f>
        <v/>
      </c>
      <c r="O372" s="77" t="str">
        <f>IF(Main[[#This Row],[Tech Start Date]]&lt;1/1/1990,"",IF(Main[[#This Row],[Class]]="C",WORKDAY(Main[[#This Row],[Tech Start Date]],23),IF(Main[[#This Row],[Class]]="B", WORKDAY(Main[[#This Row],[Tech Start Date]],15),IF(Main[[#This Row],[Class]]="A",WORKDAY(Main[[#This Row],[Tech Start Date]],5),""))))</f>
        <v/>
      </c>
      <c r="P372" s="77" t="str">
        <f>IF(Main[[#This Row],[Tech Start Date]]&lt;1/1/1990,"",IF(Main[[#This Row],[Class]]="C",WORKDAY(Main[[#This Row],[Tech Start Date]],28),IF(Main[[#This Row],[Class]]="B", WORKDAY(Main[[#This Row],[Tech Start Date]],19),IF(Main[[#This Row],[Class]]="A",WORKDAY(Main[[#This Row],[Tech Start Date]],9),""))))</f>
        <v/>
      </c>
      <c r="Q372" s="74"/>
      <c r="R372" s="74"/>
      <c r="S372" s="72" t="s">
        <v>11</v>
      </c>
      <c r="T372" s="80" t="s">
        <v>4</v>
      </c>
      <c r="U372" s="72" t="s">
        <v>14</v>
      </c>
      <c r="V372" s="72" t="s">
        <v>1918</v>
      </c>
      <c r="W372" s="72" t="s">
        <v>4</v>
      </c>
      <c r="X372" s="72" t="s">
        <v>2254</v>
      </c>
      <c r="Y372" s="72" t="s">
        <v>4</v>
      </c>
      <c r="Z372" s="72" t="s">
        <v>4</v>
      </c>
      <c r="AA372" s="146" t="s">
        <v>4</v>
      </c>
    </row>
    <row r="373" spans="1:27" ht="18.600000000000001" customHeight="1">
      <c r="A373" s="139" t="str">
        <f>IF(priority(Main[[#This Row],[Comments]])&lt;&gt;0, priority(Main[[#This Row],[Comments]]),"")</f>
        <v/>
      </c>
      <c r="B373" s="89" t="s">
        <v>3332</v>
      </c>
      <c r="C373" s="72" t="s">
        <v>4</v>
      </c>
      <c r="D373" s="73" t="s">
        <v>3333</v>
      </c>
      <c r="E373" s="74">
        <v>40938.460057870368</v>
      </c>
      <c r="F373" s="74"/>
      <c r="G373" s="75" t="str">
        <f>IF(stdProdLT(Main[[#This Row],[Comments]])=0.1,"N/A",IF(stdProdLT(Main[[#This Row],[Comments]])=0,"",stdProdLT(Main[[#This Row],[Comments]])))</f>
        <v/>
      </c>
      <c r="H373" s="76" t="str">
        <f>IF(AND(Main[[#This Row],[In Stock Date]]&lt;&gt;"",Main[[#This Row],[Revised Due Date]]&lt;&gt;""),Main[[#This Row],[In Stock Date]]-Main[[#This Row],[Revised Due Date]],"")</f>
        <v/>
      </c>
      <c r="I373" s="72" t="s">
        <v>4</v>
      </c>
      <c r="J373" s="72" t="s">
        <v>4</v>
      </c>
      <c r="K373" s="81" t="s">
        <v>4</v>
      </c>
      <c r="L373" s="74"/>
      <c r="M373" s="77" t="str">
        <f>IF(Main[[#This Row],[Tech Start Date]]&lt;1/1/1990,"",IF(Main[[#This Row],[Class]]="C",WORKDAY(Main[[#This Row],[Tech Start Date]],9),IF(Main[[#This Row],[Class]]="B", WORKDAY(Main[[#This Row],[Tech Start Date]],6),IF(Main[[#This Row],[Class]]="A",WORKDAY(Main[[#This Row],[Tech Start Date]],2),""))))</f>
        <v/>
      </c>
      <c r="N373" s="77" t="str">
        <f>IF(Main[[#This Row],[Tech Start Date]]&lt;1/1/1990,"",IF(Main[[#This Row],[Class]]="C",WORKDAY(Main[[#This Row],[Tech Start Date]],19),IF(Main[[#This Row],[Class]]="B", WORKDAY(Main[[#This Row],[Tech Start Date]],12),IF(Main[[#This Row],[Class]]="A",WORKDAY(Main[[#This Row],[Tech Start Date]],4),""))))</f>
        <v/>
      </c>
      <c r="O373" s="77" t="str">
        <f>IF(Main[[#This Row],[Tech Start Date]]&lt;1/1/1990,"",IF(Main[[#This Row],[Class]]="C",WORKDAY(Main[[#This Row],[Tech Start Date]],23),IF(Main[[#This Row],[Class]]="B", WORKDAY(Main[[#This Row],[Tech Start Date]],15),IF(Main[[#This Row],[Class]]="A",WORKDAY(Main[[#This Row],[Tech Start Date]],5),""))))</f>
        <v/>
      </c>
      <c r="P373" s="77" t="str">
        <f>IF(Main[[#This Row],[Tech Start Date]]&lt;1/1/1990,"",IF(Main[[#This Row],[Class]]="C",WORKDAY(Main[[#This Row],[Tech Start Date]],28),IF(Main[[#This Row],[Class]]="B", WORKDAY(Main[[#This Row],[Tech Start Date]],19),IF(Main[[#This Row],[Class]]="A",WORKDAY(Main[[#This Row],[Tech Start Date]],9),""))))</f>
        <v/>
      </c>
      <c r="Q373" s="74"/>
      <c r="R373" s="74"/>
      <c r="S373" s="72" t="s">
        <v>6</v>
      </c>
      <c r="T373" s="80" t="s">
        <v>4</v>
      </c>
      <c r="U373" s="72" t="s">
        <v>7</v>
      </c>
      <c r="V373" s="72" t="s">
        <v>1932</v>
      </c>
      <c r="W373" s="72" t="s">
        <v>1921</v>
      </c>
      <c r="X373" s="72" t="s">
        <v>924</v>
      </c>
      <c r="Y373" s="72" t="s">
        <v>2988</v>
      </c>
      <c r="Z373" s="72" t="s">
        <v>4</v>
      </c>
      <c r="AA373" s="146" t="s">
        <v>924</v>
      </c>
    </row>
    <row r="374" spans="1:27" ht="18.600000000000001" customHeight="1">
      <c r="A374" s="139" t="str">
        <f>IF(priority(Main[[#This Row],[Comments]])&lt;&gt;0, priority(Main[[#This Row],[Comments]]),"")</f>
        <v/>
      </c>
      <c r="B374" s="89" t="s">
        <v>1839</v>
      </c>
      <c r="C374" s="72" t="s">
        <v>893</v>
      </c>
      <c r="D374" s="73" t="s">
        <v>894</v>
      </c>
      <c r="E374" s="74"/>
      <c r="F374" s="74"/>
      <c r="G374" s="75" t="str">
        <f>IF(stdProdLT(Main[[#This Row],[Comments]])=0.1,"N/A",IF(stdProdLT(Main[[#This Row],[Comments]])=0,"",stdProdLT(Main[[#This Row],[Comments]])))</f>
        <v/>
      </c>
      <c r="H374" s="76" t="str">
        <f>IF(AND(Main[[#This Row],[In Stock Date]]&lt;&gt;"",Main[[#This Row],[Revised Due Date]]&lt;&gt;""),Main[[#This Row],[In Stock Date]]-Main[[#This Row],[Revised Due Date]],"")</f>
        <v/>
      </c>
      <c r="I374" s="72" t="s">
        <v>4</v>
      </c>
      <c r="J374" s="72" t="s">
        <v>4</v>
      </c>
      <c r="K374" s="72" t="s">
        <v>1930</v>
      </c>
      <c r="L374" s="74"/>
      <c r="M374" s="77" t="str">
        <f>IF(Main[[#This Row],[Tech Start Date]]&lt;1/1/1990,"",IF(Main[[#This Row],[Class]]="C",WORKDAY(Main[[#This Row],[Tech Start Date]],9),IF(Main[[#This Row],[Class]]="B", WORKDAY(Main[[#This Row],[Tech Start Date]],6),IF(Main[[#This Row],[Class]]="A",WORKDAY(Main[[#This Row],[Tech Start Date]],2),""))))</f>
        <v/>
      </c>
      <c r="N374" s="77" t="str">
        <f>IF(Main[[#This Row],[Tech Start Date]]&lt;1/1/1990,"",IF(Main[[#This Row],[Class]]="C",WORKDAY(Main[[#This Row],[Tech Start Date]],19),IF(Main[[#This Row],[Class]]="B", WORKDAY(Main[[#This Row],[Tech Start Date]],12),IF(Main[[#This Row],[Class]]="A",WORKDAY(Main[[#This Row],[Tech Start Date]],4),""))))</f>
        <v/>
      </c>
      <c r="O374" s="77" t="str">
        <f>IF(Main[[#This Row],[Tech Start Date]]&lt;1/1/1990,"",IF(Main[[#This Row],[Class]]="C",WORKDAY(Main[[#This Row],[Tech Start Date]],23),IF(Main[[#This Row],[Class]]="B", WORKDAY(Main[[#This Row],[Tech Start Date]],15),IF(Main[[#This Row],[Class]]="A",WORKDAY(Main[[#This Row],[Tech Start Date]],5),""))))</f>
        <v/>
      </c>
      <c r="P374" s="77" t="str">
        <f>IF(Main[[#This Row],[Tech Start Date]]&lt;1/1/1990,"",IF(Main[[#This Row],[Class]]="C",WORKDAY(Main[[#This Row],[Tech Start Date]],28),IF(Main[[#This Row],[Class]]="B", WORKDAY(Main[[#This Row],[Tech Start Date]],19),IF(Main[[#This Row],[Class]]="A",WORKDAY(Main[[#This Row],[Tech Start Date]],9),""))))</f>
        <v/>
      </c>
      <c r="Q374" s="74">
        <v>40436</v>
      </c>
      <c r="R374" s="74">
        <v>40436</v>
      </c>
      <c r="S374" s="72" t="s">
        <v>11</v>
      </c>
      <c r="T374" s="80" t="s">
        <v>4</v>
      </c>
      <c r="U374" s="72" t="s">
        <v>14</v>
      </c>
      <c r="V374" s="72" t="s">
        <v>1918</v>
      </c>
      <c r="W374" s="72" t="s">
        <v>1919</v>
      </c>
      <c r="X374" s="72" t="s">
        <v>2860</v>
      </c>
      <c r="Y374" s="72" t="s">
        <v>4</v>
      </c>
      <c r="Z374" s="72" t="s">
        <v>4</v>
      </c>
      <c r="AA374" s="146" t="s">
        <v>2860</v>
      </c>
    </row>
    <row r="375" spans="1:27" ht="18.600000000000001" customHeight="1">
      <c r="A375" s="139" t="str">
        <f>IF(priority(Main[[#This Row],[Comments]])&lt;&gt;0, priority(Main[[#This Row],[Comments]]),"")</f>
        <v/>
      </c>
      <c r="B375" s="89" t="s">
        <v>1232</v>
      </c>
      <c r="C375" s="72" t="s">
        <v>113</v>
      </c>
      <c r="D375" s="73" t="s">
        <v>292</v>
      </c>
      <c r="E375" s="74"/>
      <c r="F375" s="74">
        <v>40193</v>
      </c>
      <c r="G375" s="75" t="str">
        <f>IF(stdProdLT(Main[[#This Row],[Comments]])=0.1,"N/A",IF(stdProdLT(Main[[#This Row],[Comments]])=0,"",stdProdLT(Main[[#This Row],[Comments]])))</f>
        <v/>
      </c>
      <c r="H375" s="76" t="str">
        <f>IF(AND(Main[[#This Row],[In Stock Date]]&lt;&gt;"",Main[[#This Row],[Revised Due Date]]&lt;&gt;""),Main[[#This Row],[In Stock Date]]-Main[[#This Row],[Revised Due Date]],"")</f>
        <v/>
      </c>
      <c r="I375" s="72" t="s">
        <v>4</v>
      </c>
      <c r="J375" s="72" t="s">
        <v>4</v>
      </c>
      <c r="K375" s="72" t="s">
        <v>4</v>
      </c>
      <c r="L375" s="74"/>
      <c r="M375" s="77" t="str">
        <f>IF(Main[[#This Row],[Tech Start Date]]&lt;1/1/1990,"",IF(Main[[#This Row],[Class]]="C",WORKDAY(Main[[#This Row],[Tech Start Date]],9),IF(Main[[#This Row],[Class]]="B", WORKDAY(Main[[#This Row],[Tech Start Date]],6),IF(Main[[#This Row],[Class]]="A",WORKDAY(Main[[#This Row],[Tech Start Date]],2),""))))</f>
        <v/>
      </c>
      <c r="N375" s="77" t="str">
        <f>IF(Main[[#This Row],[Tech Start Date]]&lt;1/1/1990,"",IF(Main[[#This Row],[Class]]="C",WORKDAY(Main[[#This Row],[Tech Start Date]],19),IF(Main[[#This Row],[Class]]="B", WORKDAY(Main[[#This Row],[Tech Start Date]],12),IF(Main[[#This Row],[Class]]="A",WORKDAY(Main[[#This Row],[Tech Start Date]],4),""))))</f>
        <v/>
      </c>
      <c r="O375" s="77" t="str">
        <f>IF(Main[[#This Row],[Tech Start Date]]&lt;1/1/1990,"",IF(Main[[#This Row],[Class]]="C",WORKDAY(Main[[#This Row],[Tech Start Date]],23),IF(Main[[#This Row],[Class]]="B", WORKDAY(Main[[#This Row],[Tech Start Date]],15),IF(Main[[#This Row],[Class]]="A",WORKDAY(Main[[#This Row],[Tech Start Date]],5),""))))</f>
        <v/>
      </c>
      <c r="P375" s="77" t="str">
        <f>IF(Main[[#This Row],[Tech Start Date]]&lt;1/1/1990,"",IF(Main[[#This Row],[Class]]="C",WORKDAY(Main[[#This Row],[Tech Start Date]],28),IF(Main[[#This Row],[Class]]="B", WORKDAY(Main[[#This Row],[Tech Start Date]],19),IF(Main[[#This Row],[Class]]="A",WORKDAY(Main[[#This Row],[Tech Start Date]],9),""))))</f>
        <v/>
      </c>
      <c r="Q375" s="74"/>
      <c r="R375" s="74"/>
      <c r="S375" s="72" t="s">
        <v>11</v>
      </c>
      <c r="T375" s="80" t="s">
        <v>4</v>
      </c>
      <c r="U375" s="72" t="s">
        <v>14</v>
      </c>
      <c r="V375" s="72" t="s">
        <v>1927</v>
      </c>
      <c r="W375" s="72" t="s">
        <v>1923</v>
      </c>
      <c r="X375" s="72" t="s">
        <v>2850</v>
      </c>
      <c r="Y375" s="72" t="s">
        <v>2983</v>
      </c>
      <c r="Z375" s="72" t="s">
        <v>4</v>
      </c>
      <c r="AA375" s="146" t="s">
        <v>2850</v>
      </c>
    </row>
    <row r="376" spans="1:27" ht="18.600000000000001" customHeight="1">
      <c r="A376" s="139" t="str">
        <f>IF(priority(Main[[#This Row],[Comments]])&lt;&gt;0, priority(Main[[#This Row],[Comments]]),"")</f>
        <v/>
      </c>
      <c r="B376" s="89" t="s">
        <v>1233</v>
      </c>
      <c r="C376" s="72" t="s">
        <v>4</v>
      </c>
      <c r="D376" s="73" t="s">
        <v>293</v>
      </c>
      <c r="E376" s="74"/>
      <c r="F376" s="74"/>
      <c r="G376" s="75" t="str">
        <f>IF(stdProdLT(Main[[#This Row],[Comments]])=0.1,"N/A",IF(stdProdLT(Main[[#This Row],[Comments]])=0,"",stdProdLT(Main[[#This Row],[Comments]])))</f>
        <v/>
      </c>
      <c r="H376" s="76" t="str">
        <f>IF(AND(Main[[#This Row],[In Stock Date]]&lt;&gt;"",Main[[#This Row],[Revised Due Date]]&lt;&gt;""),Main[[#This Row],[In Stock Date]]-Main[[#This Row],[Revised Due Date]],"")</f>
        <v/>
      </c>
      <c r="I376" s="72" t="s">
        <v>4</v>
      </c>
      <c r="J376" s="72" t="s">
        <v>28</v>
      </c>
      <c r="K376" s="72" t="s">
        <v>4</v>
      </c>
      <c r="L376" s="74"/>
      <c r="M376" s="77" t="str">
        <f>IF(Main[[#This Row],[Tech Start Date]]&lt;1/1/1990,"",IF(Main[[#This Row],[Class]]="C",WORKDAY(Main[[#This Row],[Tech Start Date]],9),IF(Main[[#This Row],[Class]]="B", WORKDAY(Main[[#This Row],[Tech Start Date]],6),IF(Main[[#This Row],[Class]]="A",WORKDAY(Main[[#This Row],[Tech Start Date]],2),""))))</f>
        <v/>
      </c>
      <c r="N376" s="77" t="str">
        <f>IF(Main[[#This Row],[Tech Start Date]]&lt;1/1/1990,"",IF(Main[[#This Row],[Class]]="C",WORKDAY(Main[[#This Row],[Tech Start Date]],19),IF(Main[[#This Row],[Class]]="B", WORKDAY(Main[[#This Row],[Tech Start Date]],12),IF(Main[[#This Row],[Class]]="A",WORKDAY(Main[[#This Row],[Tech Start Date]],4),""))))</f>
        <v/>
      </c>
      <c r="O376" s="77" t="str">
        <f>IF(Main[[#This Row],[Tech Start Date]]&lt;1/1/1990,"",IF(Main[[#This Row],[Class]]="C",WORKDAY(Main[[#This Row],[Tech Start Date]],23),IF(Main[[#This Row],[Class]]="B", WORKDAY(Main[[#This Row],[Tech Start Date]],15),IF(Main[[#This Row],[Class]]="A",WORKDAY(Main[[#This Row],[Tech Start Date]],5),""))))</f>
        <v/>
      </c>
      <c r="P376" s="77" t="str">
        <f>IF(Main[[#This Row],[Tech Start Date]]&lt;1/1/1990,"",IF(Main[[#This Row],[Class]]="C",WORKDAY(Main[[#This Row],[Tech Start Date]],28),IF(Main[[#This Row],[Class]]="B", WORKDAY(Main[[#This Row],[Tech Start Date]],19),IF(Main[[#This Row],[Class]]="A",WORKDAY(Main[[#This Row],[Tech Start Date]],9),""))))</f>
        <v/>
      </c>
      <c r="Q376" s="74">
        <v>40471</v>
      </c>
      <c r="R376" s="74"/>
      <c r="S376" s="72" t="s">
        <v>6</v>
      </c>
      <c r="T376" s="80" t="s">
        <v>4</v>
      </c>
      <c r="U376" s="72" t="s">
        <v>14</v>
      </c>
      <c r="V376" s="72" t="s">
        <v>1927</v>
      </c>
      <c r="W376" s="72" t="s">
        <v>1919</v>
      </c>
      <c r="X376" s="72" t="s">
        <v>2853</v>
      </c>
      <c r="Y376" s="72" t="s">
        <v>2984</v>
      </c>
      <c r="Z376" s="72" t="s">
        <v>530</v>
      </c>
      <c r="AA376" s="146" t="s">
        <v>2853</v>
      </c>
    </row>
    <row r="377" spans="1:27" ht="18.600000000000001" customHeight="1">
      <c r="A377" s="139" t="str">
        <f>IF(priority(Main[[#This Row],[Comments]])&lt;&gt;0, priority(Main[[#This Row],[Comments]]),"")</f>
        <v/>
      </c>
      <c r="B377" s="89" t="s">
        <v>1234</v>
      </c>
      <c r="C377" s="72" t="s">
        <v>4</v>
      </c>
      <c r="D377" s="73" t="s">
        <v>97</v>
      </c>
      <c r="E377" s="74"/>
      <c r="F377" s="74"/>
      <c r="G377" s="75" t="str">
        <f>IF(stdProdLT(Main[[#This Row],[Comments]])=0.1,"N/A",IF(stdProdLT(Main[[#This Row],[Comments]])=0,"",stdProdLT(Main[[#This Row],[Comments]])))</f>
        <v/>
      </c>
      <c r="H377" s="76" t="str">
        <f>IF(AND(Main[[#This Row],[In Stock Date]]&lt;&gt;"",Main[[#This Row],[Revised Due Date]]&lt;&gt;""),Main[[#This Row],[In Stock Date]]-Main[[#This Row],[Revised Due Date]],"")</f>
        <v/>
      </c>
      <c r="I377" s="72" t="s">
        <v>4</v>
      </c>
      <c r="J377" s="72" t="s">
        <v>4</v>
      </c>
      <c r="K377" s="72" t="s">
        <v>4</v>
      </c>
      <c r="L377" s="74"/>
      <c r="M377" s="77" t="str">
        <f>IF(Main[[#This Row],[Tech Start Date]]&lt;1/1/1990,"",IF(Main[[#This Row],[Class]]="C",WORKDAY(Main[[#This Row],[Tech Start Date]],9),IF(Main[[#This Row],[Class]]="B", WORKDAY(Main[[#This Row],[Tech Start Date]],6),IF(Main[[#This Row],[Class]]="A",WORKDAY(Main[[#This Row],[Tech Start Date]],2),""))))</f>
        <v/>
      </c>
      <c r="N377" s="77" t="str">
        <f>IF(Main[[#This Row],[Tech Start Date]]&lt;1/1/1990,"",IF(Main[[#This Row],[Class]]="C",WORKDAY(Main[[#This Row],[Tech Start Date]],19),IF(Main[[#This Row],[Class]]="B", WORKDAY(Main[[#This Row],[Tech Start Date]],12),IF(Main[[#This Row],[Class]]="A",WORKDAY(Main[[#This Row],[Tech Start Date]],4),""))))</f>
        <v/>
      </c>
      <c r="O377" s="77" t="str">
        <f>IF(Main[[#This Row],[Tech Start Date]]&lt;1/1/1990,"",IF(Main[[#This Row],[Class]]="C",WORKDAY(Main[[#This Row],[Tech Start Date]],23),IF(Main[[#This Row],[Class]]="B", WORKDAY(Main[[#This Row],[Tech Start Date]],15),IF(Main[[#This Row],[Class]]="A",WORKDAY(Main[[#This Row],[Tech Start Date]],5),""))))</f>
        <v/>
      </c>
      <c r="P377" s="77" t="str">
        <f>IF(Main[[#This Row],[Tech Start Date]]&lt;1/1/1990,"",IF(Main[[#This Row],[Class]]="C",WORKDAY(Main[[#This Row],[Tech Start Date]],28),IF(Main[[#This Row],[Class]]="B", WORKDAY(Main[[#This Row],[Tech Start Date]],19),IF(Main[[#This Row],[Class]]="A",WORKDAY(Main[[#This Row],[Tech Start Date]],9),""))))</f>
        <v/>
      </c>
      <c r="Q377" s="74">
        <v>40858</v>
      </c>
      <c r="R377" s="74"/>
      <c r="S377" s="72" t="s">
        <v>17</v>
      </c>
      <c r="T377" s="80" t="s">
        <v>4</v>
      </c>
      <c r="U377" s="72" t="s">
        <v>14</v>
      </c>
      <c r="V377" s="72" t="s">
        <v>1917</v>
      </c>
      <c r="W377" s="72" t="s">
        <v>1922</v>
      </c>
      <c r="X377" s="72" t="s">
        <v>50</v>
      </c>
      <c r="Y377" s="72" t="s">
        <v>2965</v>
      </c>
      <c r="Z377" s="72" t="s">
        <v>4</v>
      </c>
      <c r="AA377" s="146" t="s">
        <v>2834</v>
      </c>
    </row>
    <row r="378" spans="1:27" ht="18.600000000000001" customHeight="1">
      <c r="A378" s="139" t="str">
        <f>IF(priority(Main[[#This Row],[Comments]])&lt;&gt;0, priority(Main[[#This Row],[Comments]]),"")</f>
        <v/>
      </c>
      <c r="B378" s="89" t="s">
        <v>1236</v>
      </c>
      <c r="C378" s="72" t="s">
        <v>4</v>
      </c>
      <c r="D378" s="73" t="s">
        <v>295</v>
      </c>
      <c r="E378" s="74"/>
      <c r="F378" s="74"/>
      <c r="G378" s="75" t="str">
        <f>IF(stdProdLT(Main[[#This Row],[Comments]])=0.1,"N/A",IF(stdProdLT(Main[[#This Row],[Comments]])=0,"",stdProdLT(Main[[#This Row],[Comments]])))</f>
        <v/>
      </c>
      <c r="H378" s="76" t="str">
        <f>IF(AND(Main[[#This Row],[In Stock Date]]&lt;&gt;"",Main[[#This Row],[Revised Due Date]]&lt;&gt;""),Main[[#This Row],[In Stock Date]]-Main[[#This Row],[Revised Due Date]],"")</f>
        <v/>
      </c>
      <c r="I378" s="72" t="s">
        <v>4</v>
      </c>
      <c r="J378" s="72" t="s">
        <v>28</v>
      </c>
      <c r="K378" s="81" t="s">
        <v>4</v>
      </c>
      <c r="L378" s="74"/>
      <c r="M378" s="77" t="str">
        <f>IF(Main[[#This Row],[Tech Start Date]]&lt;1/1/1990,"",IF(Main[[#This Row],[Class]]="C",WORKDAY(Main[[#This Row],[Tech Start Date]],9),IF(Main[[#This Row],[Class]]="B", WORKDAY(Main[[#This Row],[Tech Start Date]],6),IF(Main[[#This Row],[Class]]="A",WORKDAY(Main[[#This Row],[Tech Start Date]],2),""))))</f>
        <v/>
      </c>
      <c r="N378" s="77" t="str">
        <f>IF(Main[[#This Row],[Tech Start Date]]&lt;1/1/1990,"",IF(Main[[#This Row],[Class]]="C",WORKDAY(Main[[#This Row],[Tech Start Date]],19),IF(Main[[#This Row],[Class]]="B", WORKDAY(Main[[#This Row],[Tech Start Date]],12),IF(Main[[#This Row],[Class]]="A",WORKDAY(Main[[#This Row],[Tech Start Date]],4),""))))</f>
        <v/>
      </c>
      <c r="O378" s="77" t="str">
        <f>IF(Main[[#This Row],[Tech Start Date]]&lt;1/1/1990,"",IF(Main[[#This Row],[Class]]="C",WORKDAY(Main[[#This Row],[Tech Start Date]],23),IF(Main[[#This Row],[Class]]="B", WORKDAY(Main[[#This Row],[Tech Start Date]],15),IF(Main[[#This Row],[Class]]="A",WORKDAY(Main[[#This Row],[Tech Start Date]],5),""))))</f>
        <v/>
      </c>
      <c r="P378" s="77" t="str">
        <f>IF(Main[[#This Row],[Tech Start Date]]&lt;1/1/1990,"",IF(Main[[#This Row],[Class]]="C",WORKDAY(Main[[#This Row],[Tech Start Date]],28),IF(Main[[#This Row],[Class]]="B", WORKDAY(Main[[#This Row],[Tech Start Date]],19),IF(Main[[#This Row],[Class]]="A",WORKDAY(Main[[#This Row],[Tech Start Date]],9),""))))</f>
        <v/>
      </c>
      <c r="Q378" s="74">
        <v>40471</v>
      </c>
      <c r="R378" s="74"/>
      <c r="S378" s="72" t="s">
        <v>296</v>
      </c>
      <c r="T378" s="80" t="s">
        <v>4</v>
      </c>
      <c r="U378" s="72" t="s">
        <v>14</v>
      </c>
      <c r="V378" s="72" t="s">
        <v>1927</v>
      </c>
      <c r="W378" s="72" t="s">
        <v>1919</v>
      </c>
      <c r="X378" s="72" t="s">
        <v>2853</v>
      </c>
      <c r="Y378" s="72" t="s">
        <v>2984</v>
      </c>
      <c r="Z378" s="72" t="s">
        <v>530</v>
      </c>
      <c r="AA378" s="146" t="s">
        <v>2853</v>
      </c>
    </row>
    <row r="379" spans="1:27" ht="18.600000000000001" customHeight="1">
      <c r="A379" s="139" t="str">
        <f>IF(priority(Main[[#This Row],[Comments]])&lt;&gt;0, priority(Main[[#This Row],[Comments]]),"")</f>
        <v/>
      </c>
      <c r="B379" s="89" t="s">
        <v>1237</v>
      </c>
      <c r="C379" s="72" t="s">
        <v>93</v>
      </c>
      <c r="D379" s="73" t="s">
        <v>297</v>
      </c>
      <c r="E379" s="74"/>
      <c r="F379" s="74">
        <v>40210</v>
      </c>
      <c r="G379" s="75" t="str">
        <f>IF(stdProdLT(Main[[#This Row],[Comments]])=0.1,"N/A",IF(stdProdLT(Main[[#This Row],[Comments]])=0,"",stdProdLT(Main[[#This Row],[Comments]])))</f>
        <v/>
      </c>
      <c r="H379" s="76" t="str">
        <f>IF(AND(Main[[#This Row],[In Stock Date]]&lt;&gt;"",Main[[#This Row],[Revised Due Date]]&lt;&gt;""),Main[[#This Row],[In Stock Date]]-Main[[#This Row],[Revised Due Date]],"")</f>
        <v/>
      </c>
      <c r="I379" s="72" t="s">
        <v>4</v>
      </c>
      <c r="J379" s="72" t="s">
        <v>4</v>
      </c>
      <c r="K379" s="72" t="s">
        <v>4</v>
      </c>
      <c r="L379" s="74"/>
      <c r="M379" s="77" t="str">
        <f>IF(Main[[#This Row],[Tech Start Date]]&lt;1/1/1990,"",IF(Main[[#This Row],[Class]]="C",WORKDAY(Main[[#This Row],[Tech Start Date]],9),IF(Main[[#This Row],[Class]]="B", WORKDAY(Main[[#This Row],[Tech Start Date]],6),IF(Main[[#This Row],[Class]]="A",WORKDAY(Main[[#This Row],[Tech Start Date]],2),""))))</f>
        <v/>
      </c>
      <c r="N379" s="77" t="str">
        <f>IF(Main[[#This Row],[Tech Start Date]]&lt;1/1/1990,"",IF(Main[[#This Row],[Class]]="C",WORKDAY(Main[[#This Row],[Tech Start Date]],19),IF(Main[[#This Row],[Class]]="B", WORKDAY(Main[[#This Row],[Tech Start Date]],12),IF(Main[[#This Row],[Class]]="A",WORKDAY(Main[[#This Row],[Tech Start Date]],4),""))))</f>
        <v/>
      </c>
      <c r="O379" s="77" t="str">
        <f>IF(Main[[#This Row],[Tech Start Date]]&lt;1/1/1990,"",IF(Main[[#This Row],[Class]]="C",WORKDAY(Main[[#This Row],[Tech Start Date]],23),IF(Main[[#This Row],[Class]]="B", WORKDAY(Main[[#This Row],[Tech Start Date]],15),IF(Main[[#This Row],[Class]]="A",WORKDAY(Main[[#This Row],[Tech Start Date]],5),""))))</f>
        <v/>
      </c>
      <c r="P379" s="77" t="str">
        <f>IF(Main[[#This Row],[Tech Start Date]]&lt;1/1/1990,"",IF(Main[[#This Row],[Class]]="C",WORKDAY(Main[[#This Row],[Tech Start Date]],28),IF(Main[[#This Row],[Class]]="B", WORKDAY(Main[[#This Row],[Tech Start Date]],19),IF(Main[[#This Row],[Class]]="A",WORKDAY(Main[[#This Row],[Tech Start Date]],9),""))))</f>
        <v/>
      </c>
      <c r="Q379" s="74">
        <v>40145</v>
      </c>
      <c r="R379" s="74"/>
      <c r="S379" s="72" t="s">
        <v>11</v>
      </c>
      <c r="T379" s="80" t="s">
        <v>4</v>
      </c>
      <c r="U379" s="72" t="s">
        <v>14</v>
      </c>
      <c r="V379" s="72" t="s">
        <v>1917</v>
      </c>
      <c r="W379" s="72" t="s">
        <v>1923</v>
      </c>
      <c r="X379" s="72" t="s">
        <v>2877</v>
      </c>
      <c r="Y379" s="72" t="s">
        <v>4</v>
      </c>
      <c r="Z379" s="72" t="s">
        <v>4</v>
      </c>
      <c r="AA379" s="146" t="s">
        <v>2877</v>
      </c>
    </row>
    <row r="380" spans="1:27" ht="18.600000000000001" customHeight="1">
      <c r="A380" s="139" t="str">
        <f>IF(priority(Main[[#This Row],[Comments]])&lt;&gt;0, priority(Main[[#This Row],[Comments]]),"")</f>
        <v/>
      </c>
      <c r="B380" s="89" t="s">
        <v>1238</v>
      </c>
      <c r="C380" s="72" t="s">
        <v>63</v>
      </c>
      <c r="D380" s="73" t="s">
        <v>298</v>
      </c>
      <c r="E380" s="74"/>
      <c r="F380" s="74">
        <v>40513</v>
      </c>
      <c r="G380" s="75" t="str">
        <f>IF(stdProdLT(Main[[#This Row],[Comments]])=0.1,"N/A",IF(stdProdLT(Main[[#This Row],[Comments]])=0,"",stdProdLT(Main[[#This Row],[Comments]])))</f>
        <v/>
      </c>
      <c r="H380" s="76" t="str">
        <f>IF(AND(Main[[#This Row],[In Stock Date]]&lt;&gt;"",Main[[#This Row],[Revised Due Date]]&lt;&gt;""),Main[[#This Row],[In Stock Date]]-Main[[#This Row],[Revised Due Date]],"")</f>
        <v/>
      </c>
      <c r="I380" s="72" t="s">
        <v>65</v>
      </c>
      <c r="J380" s="72" t="s">
        <v>28</v>
      </c>
      <c r="K380" s="72" t="s">
        <v>4</v>
      </c>
      <c r="L380" s="74"/>
      <c r="M380" s="77" t="str">
        <f>IF(Main[[#This Row],[Tech Start Date]]&lt;1/1/1990,"",IF(Main[[#This Row],[Class]]="C",WORKDAY(Main[[#This Row],[Tech Start Date]],9),IF(Main[[#This Row],[Class]]="B", WORKDAY(Main[[#This Row],[Tech Start Date]],6),IF(Main[[#This Row],[Class]]="A",WORKDAY(Main[[#This Row],[Tech Start Date]],2),""))))</f>
        <v/>
      </c>
      <c r="N380" s="77" t="str">
        <f>IF(Main[[#This Row],[Tech Start Date]]&lt;1/1/1990,"",IF(Main[[#This Row],[Class]]="C",WORKDAY(Main[[#This Row],[Tech Start Date]],19),IF(Main[[#This Row],[Class]]="B", WORKDAY(Main[[#This Row],[Tech Start Date]],12),IF(Main[[#This Row],[Class]]="A",WORKDAY(Main[[#This Row],[Tech Start Date]],4),""))))</f>
        <v/>
      </c>
      <c r="O380" s="77" t="str">
        <f>IF(Main[[#This Row],[Tech Start Date]]&lt;1/1/1990,"",IF(Main[[#This Row],[Class]]="C",WORKDAY(Main[[#This Row],[Tech Start Date]],23),IF(Main[[#This Row],[Class]]="B", WORKDAY(Main[[#This Row],[Tech Start Date]],15),IF(Main[[#This Row],[Class]]="A",WORKDAY(Main[[#This Row],[Tech Start Date]],5),""))))</f>
        <v/>
      </c>
      <c r="P380" s="77" t="str">
        <f>IF(Main[[#This Row],[Tech Start Date]]&lt;1/1/1990,"",IF(Main[[#This Row],[Class]]="C",WORKDAY(Main[[#This Row],[Tech Start Date]],28),IF(Main[[#This Row],[Class]]="B", WORKDAY(Main[[#This Row],[Tech Start Date]],19),IF(Main[[#This Row],[Class]]="A",WORKDAY(Main[[#This Row],[Tech Start Date]],9),""))))</f>
        <v/>
      </c>
      <c r="Q380" s="74">
        <v>40513</v>
      </c>
      <c r="R380" s="74"/>
      <c r="S380" s="72" t="s">
        <v>11</v>
      </c>
      <c r="T380" s="80" t="s">
        <v>4</v>
      </c>
      <c r="U380" s="72" t="s">
        <v>14</v>
      </c>
      <c r="V380" s="72" t="s">
        <v>1920</v>
      </c>
      <c r="W380" s="72" t="s">
        <v>1925</v>
      </c>
      <c r="X380" s="72" t="s">
        <v>2821</v>
      </c>
      <c r="Y380" s="72" t="s">
        <v>2933</v>
      </c>
      <c r="Z380" s="72" t="s">
        <v>530</v>
      </c>
      <c r="AA380" s="146" t="s">
        <v>2821</v>
      </c>
    </row>
    <row r="381" spans="1:27" ht="18.600000000000001" customHeight="1">
      <c r="A381" s="139" t="str">
        <f>IF(priority(Main[[#This Row],[Comments]])&lt;&gt;0, priority(Main[[#This Row],[Comments]]),"")</f>
        <v/>
      </c>
      <c r="B381" s="89" t="s">
        <v>1239</v>
      </c>
      <c r="C381" s="72" t="s">
        <v>4</v>
      </c>
      <c r="D381" s="73" t="s">
        <v>300</v>
      </c>
      <c r="E381" s="74"/>
      <c r="F381" s="74"/>
      <c r="G381" s="75" t="str">
        <f>IF(stdProdLT(Main[[#This Row],[Comments]])=0.1,"N/A",IF(stdProdLT(Main[[#This Row],[Comments]])=0,"",stdProdLT(Main[[#This Row],[Comments]])))</f>
        <v/>
      </c>
      <c r="H381" s="76" t="str">
        <f>IF(AND(Main[[#This Row],[In Stock Date]]&lt;&gt;"",Main[[#This Row],[Revised Due Date]]&lt;&gt;""),Main[[#This Row],[In Stock Date]]-Main[[#This Row],[Revised Due Date]],"")</f>
        <v/>
      </c>
      <c r="I381" s="72" t="s">
        <v>4</v>
      </c>
      <c r="J381" s="72" t="s">
        <v>28</v>
      </c>
      <c r="K381" s="72" t="s">
        <v>1926</v>
      </c>
      <c r="L381" s="74"/>
      <c r="M381" s="77" t="str">
        <f>IF(Main[[#This Row],[Tech Start Date]]&lt;1/1/1990,"",IF(Main[[#This Row],[Class]]="C",WORKDAY(Main[[#This Row],[Tech Start Date]],9),IF(Main[[#This Row],[Class]]="B", WORKDAY(Main[[#This Row],[Tech Start Date]],6),IF(Main[[#This Row],[Class]]="A",WORKDAY(Main[[#This Row],[Tech Start Date]],2),""))))</f>
        <v/>
      </c>
      <c r="N381" s="77" t="str">
        <f>IF(Main[[#This Row],[Tech Start Date]]&lt;1/1/1990,"",IF(Main[[#This Row],[Class]]="C",WORKDAY(Main[[#This Row],[Tech Start Date]],19),IF(Main[[#This Row],[Class]]="B", WORKDAY(Main[[#This Row],[Tech Start Date]],12),IF(Main[[#This Row],[Class]]="A",WORKDAY(Main[[#This Row],[Tech Start Date]],4),""))))</f>
        <v/>
      </c>
      <c r="O381" s="77" t="str">
        <f>IF(Main[[#This Row],[Tech Start Date]]&lt;1/1/1990,"",IF(Main[[#This Row],[Class]]="C",WORKDAY(Main[[#This Row],[Tech Start Date]],23),IF(Main[[#This Row],[Class]]="B", WORKDAY(Main[[#This Row],[Tech Start Date]],15),IF(Main[[#This Row],[Class]]="A",WORKDAY(Main[[#This Row],[Tech Start Date]],5),""))))</f>
        <v/>
      </c>
      <c r="P381" s="77" t="str">
        <f>IF(Main[[#This Row],[Tech Start Date]]&lt;1/1/1990,"",IF(Main[[#This Row],[Class]]="C",WORKDAY(Main[[#This Row],[Tech Start Date]],28),IF(Main[[#This Row],[Class]]="B", WORKDAY(Main[[#This Row],[Tech Start Date]],19),IF(Main[[#This Row],[Class]]="A",WORKDAY(Main[[#This Row],[Tech Start Date]],9),""))))</f>
        <v/>
      </c>
      <c r="Q381" s="74">
        <v>40661</v>
      </c>
      <c r="R381" s="74"/>
      <c r="S381" s="72" t="s">
        <v>6</v>
      </c>
      <c r="T381" s="80" t="s">
        <v>4</v>
      </c>
      <c r="U381" s="72" t="s">
        <v>14</v>
      </c>
      <c r="V381" s="72" t="s">
        <v>1920</v>
      </c>
      <c r="W381" s="72" t="s">
        <v>1921</v>
      </c>
      <c r="X381" s="72" t="s">
        <v>2828</v>
      </c>
      <c r="Y381" s="72" t="s">
        <v>2944</v>
      </c>
      <c r="Z381" s="72" t="s">
        <v>530</v>
      </c>
      <c r="AA381" s="146" t="s">
        <v>2828</v>
      </c>
    </row>
    <row r="382" spans="1:27" ht="18.600000000000001" customHeight="1">
      <c r="A382" s="139" t="str">
        <f>IF(priority(Main[[#This Row],[Comments]])&lt;&gt;0, priority(Main[[#This Row],[Comments]]),"")</f>
        <v/>
      </c>
      <c r="B382" s="89" t="s">
        <v>1240</v>
      </c>
      <c r="C382" s="72" t="s">
        <v>4</v>
      </c>
      <c r="D382" s="73" t="s">
        <v>301</v>
      </c>
      <c r="E382" s="74"/>
      <c r="F382" s="74"/>
      <c r="G382" s="75" t="str">
        <f>IF(stdProdLT(Main[[#This Row],[Comments]])=0.1,"N/A",IF(stdProdLT(Main[[#This Row],[Comments]])=0,"",stdProdLT(Main[[#This Row],[Comments]])))</f>
        <v/>
      </c>
      <c r="H382" s="76" t="str">
        <f>IF(AND(Main[[#This Row],[In Stock Date]]&lt;&gt;"",Main[[#This Row],[Revised Due Date]]&lt;&gt;""),Main[[#This Row],[In Stock Date]]-Main[[#This Row],[Revised Due Date]],"")</f>
        <v/>
      </c>
      <c r="I382" s="72" t="s">
        <v>4</v>
      </c>
      <c r="J382" s="72" t="s">
        <v>4</v>
      </c>
      <c r="K382" s="72" t="s">
        <v>4</v>
      </c>
      <c r="L382" s="74"/>
      <c r="M382" s="77" t="str">
        <f>IF(Main[[#This Row],[Tech Start Date]]&lt;1/1/1990,"",IF(Main[[#This Row],[Class]]="C",WORKDAY(Main[[#This Row],[Tech Start Date]],9),IF(Main[[#This Row],[Class]]="B", WORKDAY(Main[[#This Row],[Tech Start Date]],6),IF(Main[[#This Row],[Class]]="A",WORKDAY(Main[[#This Row],[Tech Start Date]],2),""))))</f>
        <v/>
      </c>
      <c r="N382" s="77" t="str">
        <f>IF(Main[[#This Row],[Tech Start Date]]&lt;1/1/1990,"",IF(Main[[#This Row],[Class]]="C",WORKDAY(Main[[#This Row],[Tech Start Date]],19),IF(Main[[#This Row],[Class]]="B", WORKDAY(Main[[#This Row],[Tech Start Date]],12),IF(Main[[#This Row],[Class]]="A",WORKDAY(Main[[#This Row],[Tech Start Date]],4),""))))</f>
        <v/>
      </c>
      <c r="O382" s="77" t="str">
        <f>IF(Main[[#This Row],[Tech Start Date]]&lt;1/1/1990,"",IF(Main[[#This Row],[Class]]="C",WORKDAY(Main[[#This Row],[Tech Start Date]],23),IF(Main[[#This Row],[Class]]="B", WORKDAY(Main[[#This Row],[Tech Start Date]],15),IF(Main[[#This Row],[Class]]="A",WORKDAY(Main[[#This Row],[Tech Start Date]],5),""))))</f>
        <v/>
      </c>
      <c r="P382" s="77" t="str">
        <f>IF(Main[[#This Row],[Tech Start Date]]&lt;1/1/1990,"",IF(Main[[#This Row],[Class]]="C",WORKDAY(Main[[#This Row],[Tech Start Date]],28),IF(Main[[#This Row],[Class]]="B", WORKDAY(Main[[#This Row],[Tech Start Date]],19),IF(Main[[#This Row],[Class]]="A",WORKDAY(Main[[#This Row],[Tech Start Date]],9),""))))</f>
        <v/>
      </c>
      <c r="Q382" s="74">
        <v>40287</v>
      </c>
      <c r="R382" s="74"/>
      <c r="S382" s="72" t="s">
        <v>11</v>
      </c>
      <c r="T382" s="80" t="s">
        <v>4</v>
      </c>
      <c r="U382" s="72" t="s">
        <v>14</v>
      </c>
      <c r="V382" s="72" t="s">
        <v>1917</v>
      </c>
      <c r="W382" s="72" t="s">
        <v>1923</v>
      </c>
      <c r="X382" s="72" t="s">
        <v>885</v>
      </c>
      <c r="Y382" s="72" t="s">
        <v>2969</v>
      </c>
      <c r="Z382" s="72" t="s">
        <v>4</v>
      </c>
      <c r="AA382" s="146" t="s">
        <v>885</v>
      </c>
    </row>
    <row r="383" spans="1:27" ht="18.600000000000001" customHeight="1">
      <c r="A383" s="139" t="str">
        <f>IF(priority(Main[[#This Row],[Comments]])&lt;&gt;0, priority(Main[[#This Row],[Comments]]),"")</f>
        <v/>
      </c>
      <c r="B383" s="89" t="s">
        <v>1241</v>
      </c>
      <c r="C383" s="72" t="s">
        <v>93</v>
      </c>
      <c r="D383" s="73" t="s">
        <v>302</v>
      </c>
      <c r="E383" s="74"/>
      <c r="F383" s="74">
        <v>40210</v>
      </c>
      <c r="G383" s="75" t="str">
        <f>IF(stdProdLT(Main[[#This Row],[Comments]])=0.1,"N/A",IF(stdProdLT(Main[[#This Row],[Comments]])=0,"",stdProdLT(Main[[#This Row],[Comments]])))</f>
        <v/>
      </c>
      <c r="H383" s="76" t="str">
        <f>IF(AND(Main[[#This Row],[In Stock Date]]&lt;&gt;"",Main[[#This Row],[Revised Due Date]]&lt;&gt;""),Main[[#This Row],[In Stock Date]]-Main[[#This Row],[Revised Due Date]],"")</f>
        <v/>
      </c>
      <c r="I383" s="72" t="s">
        <v>4</v>
      </c>
      <c r="J383" s="72" t="s">
        <v>4</v>
      </c>
      <c r="K383" s="72" t="s">
        <v>4</v>
      </c>
      <c r="L383" s="74"/>
      <c r="M383" s="77" t="str">
        <f>IF(Main[[#This Row],[Tech Start Date]]&lt;1/1/1990,"",IF(Main[[#This Row],[Class]]="C",WORKDAY(Main[[#This Row],[Tech Start Date]],9),IF(Main[[#This Row],[Class]]="B", WORKDAY(Main[[#This Row],[Tech Start Date]],6),IF(Main[[#This Row],[Class]]="A",WORKDAY(Main[[#This Row],[Tech Start Date]],2),""))))</f>
        <v/>
      </c>
      <c r="N383" s="77" t="str">
        <f>IF(Main[[#This Row],[Tech Start Date]]&lt;1/1/1990,"",IF(Main[[#This Row],[Class]]="C",WORKDAY(Main[[#This Row],[Tech Start Date]],19),IF(Main[[#This Row],[Class]]="B", WORKDAY(Main[[#This Row],[Tech Start Date]],12),IF(Main[[#This Row],[Class]]="A",WORKDAY(Main[[#This Row],[Tech Start Date]],4),""))))</f>
        <v/>
      </c>
      <c r="O383" s="77" t="str">
        <f>IF(Main[[#This Row],[Tech Start Date]]&lt;1/1/1990,"",IF(Main[[#This Row],[Class]]="C",WORKDAY(Main[[#This Row],[Tech Start Date]],23),IF(Main[[#This Row],[Class]]="B", WORKDAY(Main[[#This Row],[Tech Start Date]],15),IF(Main[[#This Row],[Class]]="A",WORKDAY(Main[[#This Row],[Tech Start Date]],5),""))))</f>
        <v/>
      </c>
      <c r="P383" s="77" t="str">
        <f>IF(Main[[#This Row],[Tech Start Date]]&lt;1/1/1990,"",IF(Main[[#This Row],[Class]]="C",WORKDAY(Main[[#This Row],[Tech Start Date]],28),IF(Main[[#This Row],[Class]]="B", WORKDAY(Main[[#This Row],[Tech Start Date]],19),IF(Main[[#This Row],[Class]]="A",WORKDAY(Main[[#This Row],[Tech Start Date]],9),""))))</f>
        <v/>
      </c>
      <c r="Q383" s="74">
        <v>40210</v>
      </c>
      <c r="R383" s="74"/>
      <c r="S383" s="72" t="s">
        <v>11</v>
      </c>
      <c r="T383" s="80" t="s">
        <v>4</v>
      </c>
      <c r="U383" s="72" t="s">
        <v>12</v>
      </c>
      <c r="V383" s="72" t="s">
        <v>1927</v>
      </c>
      <c r="W383" s="72" t="s">
        <v>1928</v>
      </c>
      <c r="X383" s="72" t="s">
        <v>2851</v>
      </c>
      <c r="Y383" s="72" t="s">
        <v>4</v>
      </c>
      <c r="Z383" s="72" t="s">
        <v>4</v>
      </c>
      <c r="AA383" s="146" t="s">
        <v>2851</v>
      </c>
    </row>
    <row r="384" spans="1:27" ht="18.600000000000001" customHeight="1">
      <c r="A384" s="139" t="str">
        <f>IF(priority(Main[[#This Row],[Comments]])&lt;&gt;0, priority(Main[[#This Row],[Comments]]),"")</f>
        <v/>
      </c>
      <c r="B384" s="89" t="s">
        <v>2716</v>
      </c>
      <c r="C384" s="72" t="s">
        <v>4</v>
      </c>
      <c r="D384" s="73" t="s">
        <v>2717</v>
      </c>
      <c r="E384" s="74">
        <v>40897.76525462963</v>
      </c>
      <c r="F384" s="74"/>
      <c r="G384" s="75" t="str">
        <f>IF(stdProdLT(Main[[#This Row],[Comments]])=0.1,"N/A",IF(stdProdLT(Main[[#This Row],[Comments]])=0,"",stdProdLT(Main[[#This Row],[Comments]])))</f>
        <v/>
      </c>
      <c r="H384" s="76" t="str">
        <f>IF(AND(Main[[#This Row],[In Stock Date]]&lt;&gt;"",Main[[#This Row],[Revised Due Date]]&lt;&gt;""),Main[[#This Row],[In Stock Date]]-Main[[#This Row],[Revised Due Date]],"")</f>
        <v/>
      </c>
      <c r="I384" s="72" t="s">
        <v>4</v>
      </c>
      <c r="J384" s="72" t="s">
        <v>4</v>
      </c>
      <c r="K384" s="72" t="s">
        <v>4</v>
      </c>
      <c r="L384" s="74"/>
      <c r="M384" s="77" t="str">
        <f>IF(Main[[#This Row],[Tech Start Date]]&lt;1/1/1990,"",IF(Main[[#This Row],[Class]]="C",WORKDAY(Main[[#This Row],[Tech Start Date]],9),IF(Main[[#This Row],[Class]]="B", WORKDAY(Main[[#This Row],[Tech Start Date]],6),IF(Main[[#This Row],[Class]]="A",WORKDAY(Main[[#This Row],[Tech Start Date]],2),""))))</f>
        <v/>
      </c>
      <c r="N384" s="77" t="str">
        <f>IF(Main[[#This Row],[Tech Start Date]]&lt;1/1/1990,"",IF(Main[[#This Row],[Class]]="C",WORKDAY(Main[[#This Row],[Tech Start Date]],19),IF(Main[[#This Row],[Class]]="B", WORKDAY(Main[[#This Row],[Tech Start Date]],12),IF(Main[[#This Row],[Class]]="A",WORKDAY(Main[[#This Row],[Tech Start Date]],4),""))))</f>
        <v/>
      </c>
      <c r="O384" s="77" t="str">
        <f>IF(Main[[#This Row],[Tech Start Date]]&lt;1/1/1990,"",IF(Main[[#This Row],[Class]]="C",WORKDAY(Main[[#This Row],[Tech Start Date]],23),IF(Main[[#This Row],[Class]]="B", WORKDAY(Main[[#This Row],[Tech Start Date]],15),IF(Main[[#This Row],[Class]]="A",WORKDAY(Main[[#This Row],[Tech Start Date]],5),""))))</f>
        <v/>
      </c>
      <c r="P384" s="77" t="str">
        <f>IF(Main[[#This Row],[Tech Start Date]]&lt;1/1/1990,"",IF(Main[[#This Row],[Class]]="C",WORKDAY(Main[[#This Row],[Tech Start Date]],28),IF(Main[[#This Row],[Class]]="B", WORKDAY(Main[[#This Row],[Tech Start Date]],19),IF(Main[[#This Row],[Class]]="A",WORKDAY(Main[[#This Row],[Tech Start Date]],9),""))))</f>
        <v/>
      </c>
      <c r="Q384" s="74">
        <v>40907</v>
      </c>
      <c r="R384" s="74"/>
      <c r="S384" s="72" t="s">
        <v>6</v>
      </c>
      <c r="T384" s="80" t="s">
        <v>4</v>
      </c>
      <c r="U384" s="72" t="s">
        <v>7</v>
      </c>
      <c r="V384" s="72" t="s">
        <v>1917</v>
      </c>
      <c r="W384" s="72" t="s">
        <v>4</v>
      </c>
      <c r="X384" s="72" t="s">
        <v>2825</v>
      </c>
      <c r="Y384" s="72" t="s">
        <v>2938</v>
      </c>
      <c r="Z384" s="72" t="s">
        <v>4</v>
      </c>
      <c r="AA384" s="146" t="s">
        <v>2825</v>
      </c>
    </row>
    <row r="385" spans="1:27" ht="18.600000000000001" customHeight="1">
      <c r="A385" s="139" t="str">
        <f>IF(priority(Main[[#This Row],[Comments]])&lt;&gt;0, priority(Main[[#This Row],[Comments]]),"")</f>
        <v/>
      </c>
      <c r="B385" s="89" t="s">
        <v>1242</v>
      </c>
      <c r="C385" s="72" t="s">
        <v>31</v>
      </c>
      <c r="D385" s="73" t="s">
        <v>303</v>
      </c>
      <c r="E385" s="74"/>
      <c r="F385" s="74">
        <v>40269</v>
      </c>
      <c r="G385" s="75" t="str">
        <f>IF(stdProdLT(Main[[#This Row],[Comments]])=0.1,"N/A",IF(stdProdLT(Main[[#This Row],[Comments]])=0,"",stdProdLT(Main[[#This Row],[Comments]])))</f>
        <v/>
      </c>
      <c r="H385" s="76" t="str">
        <f>IF(AND(Main[[#This Row],[In Stock Date]]&lt;&gt;"",Main[[#This Row],[Revised Due Date]]&lt;&gt;""),Main[[#This Row],[In Stock Date]]-Main[[#This Row],[Revised Due Date]],"")</f>
        <v/>
      </c>
      <c r="I385" s="72" t="s">
        <v>4</v>
      </c>
      <c r="J385" s="72" t="s">
        <v>4</v>
      </c>
      <c r="K385" s="81" t="s">
        <v>4</v>
      </c>
      <c r="L385" s="74"/>
      <c r="M385" s="77" t="str">
        <f>IF(Main[[#This Row],[Tech Start Date]]&lt;1/1/1990,"",IF(Main[[#This Row],[Class]]="C",WORKDAY(Main[[#This Row],[Tech Start Date]],9),IF(Main[[#This Row],[Class]]="B", WORKDAY(Main[[#This Row],[Tech Start Date]],6),IF(Main[[#This Row],[Class]]="A",WORKDAY(Main[[#This Row],[Tech Start Date]],2),""))))</f>
        <v/>
      </c>
      <c r="N385" s="77" t="str">
        <f>IF(Main[[#This Row],[Tech Start Date]]&lt;1/1/1990,"",IF(Main[[#This Row],[Class]]="C",WORKDAY(Main[[#This Row],[Tech Start Date]],19),IF(Main[[#This Row],[Class]]="B", WORKDAY(Main[[#This Row],[Tech Start Date]],12),IF(Main[[#This Row],[Class]]="A",WORKDAY(Main[[#This Row],[Tech Start Date]],4),""))))</f>
        <v/>
      </c>
      <c r="O385" s="77" t="str">
        <f>IF(Main[[#This Row],[Tech Start Date]]&lt;1/1/1990,"",IF(Main[[#This Row],[Class]]="C",WORKDAY(Main[[#This Row],[Tech Start Date]],23),IF(Main[[#This Row],[Class]]="B", WORKDAY(Main[[#This Row],[Tech Start Date]],15),IF(Main[[#This Row],[Class]]="A",WORKDAY(Main[[#This Row],[Tech Start Date]],5),""))))</f>
        <v/>
      </c>
      <c r="P385" s="77" t="str">
        <f>IF(Main[[#This Row],[Tech Start Date]]&lt;1/1/1990,"",IF(Main[[#This Row],[Class]]="C",WORKDAY(Main[[#This Row],[Tech Start Date]],28),IF(Main[[#This Row],[Class]]="B", WORKDAY(Main[[#This Row],[Tech Start Date]],19),IF(Main[[#This Row],[Class]]="A",WORKDAY(Main[[#This Row],[Tech Start Date]],9),""))))</f>
        <v/>
      </c>
      <c r="Q385" s="74">
        <v>40274</v>
      </c>
      <c r="R385" s="74"/>
      <c r="S385" s="72" t="s">
        <v>11</v>
      </c>
      <c r="T385" s="80" t="s">
        <v>4</v>
      </c>
      <c r="U385" s="72" t="s">
        <v>14</v>
      </c>
      <c r="V385" s="72" t="s">
        <v>1917</v>
      </c>
      <c r="W385" s="72" t="s">
        <v>1923</v>
      </c>
      <c r="X385" s="72" t="s">
        <v>2877</v>
      </c>
      <c r="Y385" s="72" t="s">
        <v>4</v>
      </c>
      <c r="Z385" s="72" t="s">
        <v>4</v>
      </c>
      <c r="AA385" s="146" t="s">
        <v>2877</v>
      </c>
    </row>
    <row r="386" spans="1:27" ht="18.600000000000001" customHeight="1">
      <c r="A386" s="139" t="str">
        <f>IF(priority(Main[[#This Row],[Comments]])&lt;&gt;0, priority(Main[[#This Row],[Comments]]),"")</f>
        <v/>
      </c>
      <c r="B386" s="89" t="s">
        <v>1243</v>
      </c>
      <c r="C386" s="72" t="s">
        <v>4</v>
      </c>
      <c r="D386" s="73" t="s">
        <v>304</v>
      </c>
      <c r="E386" s="74"/>
      <c r="F386" s="74">
        <v>40390</v>
      </c>
      <c r="G386" s="75" t="str">
        <f>IF(stdProdLT(Main[[#This Row],[Comments]])=0.1,"N/A",IF(stdProdLT(Main[[#This Row],[Comments]])=0,"",stdProdLT(Main[[#This Row],[Comments]])))</f>
        <v/>
      </c>
      <c r="H386" s="76" t="str">
        <f>IF(AND(Main[[#This Row],[In Stock Date]]&lt;&gt;"",Main[[#This Row],[Revised Due Date]]&lt;&gt;""),Main[[#This Row],[In Stock Date]]-Main[[#This Row],[Revised Due Date]],"")</f>
        <v/>
      </c>
      <c r="I386" s="72" t="s">
        <v>4</v>
      </c>
      <c r="J386" s="72" t="s">
        <v>4</v>
      </c>
      <c r="K386" s="72" t="s">
        <v>4</v>
      </c>
      <c r="L386" s="74"/>
      <c r="M386" s="77" t="str">
        <f>IF(Main[[#This Row],[Tech Start Date]]&lt;1/1/1990,"",IF(Main[[#This Row],[Class]]="C",WORKDAY(Main[[#This Row],[Tech Start Date]],9),IF(Main[[#This Row],[Class]]="B", WORKDAY(Main[[#This Row],[Tech Start Date]],6),IF(Main[[#This Row],[Class]]="A",WORKDAY(Main[[#This Row],[Tech Start Date]],2),""))))</f>
        <v/>
      </c>
      <c r="N386" s="77" t="str">
        <f>IF(Main[[#This Row],[Tech Start Date]]&lt;1/1/1990,"",IF(Main[[#This Row],[Class]]="C",WORKDAY(Main[[#This Row],[Tech Start Date]],19),IF(Main[[#This Row],[Class]]="B", WORKDAY(Main[[#This Row],[Tech Start Date]],12),IF(Main[[#This Row],[Class]]="A",WORKDAY(Main[[#This Row],[Tech Start Date]],4),""))))</f>
        <v/>
      </c>
      <c r="O386" s="77" t="str">
        <f>IF(Main[[#This Row],[Tech Start Date]]&lt;1/1/1990,"",IF(Main[[#This Row],[Class]]="C",WORKDAY(Main[[#This Row],[Tech Start Date]],23),IF(Main[[#This Row],[Class]]="B", WORKDAY(Main[[#This Row],[Tech Start Date]],15),IF(Main[[#This Row],[Class]]="A",WORKDAY(Main[[#This Row],[Tech Start Date]],5),""))))</f>
        <v/>
      </c>
      <c r="P386" s="77" t="str">
        <f>IF(Main[[#This Row],[Tech Start Date]]&lt;1/1/1990,"",IF(Main[[#This Row],[Class]]="C",WORKDAY(Main[[#This Row],[Tech Start Date]],28),IF(Main[[#This Row],[Class]]="B", WORKDAY(Main[[#This Row],[Tech Start Date]],19),IF(Main[[#This Row],[Class]]="A",WORKDAY(Main[[#This Row],[Tech Start Date]],9),""))))</f>
        <v/>
      </c>
      <c r="Q386" s="74">
        <v>40329</v>
      </c>
      <c r="R386" s="74"/>
      <c r="S386" s="72" t="s">
        <v>11</v>
      </c>
      <c r="T386" s="80" t="s">
        <v>4</v>
      </c>
      <c r="U386" s="72" t="s">
        <v>12</v>
      </c>
      <c r="V386" s="72" t="s">
        <v>1927</v>
      </c>
      <c r="W386" s="72" t="s">
        <v>1923</v>
      </c>
      <c r="X386" s="72" t="s">
        <v>2878</v>
      </c>
      <c r="Y386" s="72" t="s">
        <v>3002</v>
      </c>
      <c r="Z386" s="72" t="s">
        <v>4</v>
      </c>
      <c r="AA386" s="146" t="s">
        <v>2878</v>
      </c>
    </row>
    <row r="387" spans="1:27" ht="18.600000000000001" customHeight="1">
      <c r="A387" s="139" t="str">
        <f>IF(priority(Main[[#This Row],[Comments]])&lt;&gt;0, priority(Main[[#This Row],[Comments]]),"")</f>
        <v/>
      </c>
      <c r="B387" s="89" t="s">
        <v>1244</v>
      </c>
      <c r="C387" s="72" t="s">
        <v>4</v>
      </c>
      <c r="D387" s="73" t="s">
        <v>305</v>
      </c>
      <c r="E387" s="74"/>
      <c r="F387" s="74">
        <v>40574</v>
      </c>
      <c r="G387" s="75" t="str">
        <f>IF(stdProdLT(Main[[#This Row],[Comments]])=0.1,"N/A",IF(stdProdLT(Main[[#This Row],[Comments]])=0,"",stdProdLT(Main[[#This Row],[Comments]])))</f>
        <v/>
      </c>
      <c r="H387" s="76" t="str">
        <f>IF(AND(Main[[#This Row],[In Stock Date]]&lt;&gt;"",Main[[#This Row],[Revised Due Date]]&lt;&gt;""),Main[[#This Row],[In Stock Date]]-Main[[#This Row],[Revised Due Date]],"")</f>
        <v/>
      </c>
      <c r="I387" s="72" t="s">
        <v>306</v>
      </c>
      <c r="J387" s="72" t="s">
        <v>75</v>
      </c>
      <c r="K387" s="72" t="s">
        <v>1926</v>
      </c>
      <c r="L387" s="74"/>
      <c r="M387" s="77" t="str">
        <f>IF(Main[[#This Row],[Tech Start Date]]&lt;1/1/1990,"",IF(Main[[#This Row],[Class]]="C",WORKDAY(Main[[#This Row],[Tech Start Date]],9),IF(Main[[#This Row],[Class]]="B", WORKDAY(Main[[#This Row],[Tech Start Date]],6),IF(Main[[#This Row],[Class]]="A",WORKDAY(Main[[#This Row],[Tech Start Date]],2),""))))</f>
        <v/>
      </c>
      <c r="N387" s="77" t="str">
        <f>IF(Main[[#This Row],[Tech Start Date]]&lt;1/1/1990,"",IF(Main[[#This Row],[Class]]="C",WORKDAY(Main[[#This Row],[Tech Start Date]],19),IF(Main[[#This Row],[Class]]="B", WORKDAY(Main[[#This Row],[Tech Start Date]],12),IF(Main[[#This Row],[Class]]="A",WORKDAY(Main[[#This Row],[Tech Start Date]],4),""))))</f>
        <v/>
      </c>
      <c r="O387" s="77" t="str">
        <f>IF(Main[[#This Row],[Tech Start Date]]&lt;1/1/1990,"",IF(Main[[#This Row],[Class]]="C",WORKDAY(Main[[#This Row],[Tech Start Date]],23),IF(Main[[#This Row],[Class]]="B", WORKDAY(Main[[#This Row],[Tech Start Date]],15),IF(Main[[#This Row],[Class]]="A",WORKDAY(Main[[#This Row],[Tech Start Date]],5),""))))</f>
        <v/>
      </c>
      <c r="P387" s="77" t="str">
        <f>IF(Main[[#This Row],[Tech Start Date]]&lt;1/1/1990,"",IF(Main[[#This Row],[Class]]="C",WORKDAY(Main[[#This Row],[Tech Start Date]],28),IF(Main[[#This Row],[Class]]="B", WORKDAY(Main[[#This Row],[Tech Start Date]],19),IF(Main[[#This Row],[Class]]="A",WORKDAY(Main[[#This Row],[Tech Start Date]],9),""))))</f>
        <v/>
      </c>
      <c r="Q387" s="74">
        <v>40574</v>
      </c>
      <c r="R387" s="74"/>
      <c r="S387" s="72" t="s">
        <v>6</v>
      </c>
      <c r="T387" s="80" t="s">
        <v>4</v>
      </c>
      <c r="U387" s="72" t="s">
        <v>14</v>
      </c>
      <c r="V387" s="72" t="s">
        <v>1927</v>
      </c>
      <c r="W387" s="72" t="s">
        <v>1919</v>
      </c>
      <c r="X387" s="72" t="s">
        <v>2824</v>
      </c>
      <c r="Y387" s="72" t="s">
        <v>2935</v>
      </c>
      <c r="Z387" s="72" t="s">
        <v>30</v>
      </c>
      <c r="AA387" s="146" t="s">
        <v>2824</v>
      </c>
    </row>
    <row r="388" spans="1:27" ht="18.600000000000001" customHeight="1">
      <c r="A388" s="139" t="str">
        <f>IF(priority(Main[[#This Row],[Comments]])&lt;&gt;0, priority(Main[[#This Row],[Comments]]),"")</f>
        <v/>
      </c>
      <c r="B388" s="89" t="s">
        <v>1245</v>
      </c>
      <c r="C388" s="72" t="s">
        <v>169</v>
      </c>
      <c r="D388" s="73" t="s">
        <v>307</v>
      </c>
      <c r="E388" s="74"/>
      <c r="F388" s="74">
        <v>40237</v>
      </c>
      <c r="G388" s="75" t="str">
        <f>IF(stdProdLT(Main[[#This Row],[Comments]])=0.1,"N/A",IF(stdProdLT(Main[[#This Row],[Comments]])=0,"",stdProdLT(Main[[#This Row],[Comments]])))</f>
        <v/>
      </c>
      <c r="H388" s="76" t="str">
        <f>IF(AND(Main[[#This Row],[In Stock Date]]&lt;&gt;"",Main[[#This Row],[Revised Due Date]]&lt;&gt;""),Main[[#This Row],[In Stock Date]]-Main[[#This Row],[Revised Due Date]],"")</f>
        <v/>
      </c>
      <c r="I388" s="72" t="s">
        <v>4</v>
      </c>
      <c r="J388" s="72" t="s">
        <v>4</v>
      </c>
      <c r="K388" s="81" t="s">
        <v>4</v>
      </c>
      <c r="L388" s="74"/>
      <c r="M388" s="77" t="str">
        <f>IF(Main[[#This Row],[Tech Start Date]]&lt;1/1/1990,"",IF(Main[[#This Row],[Class]]="C",WORKDAY(Main[[#This Row],[Tech Start Date]],9),IF(Main[[#This Row],[Class]]="B", WORKDAY(Main[[#This Row],[Tech Start Date]],6),IF(Main[[#This Row],[Class]]="A",WORKDAY(Main[[#This Row],[Tech Start Date]],2),""))))</f>
        <v/>
      </c>
      <c r="N388" s="77" t="str">
        <f>IF(Main[[#This Row],[Tech Start Date]]&lt;1/1/1990,"",IF(Main[[#This Row],[Class]]="C",WORKDAY(Main[[#This Row],[Tech Start Date]],19),IF(Main[[#This Row],[Class]]="B", WORKDAY(Main[[#This Row],[Tech Start Date]],12),IF(Main[[#This Row],[Class]]="A",WORKDAY(Main[[#This Row],[Tech Start Date]],4),""))))</f>
        <v/>
      </c>
      <c r="O388" s="77" t="str">
        <f>IF(Main[[#This Row],[Tech Start Date]]&lt;1/1/1990,"",IF(Main[[#This Row],[Class]]="C",WORKDAY(Main[[#This Row],[Tech Start Date]],23),IF(Main[[#This Row],[Class]]="B", WORKDAY(Main[[#This Row],[Tech Start Date]],15),IF(Main[[#This Row],[Class]]="A",WORKDAY(Main[[#This Row],[Tech Start Date]],5),""))))</f>
        <v/>
      </c>
      <c r="P388" s="77" t="str">
        <f>IF(Main[[#This Row],[Tech Start Date]]&lt;1/1/1990,"",IF(Main[[#This Row],[Class]]="C",WORKDAY(Main[[#This Row],[Tech Start Date]],28),IF(Main[[#This Row],[Class]]="B", WORKDAY(Main[[#This Row],[Tech Start Date]],19),IF(Main[[#This Row],[Class]]="A",WORKDAY(Main[[#This Row],[Tech Start Date]],9),""))))</f>
        <v/>
      </c>
      <c r="Q388" s="74">
        <v>40132</v>
      </c>
      <c r="R388" s="74"/>
      <c r="S388" s="72" t="s">
        <v>11</v>
      </c>
      <c r="T388" s="80" t="s">
        <v>4</v>
      </c>
      <c r="U388" s="72" t="s">
        <v>14</v>
      </c>
      <c r="V388" s="72" t="s">
        <v>1917</v>
      </c>
      <c r="W388" s="72" t="s">
        <v>1922</v>
      </c>
      <c r="X388" s="72" t="s">
        <v>2864</v>
      </c>
      <c r="Y388" s="72" t="s">
        <v>4</v>
      </c>
      <c r="Z388" s="72" t="s">
        <v>4</v>
      </c>
      <c r="AA388" s="146" t="s">
        <v>2864</v>
      </c>
    </row>
    <row r="389" spans="1:27" ht="18.600000000000001" customHeight="1">
      <c r="A389" s="139" t="str">
        <f>IF(priority(Main[[#This Row],[Comments]])&lt;&gt;0, priority(Main[[#This Row],[Comments]]),"")</f>
        <v/>
      </c>
      <c r="B389" s="89" t="s">
        <v>1246</v>
      </c>
      <c r="C389" s="72" t="s">
        <v>4</v>
      </c>
      <c r="D389" s="73" t="s">
        <v>308</v>
      </c>
      <c r="E389" s="74"/>
      <c r="F389" s="74"/>
      <c r="G389" s="75" t="str">
        <f>IF(stdProdLT(Main[[#This Row],[Comments]])=0.1,"N/A",IF(stdProdLT(Main[[#This Row],[Comments]])=0,"",stdProdLT(Main[[#This Row],[Comments]])))</f>
        <v/>
      </c>
      <c r="H389" s="76" t="str">
        <f>IF(AND(Main[[#This Row],[In Stock Date]]&lt;&gt;"",Main[[#This Row],[Revised Due Date]]&lt;&gt;""),Main[[#This Row],[In Stock Date]]-Main[[#This Row],[Revised Due Date]],"")</f>
        <v/>
      </c>
      <c r="I389" s="72" t="s">
        <v>4</v>
      </c>
      <c r="J389" s="72" t="s">
        <v>4</v>
      </c>
      <c r="K389" s="81" t="s">
        <v>4</v>
      </c>
      <c r="L389" s="74"/>
      <c r="M389" s="77" t="str">
        <f>IF(Main[[#This Row],[Tech Start Date]]&lt;1/1/1990,"",IF(Main[[#This Row],[Class]]="C",WORKDAY(Main[[#This Row],[Tech Start Date]],9),IF(Main[[#This Row],[Class]]="B", WORKDAY(Main[[#This Row],[Tech Start Date]],6),IF(Main[[#This Row],[Class]]="A",WORKDAY(Main[[#This Row],[Tech Start Date]],2),""))))</f>
        <v/>
      </c>
      <c r="N389" s="77" t="str">
        <f>IF(Main[[#This Row],[Tech Start Date]]&lt;1/1/1990,"",IF(Main[[#This Row],[Class]]="C",WORKDAY(Main[[#This Row],[Tech Start Date]],19),IF(Main[[#This Row],[Class]]="B", WORKDAY(Main[[#This Row],[Tech Start Date]],12),IF(Main[[#This Row],[Class]]="A",WORKDAY(Main[[#This Row],[Tech Start Date]],4),""))))</f>
        <v/>
      </c>
      <c r="O389" s="77" t="str">
        <f>IF(Main[[#This Row],[Tech Start Date]]&lt;1/1/1990,"",IF(Main[[#This Row],[Class]]="C",WORKDAY(Main[[#This Row],[Tech Start Date]],23),IF(Main[[#This Row],[Class]]="B", WORKDAY(Main[[#This Row],[Tech Start Date]],15),IF(Main[[#This Row],[Class]]="A",WORKDAY(Main[[#This Row],[Tech Start Date]],5),""))))</f>
        <v/>
      </c>
      <c r="P389" s="77" t="str">
        <f>IF(Main[[#This Row],[Tech Start Date]]&lt;1/1/1990,"",IF(Main[[#This Row],[Class]]="C",WORKDAY(Main[[#This Row],[Tech Start Date]],28),IF(Main[[#This Row],[Class]]="B", WORKDAY(Main[[#This Row],[Tech Start Date]],19),IF(Main[[#This Row],[Class]]="A",WORKDAY(Main[[#This Row],[Tech Start Date]],9),""))))</f>
        <v/>
      </c>
      <c r="Q389" s="74">
        <v>40390</v>
      </c>
      <c r="R389" s="74"/>
      <c r="S389" s="72" t="s">
        <v>6</v>
      </c>
      <c r="T389" s="80" t="s">
        <v>4</v>
      </c>
      <c r="U389" s="72" t="s">
        <v>14</v>
      </c>
      <c r="V389" s="72" t="s">
        <v>1920</v>
      </c>
      <c r="W389" s="72" t="s">
        <v>4</v>
      </c>
      <c r="X389" s="72" t="s">
        <v>2825</v>
      </c>
      <c r="Y389" s="72" t="s">
        <v>2938</v>
      </c>
      <c r="Z389" s="72" t="s">
        <v>4</v>
      </c>
      <c r="AA389" s="146" t="s">
        <v>2825</v>
      </c>
    </row>
    <row r="390" spans="1:27" ht="18.600000000000001" customHeight="1">
      <c r="A390" s="139" t="str">
        <f>IF(priority(Main[[#This Row],[Comments]])&lt;&gt;0, priority(Main[[#This Row],[Comments]]),"")</f>
        <v/>
      </c>
      <c r="B390" s="89" t="s">
        <v>1248</v>
      </c>
      <c r="C390" s="72" t="s">
        <v>310</v>
      </c>
      <c r="D390" s="73" t="s">
        <v>311</v>
      </c>
      <c r="E390" s="74"/>
      <c r="F390" s="74">
        <v>40179</v>
      </c>
      <c r="G390" s="75" t="str">
        <f>IF(stdProdLT(Main[[#This Row],[Comments]])=0.1,"N/A",IF(stdProdLT(Main[[#This Row],[Comments]])=0,"",stdProdLT(Main[[#This Row],[Comments]])))</f>
        <v/>
      </c>
      <c r="H390" s="76" t="str">
        <f>IF(AND(Main[[#This Row],[In Stock Date]]&lt;&gt;"",Main[[#This Row],[Revised Due Date]]&lt;&gt;""),Main[[#This Row],[In Stock Date]]-Main[[#This Row],[Revised Due Date]],"")</f>
        <v/>
      </c>
      <c r="I390" s="72" t="s">
        <v>4</v>
      </c>
      <c r="J390" s="72" t="s">
        <v>4</v>
      </c>
      <c r="K390" s="81" t="s">
        <v>4</v>
      </c>
      <c r="L390" s="74"/>
      <c r="M390" s="77" t="str">
        <f>IF(Main[[#This Row],[Tech Start Date]]&lt;1/1/1990,"",IF(Main[[#This Row],[Class]]="C",WORKDAY(Main[[#This Row],[Tech Start Date]],9),IF(Main[[#This Row],[Class]]="B", WORKDAY(Main[[#This Row],[Tech Start Date]],6),IF(Main[[#This Row],[Class]]="A",WORKDAY(Main[[#This Row],[Tech Start Date]],2),""))))</f>
        <v/>
      </c>
      <c r="N390" s="77" t="str">
        <f>IF(Main[[#This Row],[Tech Start Date]]&lt;1/1/1990,"",IF(Main[[#This Row],[Class]]="C",WORKDAY(Main[[#This Row],[Tech Start Date]],19),IF(Main[[#This Row],[Class]]="B", WORKDAY(Main[[#This Row],[Tech Start Date]],12),IF(Main[[#This Row],[Class]]="A",WORKDAY(Main[[#This Row],[Tech Start Date]],4),""))))</f>
        <v/>
      </c>
      <c r="O390" s="77" t="str">
        <f>IF(Main[[#This Row],[Tech Start Date]]&lt;1/1/1990,"",IF(Main[[#This Row],[Class]]="C",WORKDAY(Main[[#This Row],[Tech Start Date]],23),IF(Main[[#This Row],[Class]]="B", WORKDAY(Main[[#This Row],[Tech Start Date]],15),IF(Main[[#This Row],[Class]]="A",WORKDAY(Main[[#This Row],[Tech Start Date]],5),""))))</f>
        <v/>
      </c>
      <c r="P390" s="77" t="str">
        <f>IF(Main[[#This Row],[Tech Start Date]]&lt;1/1/1990,"",IF(Main[[#This Row],[Class]]="C",WORKDAY(Main[[#This Row],[Tech Start Date]],28),IF(Main[[#This Row],[Class]]="B", WORKDAY(Main[[#This Row],[Tech Start Date]],19),IF(Main[[#This Row],[Class]]="A",WORKDAY(Main[[#This Row],[Tech Start Date]],9),""))))</f>
        <v/>
      </c>
      <c r="Q390" s="74">
        <v>40174</v>
      </c>
      <c r="R390" s="74"/>
      <c r="S390" s="72" t="s">
        <v>11</v>
      </c>
      <c r="T390" s="80" t="s">
        <v>4</v>
      </c>
      <c r="U390" s="72" t="s">
        <v>12</v>
      </c>
      <c r="V390" s="72" t="s">
        <v>1917</v>
      </c>
      <c r="W390" s="72" t="s">
        <v>1925</v>
      </c>
      <c r="X390" s="72" t="s">
        <v>2879</v>
      </c>
      <c r="Y390" s="72" t="s">
        <v>4</v>
      </c>
      <c r="Z390" s="72" t="s">
        <v>4</v>
      </c>
      <c r="AA390" s="146" t="s">
        <v>2879</v>
      </c>
    </row>
    <row r="391" spans="1:27" ht="18.600000000000001" customHeight="1">
      <c r="A391" s="139" t="str">
        <f>IF(priority(Main[[#This Row],[Comments]])&lt;&gt;0, priority(Main[[#This Row],[Comments]]),"")</f>
        <v/>
      </c>
      <c r="B391" s="89" t="s">
        <v>1249</v>
      </c>
      <c r="C391" s="72" t="s">
        <v>4</v>
      </c>
      <c r="D391" s="73" t="s">
        <v>312</v>
      </c>
      <c r="E391" s="74">
        <v>40701.550486111111</v>
      </c>
      <c r="F391" s="74"/>
      <c r="G391" s="75" t="str">
        <f>IF(stdProdLT(Main[[#This Row],[Comments]])=0.1,"N/A",IF(stdProdLT(Main[[#This Row],[Comments]])=0,"",stdProdLT(Main[[#This Row],[Comments]])))</f>
        <v/>
      </c>
      <c r="H391" s="76" t="str">
        <f>IF(AND(Main[[#This Row],[In Stock Date]]&lt;&gt;"",Main[[#This Row],[Revised Due Date]]&lt;&gt;""),Main[[#This Row],[In Stock Date]]-Main[[#This Row],[Revised Due Date]],"")</f>
        <v/>
      </c>
      <c r="I391" s="72" t="s">
        <v>4</v>
      </c>
      <c r="J391" s="72" t="s">
        <v>4</v>
      </c>
      <c r="K391" s="72" t="s">
        <v>4</v>
      </c>
      <c r="L391" s="74"/>
      <c r="M391" s="77" t="str">
        <f>IF(Main[[#This Row],[Tech Start Date]]&lt;1/1/1990,"",IF(Main[[#This Row],[Class]]="C",WORKDAY(Main[[#This Row],[Tech Start Date]],9),IF(Main[[#This Row],[Class]]="B", WORKDAY(Main[[#This Row],[Tech Start Date]],6),IF(Main[[#This Row],[Class]]="A",WORKDAY(Main[[#This Row],[Tech Start Date]],2),""))))</f>
        <v/>
      </c>
      <c r="N391" s="77" t="str">
        <f>IF(Main[[#This Row],[Tech Start Date]]&lt;1/1/1990,"",IF(Main[[#This Row],[Class]]="C",WORKDAY(Main[[#This Row],[Tech Start Date]],19),IF(Main[[#This Row],[Class]]="B", WORKDAY(Main[[#This Row],[Tech Start Date]],12),IF(Main[[#This Row],[Class]]="A",WORKDAY(Main[[#This Row],[Tech Start Date]],4),""))))</f>
        <v/>
      </c>
      <c r="O391" s="77" t="str">
        <f>IF(Main[[#This Row],[Tech Start Date]]&lt;1/1/1990,"",IF(Main[[#This Row],[Class]]="C",WORKDAY(Main[[#This Row],[Tech Start Date]],23),IF(Main[[#This Row],[Class]]="B", WORKDAY(Main[[#This Row],[Tech Start Date]],15),IF(Main[[#This Row],[Class]]="A",WORKDAY(Main[[#This Row],[Tech Start Date]],5),""))))</f>
        <v/>
      </c>
      <c r="P391" s="77" t="str">
        <f>IF(Main[[#This Row],[Tech Start Date]]&lt;1/1/1990,"",IF(Main[[#This Row],[Class]]="C",WORKDAY(Main[[#This Row],[Tech Start Date]],28),IF(Main[[#This Row],[Class]]="B", WORKDAY(Main[[#This Row],[Tech Start Date]],19),IF(Main[[#This Row],[Class]]="A",WORKDAY(Main[[#This Row],[Tech Start Date]],9),""))))</f>
        <v/>
      </c>
      <c r="Q391" s="74"/>
      <c r="R391" s="74"/>
      <c r="S391" s="72" t="s">
        <v>6</v>
      </c>
      <c r="T391" s="80" t="s">
        <v>4</v>
      </c>
      <c r="U391" s="72" t="s">
        <v>7</v>
      </c>
      <c r="V391" s="72" t="s">
        <v>1917</v>
      </c>
      <c r="W391" s="72" t="s">
        <v>4</v>
      </c>
      <c r="X391" s="72" t="s">
        <v>909</v>
      </c>
      <c r="Y391" s="72" t="s">
        <v>3023</v>
      </c>
      <c r="Z391" s="72" t="s">
        <v>4</v>
      </c>
      <c r="AA391" s="146" t="s">
        <v>909</v>
      </c>
    </row>
    <row r="392" spans="1:27" ht="18.600000000000001" customHeight="1">
      <c r="A392" s="139" t="str">
        <f>IF(priority(Main[[#This Row],[Comments]])&lt;&gt;0, priority(Main[[#This Row],[Comments]]),"")</f>
        <v/>
      </c>
      <c r="B392" s="89" t="s">
        <v>1250</v>
      </c>
      <c r="C392" s="72" t="s">
        <v>4</v>
      </c>
      <c r="D392" s="73" t="s">
        <v>313</v>
      </c>
      <c r="E392" s="74"/>
      <c r="F392" s="74"/>
      <c r="G392" s="75" t="str">
        <f>IF(stdProdLT(Main[[#This Row],[Comments]])=0.1,"N/A",IF(stdProdLT(Main[[#This Row],[Comments]])=0,"",stdProdLT(Main[[#This Row],[Comments]])))</f>
        <v/>
      </c>
      <c r="H392" s="76" t="str">
        <f>IF(AND(Main[[#This Row],[In Stock Date]]&lt;&gt;"",Main[[#This Row],[Revised Due Date]]&lt;&gt;""),Main[[#This Row],[In Stock Date]]-Main[[#This Row],[Revised Due Date]],"")</f>
        <v/>
      </c>
      <c r="I392" s="72" t="s">
        <v>4</v>
      </c>
      <c r="J392" s="72" t="s">
        <v>4</v>
      </c>
      <c r="K392" s="72" t="s">
        <v>4</v>
      </c>
      <c r="L392" s="74"/>
      <c r="M392" s="77" t="str">
        <f>IF(Main[[#This Row],[Tech Start Date]]&lt;1/1/1990,"",IF(Main[[#This Row],[Class]]="C",WORKDAY(Main[[#This Row],[Tech Start Date]],9),IF(Main[[#This Row],[Class]]="B", WORKDAY(Main[[#This Row],[Tech Start Date]],6),IF(Main[[#This Row],[Class]]="A",WORKDAY(Main[[#This Row],[Tech Start Date]],2),""))))</f>
        <v/>
      </c>
      <c r="N392" s="77" t="str">
        <f>IF(Main[[#This Row],[Tech Start Date]]&lt;1/1/1990,"",IF(Main[[#This Row],[Class]]="C",WORKDAY(Main[[#This Row],[Tech Start Date]],19),IF(Main[[#This Row],[Class]]="B", WORKDAY(Main[[#This Row],[Tech Start Date]],12),IF(Main[[#This Row],[Class]]="A",WORKDAY(Main[[#This Row],[Tech Start Date]],4),""))))</f>
        <v/>
      </c>
      <c r="O392" s="77" t="str">
        <f>IF(Main[[#This Row],[Tech Start Date]]&lt;1/1/1990,"",IF(Main[[#This Row],[Class]]="C",WORKDAY(Main[[#This Row],[Tech Start Date]],23),IF(Main[[#This Row],[Class]]="B", WORKDAY(Main[[#This Row],[Tech Start Date]],15),IF(Main[[#This Row],[Class]]="A",WORKDAY(Main[[#This Row],[Tech Start Date]],5),""))))</f>
        <v/>
      </c>
      <c r="P392" s="77" t="str">
        <f>IF(Main[[#This Row],[Tech Start Date]]&lt;1/1/1990,"",IF(Main[[#This Row],[Class]]="C",WORKDAY(Main[[#This Row],[Tech Start Date]],28),IF(Main[[#This Row],[Class]]="B", WORKDAY(Main[[#This Row],[Tech Start Date]],19),IF(Main[[#This Row],[Class]]="A",WORKDAY(Main[[#This Row],[Tech Start Date]],9),""))))</f>
        <v/>
      </c>
      <c r="Q392" s="74">
        <v>40374</v>
      </c>
      <c r="R392" s="74"/>
      <c r="S392" s="72" t="s">
        <v>11</v>
      </c>
      <c r="T392" s="80" t="s">
        <v>4</v>
      </c>
      <c r="U392" s="72" t="s">
        <v>12</v>
      </c>
      <c r="V392" s="72" t="s">
        <v>1918</v>
      </c>
      <c r="W392" s="72" t="s">
        <v>1919</v>
      </c>
      <c r="X392" s="72" t="s">
        <v>2878</v>
      </c>
      <c r="Y392" s="72" t="s">
        <v>3002</v>
      </c>
      <c r="Z392" s="72" t="s">
        <v>4</v>
      </c>
      <c r="AA392" s="146" t="s">
        <v>2878</v>
      </c>
    </row>
    <row r="393" spans="1:27" ht="18.600000000000001" customHeight="1">
      <c r="A393" s="139" t="str">
        <f>IF(priority(Main[[#This Row],[Comments]])&lt;&gt;0, priority(Main[[#This Row],[Comments]]),"")</f>
        <v/>
      </c>
      <c r="B393" s="89" t="s">
        <v>1251</v>
      </c>
      <c r="C393" s="72" t="s">
        <v>4</v>
      </c>
      <c r="D393" s="73" t="s">
        <v>314</v>
      </c>
      <c r="E393" s="74"/>
      <c r="F393" s="74"/>
      <c r="G393" s="75" t="str">
        <f>IF(stdProdLT(Main[[#This Row],[Comments]])=0.1,"N/A",IF(stdProdLT(Main[[#This Row],[Comments]])=0,"",stdProdLT(Main[[#This Row],[Comments]])))</f>
        <v/>
      </c>
      <c r="H393" s="76" t="str">
        <f>IF(AND(Main[[#This Row],[In Stock Date]]&lt;&gt;"",Main[[#This Row],[Revised Due Date]]&lt;&gt;""),Main[[#This Row],[In Stock Date]]-Main[[#This Row],[Revised Due Date]],"")</f>
        <v/>
      </c>
      <c r="I393" s="72" t="s">
        <v>4</v>
      </c>
      <c r="J393" s="72" t="s">
        <v>4</v>
      </c>
      <c r="K393" s="72" t="s">
        <v>4</v>
      </c>
      <c r="L393" s="74"/>
      <c r="M393" s="77" t="str">
        <f>IF(Main[[#This Row],[Tech Start Date]]&lt;1/1/1990,"",IF(Main[[#This Row],[Class]]="C",WORKDAY(Main[[#This Row],[Tech Start Date]],9),IF(Main[[#This Row],[Class]]="B", WORKDAY(Main[[#This Row],[Tech Start Date]],6),IF(Main[[#This Row],[Class]]="A",WORKDAY(Main[[#This Row],[Tech Start Date]],2),""))))</f>
        <v/>
      </c>
      <c r="N393" s="77" t="str">
        <f>IF(Main[[#This Row],[Tech Start Date]]&lt;1/1/1990,"",IF(Main[[#This Row],[Class]]="C",WORKDAY(Main[[#This Row],[Tech Start Date]],19),IF(Main[[#This Row],[Class]]="B", WORKDAY(Main[[#This Row],[Tech Start Date]],12),IF(Main[[#This Row],[Class]]="A",WORKDAY(Main[[#This Row],[Tech Start Date]],4),""))))</f>
        <v/>
      </c>
      <c r="O393" s="77" t="str">
        <f>IF(Main[[#This Row],[Tech Start Date]]&lt;1/1/1990,"",IF(Main[[#This Row],[Class]]="C",WORKDAY(Main[[#This Row],[Tech Start Date]],23),IF(Main[[#This Row],[Class]]="B", WORKDAY(Main[[#This Row],[Tech Start Date]],15),IF(Main[[#This Row],[Class]]="A",WORKDAY(Main[[#This Row],[Tech Start Date]],5),""))))</f>
        <v/>
      </c>
      <c r="P393" s="77" t="str">
        <f>IF(Main[[#This Row],[Tech Start Date]]&lt;1/1/1990,"",IF(Main[[#This Row],[Class]]="C",WORKDAY(Main[[#This Row],[Tech Start Date]],28),IF(Main[[#This Row],[Class]]="B", WORKDAY(Main[[#This Row],[Tech Start Date]],19),IF(Main[[#This Row],[Class]]="A",WORKDAY(Main[[#This Row],[Tech Start Date]],9),""))))</f>
        <v/>
      </c>
      <c r="Q393" s="74"/>
      <c r="R393" s="74"/>
      <c r="S393" s="72" t="s">
        <v>6</v>
      </c>
      <c r="T393" s="80" t="s">
        <v>4</v>
      </c>
      <c r="U393" s="72" t="s">
        <v>14</v>
      </c>
      <c r="V393" s="72" t="s">
        <v>1918</v>
      </c>
      <c r="W393" s="72" t="s">
        <v>1919</v>
      </c>
      <c r="X393" s="72" t="s">
        <v>2868</v>
      </c>
      <c r="Y393" s="72" t="s">
        <v>3012</v>
      </c>
      <c r="Z393" s="72" t="s">
        <v>4</v>
      </c>
      <c r="AA393" s="146" t="s">
        <v>2868</v>
      </c>
    </row>
    <row r="394" spans="1:27" ht="18.600000000000001" customHeight="1">
      <c r="A394" s="139" t="str">
        <f>IF(priority(Main[[#This Row],[Comments]])&lt;&gt;0, priority(Main[[#This Row],[Comments]]),"")</f>
        <v/>
      </c>
      <c r="B394" s="89" t="s">
        <v>1252</v>
      </c>
      <c r="C394" s="72" t="s">
        <v>197</v>
      </c>
      <c r="D394" s="73" t="s">
        <v>315</v>
      </c>
      <c r="E394" s="74"/>
      <c r="F394" s="74"/>
      <c r="G394" s="75" t="str">
        <f>IF(stdProdLT(Main[[#This Row],[Comments]])=0.1,"N/A",IF(stdProdLT(Main[[#This Row],[Comments]])=0,"",stdProdLT(Main[[#This Row],[Comments]])))</f>
        <v/>
      </c>
      <c r="H394" s="76" t="str">
        <f>IF(AND(Main[[#This Row],[In Stock Date]]&lt;&gt;"",Main[[#This Row],[Revised Due Date]]&lt;&gt;""),Main[[#This Row],[In Stock Date]]-Main[[#This Row],[Revised Due Date]],"")</f>
        <v/>
      </c>
      <c r="I394" s="72" t="s">
        <v>4</v>
      </c>
      <c r="J394" s="72" t="s">
        <v>4</v>
      </c>
      <c r="K394" s="72" t="s">
        <v>4</v>
      </c>
      <c r="L394" s="74"/>
      <c r="M394" s="77" t="str">
        <f>IF(Main[[#This Row],[Tech Start Date]]&lt;1/1/1990,"",IF(Main[[#This Row],[Class]]="C",WORKDAY(Main[[#This Row],[Tech Start Date]],9),IF(Main[[#This Row],[Class]]="B", WORKDAY(Main[[#This Row],[Tech Start Date]],6),IF(Main[[#This Row],[Class]]="A",WORKDAY(Main[[#This Row],[Tech Start Date]],2),""))))</f>
        <v/>
      </c>
      <c r="N394" s="77" t="str">
        <f>IF(Main[[#This Row],[Tech Start Date]]&lt;1/1/1990,"",IF(Main[[#This Row],[Class]]="C",WORKDAY(Main[[#This Row],[Tech Start Date]],19),IF(Main[[#This Row],[Class]]="B", WORKDAY(Main[[#This Row],[Tech Start Date]],12),IF(Main[[#This Row],[Class]]="A",WORKDAY(Main[[#This Row],[Tech Start Date]],4),""))))</f>
        <v/>
      </c>
      <c r="O394" s="77" t="str">
        <f>IF(Main[[#This Row],[Tech Start Date]]&lt;1/1/1990,"",IF(Main[[#This Row],[Class]]="C",WORKDAY(Main[[#This Row],[Tech Start Date]],23),IF(Main[[#This Row],[Class]]="B", WORKDAY(Main[[#This Row],[Tech Start Date]],15),IF(Main[[#This Row],[Class]]="A",WORKDAY(Main[[#This Row],[Tech Start Date]],5),""))))</f>
        <v/>
      </c>
      <c r="P394" s="77" t="str">
        <f>IF(Main[[#This Row],[Tech Start Date]]&lt;1/1/1990,"",IF(Main[[#This Row],[Class]]="C",WORKDAY(Main[[#This Row],[Tech Start Date]],28),IF(Main[[#This Row],[Class]]="B", WORKDAY(Main[[#This Row],[Tech Start Date]],19),IF(Main[[#This Row],[Class]]="A",WORKDAY(Main[[#This Row],[Tech Start Date]],9),""))))</f>
        <v/>
      </c>
      <c r="Q394" s="74">
        <v>40165</v>
      </c>
      <c r="R394" s="74"/>
      <c r="S394" s="72" t="s">
        <v>11</v>
      </c>
      <c r="T394" s="80" t="s">
        <v>4</v>
      </c>
      <c r="U394" s="72" t="s">
        <v>14</v>
      </c>
      <c r="V394" s="72" t="s">
        <v>1927</v>
      </c>
      <c r="W394" s="72" t="s">
        <v>1923</v>
      </c>
      <c r="X394" s="72" t="s">
        <v>306</v>
      </c>
      <c r="Y394" s="72" t="s">
        <v>2969</v>
      </c>
      <c r="Z394" s="72" t="s">
        <v>4</v>
      </c>
      <c r="AA394" s="146" t="s">
        <v>885</v>
      </c>
    </row>
    <row r="395" spans="1:27" ht="18.600000000000001" customHeight="1">
      <c r="A395" s="139" t="str">
        <f>IF(priority(Main[[#This Row],[Comments]])&lt;&gt;0, priority(Main[[#This Row],[Comments]]),"")</f>
        <v/>
      </c>
      <c r="B395" s="89" t="s">
        <v>1254</v>
      </c>
      <c r="C395" s="72" t="s">
        <v>4</v>
      </c>
      <c r="D395" s="73" t="s">
        <v>317</v>
      </c>
      <c r="E395" s="74">
        <v>40275.49355324074</v>
      </c>
      <c r="F395" s="74"/>
      <c r="G395" s="75" t="str">
        <f>IF(stdProdLT(Main[[#This Row],[Comments]])=0.1,"N/A",IF(stdProdLT(Main[[#This Row],[Comments]])=0,"",stdProdLT(Main[[#This Row],[Comments]])))</f>
        <v/>
      </c>
      <c r="H395" s="76" t="str">
        <f>IF(AND(Main[[#This Row],[In Stock Date]]&lt;&gt;"",Main[[#This Row],[Revised Due Date]]&lt;&gt;""),Main[[#This Row],[In Stock Date]]-Main[[#This Row],[Revised Due Date]],"")</f>
        <v/>
      </c>
      <c r="I395" s="72" t="s">
        <v>4</v>
      </c>
      <c r="J395" s="72" t="s">
        <v>4</v>
      </c>
      <c r="K395" s="72" t="s">
        <v>4</v>
      </c>
      <c r="L395" s="74"/>
      <c r="M395" s="77" t="str">
        <f>IF(Main[[#This Row],[Tech Start Date]]&lt;1/1/1990,"",IF(Main[[#This Row],[Class]]="C",WORKDAY(Main[[#This Row],[Tech Start Date]],9),IF(Main[[#This Row],[Class]]="B", WORKDAY(Main[[#This Row],[Tech Start Date]],6),IF(Main[[#This Row],[Class]]="A",WORKDAY(Main[[#This Row],[Tech Start Date]],2),""))))</f>
        <v/>
      </c>
      <c r="N395" s="77" t="str">
        <f>IF(Main[[#This Row],[Tech Start Date]]&lt;1/1/1990,"",IF(Main[[#This Row],[Class]]="C",WORKDAY(Main[[#This Row],[Tech Start Date]],19),IF(Main[[#This Row],[Class]]="B", WORKDAY(Main[[#This Row],[Tech Start Date]],12),IF(Main[[#This Row],[Class]]="A",WORKDAY(Main[[#This Row],[Tech Start Date]],4),""))))</f>
        <v/>
      </c>
      <c r="O395" s="77" t="str">
        <f>IF(Main[[#This Row],[Tech Start Date]]&lt;1/1/1990,"",IF(Main[[#This Row],[Class]]="C",WORKDAY(Main[[#This Row],[Tech Start Date]],23),IF(Main[[#This Row],[Class]]="B", WORKDAY(Main[[#This Row],[Tech Start Date]],15),IF(Main[[#This Row],[Class]]="A",WORKDAY(Main[[#This Row],[Tech Start Date]],5),""))))</f>
        <v/>
      </c>
      <c r="P395" s="77" t="str">
        <f>IF(Main[[#This Row],[Tech Start Date]]&lt;1/1/1990,"",IF(Main[[#This Row],[Class]]="C",WORKDAY(Main[[#This Row],[Tech Start Date]],28),IF(Main[[#This Row],[Class]]="B", WORKDAY(Main[[#This Row],[Tech Start Date]],19),IF(Main[[#This Row],[Class]]="A",WORKDAY(Main[[#This Row],[Tech Start Date]],9),""))))</f>
        <v/>
      </c>
      <c r="Q395" s="74">
        <v>40289</v>
      </c>
      <c r="R395" s="74"/>
      <c r="S395" s="72" t="s">
        <v>318</v>
      </c>
      <c r="T395" s="80" t="s">
        <v>4</v>
      </c>
      <c r="U395" s="72" t="s">
        <v>7</v>
      </c>
      <c r="V395" s="72" t="s">
        <v>1917</v>
      </c>
      <c r="W395" s="72" t="s">
        <v>1919</v>
      </c>
      <c r="X395" s="72" t="s">
        <v>2827</v>
      </c>
      <c r="Y395" s="72" t="s">
        <v>2942</v>
      </c>
      <c r="Z395" s="72" t="s">
        <v>4</v>
      </c>
      <c r="AA395" s="146" t="s">
        <v>2827</v>
      </c>
    </row>
    <row r="396" spans="1:27" ht="18.600000000000001" customHeight="1">
      <c r="A396" s="139" t="str">
        <f>IF(priority(Main[[#This Row],[Comments]])&lt;&gt;0, priority(Main[[#This Row],[Comments]]),"")</f>
        <v/>
      </c>
      <c r="B396" s="89" t="s">
        <v>1256</v>
      </c>
      <c r="C396" s="72" t="s">
        <v>4</v>
      </c>
      <c r="D396" s="73" t="s">
        <v>320</v>
      </c>
      <c r="E396" s="74"/>
      <c r="F396" s="74"/>
      <c r="G396" s="75" t="str">
        <f>IF(stdProdLT(Main[[#This Row],[Comments]])=0.1,"N/A",IF(stdProdLT(Main[[#This Row],[Comments]])=0,"",stdProdLT(Main[[#This Row],[Comments]])))</f>
        <v/>
      </c>
      <c r="H396" s="76" t="str">
        <f>IF(AND(Main[[#This Row],[In Stock Date]]&lt;&gt;"",Main[[#This Row],[Revised Due Date]]&lt;&gt;""),Main[[#This Row],[In Stock Date]]-Main[[#This Row],[Revised Due Date]],"")</f>
        <v/>
      </c>
      <c r="I396" s="72" t="s">
        <v>4</v>
      </c>
      <c r="J396" s="72" t="s">
        <v>28</v>
      </c>
      <c r="K396" s="72" t="s">
        <v>4</v>
      </c>
      <c r="L396" s="74"/>
      <c r="M396" s="77" t="str">
        <f>IF(Main[[#This Row],[Tech Start Date]]&lt;1/1/1990,"",IF(Main[[#This Row],[Class]]="C",WORKDAY(Main[[#This Row],[Tech Start Date]],9),IF(Main[[#This Row],[Class]]="B", WORKDAY(Main[[#This Row],[Tech Start Date]],6),IF(Main[[#This Row],[Class]]="A",WORKDAY(Main[[#This Row],[Tech Start Date]],2),""))))</f>
        <v/>
      </c>
      <c r="N396" s="77" t="str">
        <f>IF(Main[[#This Row],[Tech Start Date]]&lt;1/1/1990,"",IF(Main[[#This Row],[Class]]="C",WORKDAY(Main[[#This Row],[Tech Start Date]],19),IF(Main[[#This Row],[Class]]="B", WORKDAY(Main[[#This Row],[Tech Start Date]],12),IF(Main[[#This Row],[Class]]="A",WORKDAY(Main[[#This Row],[Tech Start Date]],4),""))))</f>
        <v/>
      </c>
      <c r="O396" s="77" t="str">
        <f>IF(Main[[#This Row],[Tech Start Date]]&lt;1/1/1990,"",IF(Main[[#This Row],[Class]]="C",WORKDAY(Main[[#This Row],[Tech Start Date]],23),IF(Main[[#This Row],[Class]]="B", WORKDAY(Main[[#This Row],[Tech Start Date]],15),IF(Main[[#This Row],[Class]]="A",WORKDAY(Main[[#This Row],[Tech Start Date]],5),""))))</f>
        <v/>
      </c>
      <c r="P396" s="77" t="str">
        <f>IF(Main[[#This Row],[Tech Start Date]]&lt;1/1/1990,"",IF(Main[[#This Row],[Class]]="C",WORKDAY(Main[[#This Row],[Tech Start Date]],28),IF(Main[[#This Row],[Class]]="B", WORKDAY(Main[[#This Row],[Tech Start Date]],19),IF(Main[[#This Row],[Class]]="A",WORKDAY(Main[[#This Row],[Tech Start Date]],9),""))))</f>
        <v/>
      </c>
      <c r="Q396" s="74"/>
      <c r="R396" s="74"/>
      <c r="S396" s="72" t="s">
        <v>17</v>
      </c>
      <c r="T396" s="80" t="s">
        <v>4</v>
      </c>
      <c r="U396" s="72" t="s">
        <v>14</v>
      </c>
      <c r="V396" s="72" t="s">
        <v>1917</v>
      </c>
      <c r="W396" s="72" t="s">
        <v>1921</v>
      </c>
      <c r="X396" s="72" t="s">
        <v>129</v>
      </c>
      <c r="Y396" s="72" t="s">
        <v>4</v>
      </c>
      <c r="Z396" s="72" t="s">
        <v>129</v>
      </c>
      <c r="AA396" s="146" t="s">
        <v>2827</v>
      </c>
    </row>
    <row r="397" spans="1:27" ht="18.600000000000001" customHeight="1">
      <c r="A397" s="139" t="str">
        <f>IF(priority(Main[[#This Row],[Comments]])&lt;&gt;0, priority(Main[[#This Row],[Comments]]),"")</f>
        <v/>
      </c>
      <c r="B397" s="89" t="s">
        <v>1257</v>
      </c>
      <c r="C397" s="72" t="s">
        <v>4</v>
      </c>
      <c r="D397" s="73" t="s">
        <v>321</v>
      </c>
      <c r="E397" s="74"/>
      <c r="F397" s="74"/>
      <c r="G397" s="75" t="str">
        <f>IF(stdProdLT(Main[[#This Row],[Comments]])=0.1,"N/A",IF(stdProdLT(Main[[#This Row],[Comments]])=0,"",stdProdLT(Main[[#This Row],[Comments]])))</f>
        <v/>
      </c>
      <c r="H397" s="76" t="str">
        <f>IF(AND(Main[[#This Row],[In Stock Date]]&lt;&gt;"",Main[[#This Row],[Revised Due Date]]&lt;&gt;""),Main[[#This Row],[In Stock Date]]-Main[[#This Row],[Revised Due Date]],"")</f>
        <v/>
      </c>
      <c r="I397" s="72" t="s">
        <v>4</v>
      </c>
      <c r="J397" s="72" t="s">
        <v>4</v>
      </c>
      <c r="K397" s="72" t="s">
        <v>4</v>
      </c>
      <c r="L397" s="74"/>
      <c r="M397" s="77" t="str">
        <f>IF(Main[[#This Row],[Tech Start Date]]&lt;1/1/1990,"",IF(Main[[#This Row],[Class]]="C",WORKDAY(Main[[#This Row],[Tech Start Date]],9),IF(Main[[#This Row],[Class]]="B", WORKDAY(Main[[#This Row],[Tech Start Date]],6),IF(Main[[#This Row],[Class]]="A",WORKDAY(Main[[#This Row],[Tech Start Date]],2),""))))</f>
        <v/>
      </c>
      <c r="N397" s="77" t="str">
        <f>IF(Main[[#This Row],[Tech Start Date]]&lt;1/1/1990,"",IF(Main[[#This Row],[Class]]="C",WORKDAY(Main[[#This Row],[Tech Start Date]],19),IF(Main[[#This Row],[Class]]="B", WORKDAY(Main[[#This Row],[Tech Start Date]],12),IF(Main[[#This Row],[Class]]="A",WORKDAY(Main[[#This Row],[Tech Start Date]],4),""))))</f>
        <v/>
      </c>
      <c r="O397" s="77" t="str">
        <f>IF(Main[[#This Row],[Tech Start Date]]&lt;1/1/1990,"",IF(Main[[#This Row],[Class]]="C",WORKDAY(Main[[#This Row],[Tech Start Date]],23),IF(Main[[#This Row],[Class]]="B", WORKDAY(Main[[#This Row],[Tech Start Date]],15),IF(Main[[#This Row],[Class]]="A",WORKDAY(Main[[#This Row],[Tech Start Date]],5),""))))</f>
        <v/>
      </c>
      <c r="P397" s="77" t="str">
        <f>IF(Main[[#This Row],[Tech Start Date]]&lt;1/1/1990,"",IF(Main[[#This Row],[Class]]="C",WORKDAY(Main[[#This Row],[Tech Start Date]],28),IF(Main[[#This Row],[Class]]="B", WORKDAY(Main[[#This Row],[Tech Start Date]],19),IF(Main[[#This Row],[Class]]="A",WORKDAY(Main[[#This Row],[Tech Start Date]],9),""))))</f>
        <v/>
      </c>
      <c r="Q397" s="74">
        <v>40725</v>
      </c>
      <c r="R397" s="74"/>
      <c r="S397" s="72" t="s">
        <v>17</v>
      </c>
      <c r="T397" s="80" t="s">
        <v>4</v>
      </c>
      <c r="U397" s="72" t="s">
        <v>14</v>
      </c>
      <c r="V397" s="72" t="s">
        <v>1917</v>
      </c>
      <c r="W397" s="72" t="s">
        <v>1919</v>
      </c>
      <c r="X397" s="72" t="s">
        <v>909</v>
      </c>
      <c r="Y397" s="72" t="s">
        <v>3023</v>
      </c>
      <c r="Z397" s="72" t="s">
        <v>4</v>
      </c>
      <c r="AA397" s="146" t="s">
        <v>909</v>
      </c>
    </row>
    <row r="398" spans="1:27" ht="18.600000000000001" customHeight="1">
      <c r="A398" s="139" t="str">
        <f>IF(priority(Main[[#This Row],[Comments]])&lt;&gt;0, priority(Main[[#This Row],[Comments]]),"")</f>
        <v/>
      </c>
      <c r="B398" s="89" t="s">
        <v>1258</v>
      </c>
      <c r="C398" s="72" t="s">
        <v>93</v>
      </c>
      <c r="D398" s="73" t="s">
        <v>322</v>
      </c>
      <c r="E398" s="74"/>
      <c r="F398" s="74">
        <v>40168</v>
      </c>
      <c r="G398" s="75" t="str">
        <f>IF(stdProdLT(Main[[#This Row],[Comments]])=0.1,"N/A",IF(stdProdLT(Main[[#This Row],[Comments]])=0,"",stdProdLT(Main[[#This Row],[Comments]])))</f>
        <v/>
      </c>
      <c r="H398" s="76" t="str">
        <f>IF(AND(Main[[#This Row],[In Stock Date]]&lt;&gt;"",Main[[#This Row],[Revised Due Date]]&lt;&gt;""),Main[[#This Row],[In Stock Date]]-Main[[#This Row],[Revised Due Date]],"")</f>
        <v/>
      </c>
      <c r="I398" s="72" t="s">
        <v>4</v>
      </c>
      <c r="J398" s="72" t="s">
        <v>4</v>
      </c>
      <c r="K398" s="81" t="s">
        <v>4</v>
      </c>
      <c r="L398" s="74"/>
      <c r="M398" s="77" t="str">
        <f>IF(Main[[#This Row],[Tech Start Date]]&lt;1/1/1990,"",IF(Main[[#This Row],[Class]]="C",WORKDAY(Main[[#This Row],[Tech Start Date]],9),IF(Main[[#This Row],[Class]]="B", WORKDAY(Main[[#This Row],[Tech Start Date]],6),IF(Main[[#This Row],[Class]]="A",WORKDAY(Main[[#This Row],[Tech Start Date]],2),""))))</f>
        <v/>
      </c>
      <c r="N398" s="77" t="str">
        <f>IF(Main[[#This Row],[Tech Start Date]]&lt;1/1/1990,"",IF(Main[[#This Row],[Class]]="C",WORKDAY(Main[[#This Row],[Tech Start Date]],19),IF(Main[[#This Row],[Class]]="B", WORKDAY(Main[[#This Row],[Tech Start Date]],12),IF(Main[[#This Row],[Class]]="A",WORKDAY(Main[[#This Row],[Tech Start Date]],4),""))))</f>
        <v/>
      </c>
      <c r="O398" s="77" t="str">
        <f>IF(Main[[#This Row],[Tech Start Date]]&lt;1/1/1990,"",IF(Main[[#This Row],[Class]]="C",WORKDAY(Main[[#This Row],[Tech Start Date]],23),IF(Main[[#This Row],[Class]]="B", WORKDAY(Main[[#This Row],[Tech Start Date]],15),IF(Main[[#This Row],[Class]]="A",WORKDAY(Main[[#This Row],[Tech Start Date]],5),""))))</f>
        <v/>
      </c>
      <c r="P398" s="77" t="str">
        <f>IF(Main[[#This Row],[Tech Start Date]]&lt;1/1/1990,"",IF(Main[[#This Row],[Class]]="C",WORKDAY(Main[[#This Row],[Tech Start Date]],28),IF(Main[[#This Row],[Class]]="B", WORKDAY(Main[[#This Row],[Tech Start Date]],19),IF(Main[[#This Row],[Class]]="A",WORKDAY(Main[[#This Row],[Tech Start Date]],9),""))))</f>
        <v/>
      </c>
      <c r="Q398" s="74">
        <v>39993</v>
      </c>
      <c r="R398" s="74"/>
      <c r="S398" s="72" t="s">
        <v>11</v>
      </c>
      <c r="T398" s="80" t="s">
        <v>4</v>
      </c>
      <c r="U398" s="72" t="s">
        <v>14</v>
      </c>
      <c r="V398" s="72" t="s">
        <v>1918</v>
      </c>
      <c r="W398" s="72" t="s">
        <v>1925</v>
      </c>
      <c r="X398" s="72" t="s">
        <v>2859</v>
      </c>
      <c r="Y398" s="72" t="s">
        <v>2997</v>
      </c>
      <c r="Z398" s="72" t="s">
        <v>4</v>
      </c>
      <c r="AA398" s="146" t="s">
        <v>2859</v>
      </c>
    </row>
    <row r="399" spans="1:27" ht="18.600000000000001" customHeight="1">
      <c r="A399" s="139" t="str">
        <f>IF(priority(Main[[#This Row],[Comments]])&lt;&gt;0, priority(Main[[#This Row],[Comments]]),"")</f>
        <v/>
      </c>
      <c r="B399" s="89" t="s">
        <v>1259</v>
      </c>
      <c r="C399" s="72" t="s">
        <v>93</v>
      </c>
      <c r="D399" s="73" t="s">
        <v>323</v>
      </c>
      <c r="E399" s="74"/>
      <c r="F399" s="74">
        <v>40299</v>
      </c>
      <c r="G399" s="75" t="str">
        <f>IF(stdProdLT(Main[[#This Row],[Comments]])=0.1,"N/A",IF(stdProdLT(Main[[#This Row],[Comments]])=0,"",stdProdLT(Main[[#This Row],[Comments]])))</f>
        <v/>
      </c>
      <c r="H399" s="76" t="str">
        <f>IF(AND(Main[[#This Row],[In Stock Date]]&lt;&gt;"",Main[[#This Row],[Revised Due Date]]&lt;&gt;""),Main[[#This Row],[In Stock Date]]-Main[[#This Row],[Revised Due Date]],"")</f>
        <v/>
      </c>
      <c r="I399" s="72" t="s">
        <v>4</v>
      </c>
      <c r="J399" s="72" t="s">
        <v>4</v>
      </c>
      <c r="K399" s="72" t="s">
        <v>4</v>
      </c>
      <c r="L399" s="74"/>
      <c r="M399" s="77" t="str">
        <f>IF(Main[[#This Row],[Tech Start Date]]&lt;1/1/1990,"",IF(Main[[#This Row],[Class]]="C",WORKDAY(Main[[#This Row],[Tech Start Date]],9),IF(Main[[#This Row],[Class]]="B", WORKDAY(Main[[#This Row],[Tech Start Date]],6),IF(Main[[#This Row],[Class]]="A",WORKDAY(Main[[#This Row],[Tech Start Date]],2),""))))</f>
        <v/>
      </c>
      <c r="N399" s="77" t="str">
        <f>IF(Main[[#This Row],[Tech Start Date]]&lt;1/1/1990,"",IF(Main[[#This Row],[Class]]="C",WORKDAY(Main[[#This Row],[Tech Start Date]],19),IF(Main[[#This Row],[Class]]="B", WORKDAY(Main[[#This Row],[Tech Start Date]],12),IF(Main[[#This Row],[Class]]="A",WORKDAY(Main[[#This Row],[Tech Start Date]],4),""))))</f>
        <v/>
      </c>
      <c r="O399" s="77" t="str">
        <f>IF(Main[[#This Row],[Tech Start Date]]&lt;1/1/1990,"",IF(Main[[#This Row],[Class]]="C",WORKDAY(Main[[#This Row],[Tech Start Date]],23),IF(Main[[#This Row],[Class]]="B", WORKDAY(Main[[#This Row],[Tech Start Date]],15),IF(Main[[#This Row],[Class]]="A",WORKDAY(Main[[#This Row],[Tech Start Date]],5),""))))</f>
        <v/>
      </c>
      <c r="P399" s="77" t="str">
        <f>IF(Main[[#This Row],[Tech Start Date]]&lt;1/1/1990,"",IF(Main[[#This Row],[Class]]="C",WORKDAY(Main[[#This Row],[Tech Start Date]],28),IF(Main[[#This Row],[Class]]="B", WORKDAY(Main[[#This Row],[Tech Start Date]],19),IF(Main[[#This Row],[Class]]="A",WORKDAY(Main[[#This Row],[Tech Start Date]],9),""))))</f>
        <v/>
      </c>
      <c r="Q399" s="74">
        <v>40214</v>
      </c>
      <c r="R399" s="74"/>
      <c r="S399" s="72" t="s">
        <v>11</v>
      </c>
      <c r="T399" s="80" t="s">
        <v>4</v>
      </c>
      <c r="U399" s="72" t="s">
        <v>12</v>
      </c>
      <c r="V399" s="72" t="s">
        <v>1917</v>
      </c>
      <c r="W399" s="72" t="s">
        <v>1923</v>
      </c>
      <c r="X399" s="72" t="s">
        <v>2851</v>
      </c>
      <c r="Y399" s="72" t="s">
        <v>4</v>
      </c>
      <c r="Z399" s="72" t="s">
        <v>4</v>
      </c>
      <c r="AA399" s="146" t="s">
        <v>2851</v>
      </c>
    </row>
    <row r="400" spans="1:27" ht="18.600000000000001" customHeight="1">
      <c r="A400" s="139" t="str">
        <f>IF(priority(Main[[#This Row],[Comments]])&lt;&gt;0, priority(Main[[#This Row],[Comments]]),"")</f>
        <v/>
      </c>
      <c r="B400" s="89" t="s">
        <v>1260</v>
      </c>
      <c r="C400" s="72" t="s">
        <v>4</v>
      </c>
      <c r="D400" s="73" t="s">
        <v>328</v>
      </c>
      <c r="E400" s="74"/>
      <c r="F400" s="74"/>
      <c r="G400" s="75" t="str">
        <f>IF(stdProdLT(Main[[#This Row],[Comments]])=0.1,"N/A",IF(stdProdLT(Main[[#This Row],[Comments]])=0,"",stdProdLT(Main[[#This Row],[Comments]])))</f>
        <v/>
      </c>
      <c r="H400" s="76" t="str">
        <f>IF(AND(Main[[#This Row],[In Stock Date]]&lt;&gt;"",Main[[#This Row],[Revised Due Date]]&lt;&gt;""),Main[[#This Row],[In Stock Date]]-Main[[#This Row],[Revised Due Date]],"")</f>
        <v/>
      </c>
      <c r="I400" s="72" t="s">
        <v>4</v>
      </c>
      <c r="J400" s="72" t="s">
        <v>4</v>
      </c>
      <c r="K400" s="72" t="s">
        <v>4</v>
      </c>
      <c r="L400" s="74"/>
      <c r="M400" s="77" t="str">
        <f>IF(Main[[#This Row],[Tech Start Date]]&lt;1/1/1990,"",IF(Main[[#This Row],[Class]]="C",WORKDAY(Main[[#This Row],[Tech Start Date]],9),IF(Main[[#This Row],[Class]]="B", WORKDAY(Main[[#This Row],[Tech Start Date]],6),IF(Main[[#This Row],[Class]]="A",WORKDAY(Main[[#This Row],[Tech Start Date]],2),""))))</f>
        <v/>
      </c>
      <c r="N400" s="77" t="str">
        <f>IF(Main[[#This Row],[Tech Start Date]]&lt;1/1/1990,"",IF(Main[[#This Row],[Class]]="C",WORKDAY(Main[[#This Row],[Tech Start Date]],19),IF(Main[[#This Row],[Class]]="B", WORKDAY(Main[[#This Row],[Tech Start Date]],12),IF(Main[[#This Row],[Class]]="A",WORKDAY(Main[[#This Row],[Tech Start Date]],4),""))))</f>
        <v/>
      </c>
      <c r="O400" s="77" t="str">
        <f>IF(Main[[#This Row],[Tech Start Date]]&lt;1/1/1990,"",IF(Main[[#This Row],[Class]]="C",WORKDAY(Main[[#This Row],[Tech Start Date]],23),IF(Main[[#This Row],[Class]]="B", WORKDAY(Main[[#This Row],[Tech Start Date]],15),IF(Main[[#This Row],[Class]]="A",WORKDAY(Main[[#This Row],[Tech Start Date]],5),""))))</f>
        <v/>
      </c>
      <c r="P400" s="77" t="str">
        <f>IF(Main[[#This Row],[Tech Start Date]]&lt;1/1/1990,"",IF(Main[[#This Row],[Class]]="C",WORKDAY(Main[[#This Row],[Tech Start Date]],28),IF(Main[[#This Row],[Class]]="B", WORKDAY(Main[[#This Row],[Tech Start Date]],19),IF(Main[[#This Row],[Class]]="A",WORKDAY(Main[[#This Row],[Tech Start Date]],9),""))))</f>
        <v/>
      </c>
      <c r="Q400" s="74"/>
      <c r="R400" s="74"/>
      <c r="S400" s="72" t="s">
        <v>17</v>
      </c>
      <c r="T400" s="80" t="s">
        <v>4</v>
      </c>
      <c r="U400" s="72" t="s">
        <v>14</v>
      </c>
      <c r="V400" s="72" t="s">
        <v>1917</v>
      </c>
      <c r="W400" s="72" t="s">
        <v>1919</v>
      </c>
      <c r="X400" s="72" t="s">
        <v>909</v>
      </c>
      <c r="Y400" s="72" t="s">
        <v>3023</v>
      </c>
      <c r="Z400" s="72" t="s">
        <v>4</v>
      </c>
      <c r="AA400" s="146" t="s">
        <v>909</v>
      </c>
    </row>
    <row r="401" spans="1:27" ht="18.600000000000001" customHeight="1">
      <c r="A401" s="139" t="str">
        <f>IF(priority(Main[[#This Row],[Comments]])&lt;&gt;0, priority(Main[[#This Row],[Comments]]),"")</f>
        <v/>
      </c>
      <c r="B401" s="89" t="s">
        <v>3610</v>
      </c>
      <c r="C401" s="72" t="s">
        <v>4</v>
      </c>
      <c r="D401" s="73" t="s">
        <v>3611</v>
      </c>
      <c r="E401" s="74">
        <v>40967.694027777776</v>
      </c>
      <c r="F401" s="74"/>
      <c r="G401" s="75" t="str">
        <f>IF(stdProdLT(Main[[#This Row],[Comments]])=0.1,"N/A",IF(stdProdLT(Main[[#This Row],[Comments]])=0,"",stdProdLT(Main[[#This Row],[Comments]])))</f>
        <v/>
      </c>
      <c r="H401" s="76" t="str">
        <f>IF(AND(Main[[#This Row],[In Stock Date]]&lt;&gt;"",Main[[#This Row],[Revised Due Date]]&lt;&gt;""),Main[[#This Row],[In Stock Date]]-Main[[#This Row],[Revised Due Date]],"")</f>
        <v/>
      </c>
      <c r="I401" s="72" t="s">
        <v>4</v>
      </c>
      <c r="J401" s="72" t="s">
        <v>4</v>
      </c>
      <c r="K401" s="72" t="s">
        <v>4</v>
      </c>
      <c r="L401" s="74"/>
      <c r="M401" s="77" t="str">
        <f>IF(Main[[#This Row],[Tech Start Date]]&lt;1/1/1990,"",IF(Main[[#This Row],[Class]]="C",WORKDAY(Main[[#This Row],[Tech Start Date]],9),IF(Main[[#This Row],[Class]]="B", WORKDAY(Main[[#This Row],[Tech Start Date]],6),IF(Main[[#This Row],[Class]]="A",WORKDAY(Main[[#This Row],[Tech Start Date]],2),""))))</f>
        <v/>
      </c>
      <c r="N401" s="77" t="str">
        <f>IF(Main[[#This Row],[Tech Start Date]]&lt;1/1/1990,"",IF(Main[[#This Row],[Class]]="C",WORKDAY(Main[[#This Row],[Tech Start Date]],19),IF(Main[[#This Row],[Class]]="B", WORKDAY(Main[[#This Row],[Tech Start Date]],12),IF(Main[[#This Row],[Class]]="A",WORKDAY(Main[[#This Row],[Tech Start Date]],4),""))))</f>
        <v/>
      </c>
      <c r="O401" s="77" t="str">
        <f>IF(Main[[#This Row],[Tech Start Date]]&lt;1/1/1990,"",IF(Main[[#This Row],[Class]]="C",WORKDAY(Main[[#This Row],[Tech Start Date]],23),IF(Main[[#This Row],[Class]]="B", WORKDAY(Main[[#This Row],[Tech Start Date]],15),IF(Main[[#This Row],[Class]]="A",WORKDAY(Main[[#This Row],[Tech Start Date]],5),""))))</f>
        <v/>
      </c>
      <c r="P401" s="77" t="str">
        <f>IF(Main[[#This Row],[Tech Start Date]]&lt;1/1/1990,"",IF(Main[[#This Row],[Class]]="C",WORKDAY(Main[[#This Row],[Tech Start Date]],28),IF(Main[[#This Row],[Class]]="B", WORKDAY(Main[[#This Row],[Tech Start Date]],19),IF(Main[[#This Row],[Class]]="A",WORKDAY(Main[[#This Row],[Tech Start Date]],9),""))))</f>
        <v/>
      </c>
      <c r="Q401" s="74"/>
      <c r="R401" s="74"/>
      <c r="S401" s="72" t="s">
        <v>6</v>
      </c>
      <c r="T401" s="80" t="s">
        <v>4</v>
      </c>
      <c r="U401" s="72" t="s">
        <v>7</v>
      </c>
      <c r="V401" s="72" t="s">
        <v>1920</v>
      </c>
      <c r="W401" s="72" t="s">
        <v>1921</v>
      </c>
      <c r="X401" s="72" t="s">
        <v>69</v>
      </c>
      <c r="Y401" s="72" t="s">
        <v>4</v>
      </c>
      <c r="Z401" s="72" t="s">
        <v>4</v>
      </c>
      <c r="AA401" s="146" t="s">
        <v>4</v>
      </c>
    </row>
    <row r="402" spans="1:27" ht="18.600000000000001" customHeight="1">
      <c r="A402" s="139" t="str">
        <f>IF(priority(Main[[#This Row],[Comments]])&lt;&gt;0, priority(Main[[#This Row],[Comments]]),"")</f>
        <v/>
      </c>
      <c r="B402" s="89" t="s">
        <v>1261</v>
      </c>
      <c r="C402" s="72" t="s">
        <v>4</v>
      </c>
      <c r="D402" s="73" t="s">
        <v>329</v>
      </c>
      <c r="E402" s="74">
        <v>40519.3518287037</v>
      </c>
      <c r="F402" s="74"/>
      <c r="G402" s="75" t="str">
        <f>IF(stdProdLT(Main[[#This Row],[Comments]])=0.1,"N/A",IF(stdProdLT(Main[[#This Row],[Comments]])=0,"",stdProdLT(Main[[#This Row],[Comments]])))</f>
        <v/>
      </c>
      <c r="H402" s="76" t="str">
        <f>IF(AND(Main[[#This Row],[In Stock Date]]&lt;&gt;"",Main[[#This Row],[Revised Due Date]]&lt;&gt;""),Main[[#This Row],[In Stock Date]]-Main[[#This Row],[Revised Due Date]],"")</f>
        <v/>
      </c>
      <c r="I402" s="72" t="s">
        <v>4</v>
      </c>
      <c r="J402" s="72" t="s">
        <v>4</v>
      </c>
      <c r="K402" s="72" t="s">
        <v>4</v>
      </c>
      <c r="L402" s="74"/>
      <c r="M402" s="77" t="str">
        <f>IF(Main[[#This Row],[Tech Start Date]]&lt;1/1/1990,"",IF(Main[[#This Row],[Class]]="C",WORKDAY(Main[[#This Row],[Tech Start Date]],9),IF(Main[[#This Row],[Class]]="B", WORKDAY(Main[[#This Row],[Tech Start Date]],6),IF(Main[[#This Row],[Class]]="A",WORKDAY(Main[[#This Row],[Tech Start Date]],2),""))))</f>
        <v/>
      </c>
      <c r="N402" s="77" t="str">
        <f>IF(Main[[#This Row],[Tech Start Date]]&lt;1/1/1990,"",IF(Main[[#This Row],[Class]]="C",WORKDAY(Main[[#This Row],[Tech Start Date]],19),IF(Main[[#This Row],[Class]]="B", WORKDAY(Main[[#This Row],[Tech Start Date]],12),IF(Main[[#This Row],[Class]]="A",WORKDAY(Main[[#This Row],[Tech Start Date]],4),""))))</f>
        <v/>
      </c>
      <c r="O402" s="77" t="str">
        <f>IF(Main[[#This Row],[Tech Start Date]]&lt;1/1/1990,"",IF(Main[[#This Row],[Class]]="C",WORKDAY(Main[[#This Row],[Tech Start Date]],23),IF(Main[[#This Row],[Class]]="B", WORKDAY(Main[[#This Row],[Tech Start Date]],15),IF(Main[[#This Row],[Class]]="A",WORKDAY(Main[[#This Row],[Tech Start Date]],5),""))))</f>
        <v/>
      </c>
      <c r="P402" s="77" t="str">
        <f>IF(Main[[#This Row],[Tech Start Date]]&lt;1/1/1990,"",IF(Main[[#This Row],[Class]]="C",WORKDAY(Main[[#This Row],[Tech Start Date]],28),IF(Main[[#This Row],[Class]]="B", WORKDAY(Main[[#This Row],[Tech Start Date]],19),IF(Main[[#This Row],[Class]]="A",WORKDAY(Main[[#This Row],[Tech Start Date]],9),""))))</f>
        <v/>
      </c>
      <c r="Q402" s="74">
        <v>40536</v>
      </c>
      <c r="R402" s="74"/>
      <c r="S402" s="72" t="s">
        <v>4</v>
      </c>
      <c r="T402" s="80" t="s">
        <v>4</v>
      </c>
      <c r="U402" s="72" t="s">
        <v>7</v>
      </c>
      <c r="V402" s="72" t="s">
        <v>1917</v>
      </c>
      <c r="W402" s="72" t="s">
        <v>4</v>
      </c>
      <c r="X402" s="72" t="s">
        <v>2824</v>
      </c>
      <c r="Y402" s="72" t="s">
        <v>2935</v>
      </c>
      <c r="Z402" s="72" t="s">
        <v>4</v>
      </c>
      <c r="AA402" s="146" t="s">
        <v>2824</v>
      </c>
    </row>
    <row r="403" spans="1:27" ht="18.600000000000001" customHeight="1">
      <c r="A403" s="139" t="str">
        <f>IF(priority(Main[[#This Row],[Comments]])&lt;&gt;0, priority(Main[[#This Row],[Comments]]),"")</f>
        <v/>
      </c>
      <c r="B403" s="89" t="s">
        <v>1262</v>
      </c>
      <c r="C403" s="72" t="s">
        <v>72</v>
      </c>
      <c r="D403" s="73" t="s">
        <v>330</v>
      </c>
      <c r="E403" s="74"/>
      <c r="F403" s="74">
        <v>40313</v>
      </c>
      <c r="G403" s="75" t="str">
        <f>IF(stdProdLT(Main[[#This Row],[Comments]])=0.1,"N/A",IF(stdProdLT(Main[[#This Row],[Comments]])=0,"",stdProdLT(Main[[#This Row],[Comments]])))</f>
        <v/>
      </c>
      <c r="H403" s="76" t="str">
        <f>IF(AND(Main[[#This Row],[In Stock Date]]&lt;&gt;"",Main[[#This Row],[Revised Due Date]]&lt;&gt;""),Main[[#This Row],[In Stock Date]]-Main[[#This Row],[Revised Due Date]],"")</f>
        <v/>
      </c>
      <c r="I403" s="72" t="s">
        <v>4</v>
      </c>
      <c r="J403" s="72" t="s">
        <v>4</v>
      </c>
      <c r="K403" s="72" t="s">
        <v>4</v>
      </c>
      <c r="L403" s="74"/>
      <c r="M403" s="77" t="str">
        <f>IF(Main[[#This Row],[Tech Start Date]]&lt;1/1/1990,"",IF(Main[[#This Row],[Class]]="C",WORKDAY(Main[[#This Row],[Tech Start Date]],9),IF(Main[[#This Row],[Class]]="B", WORKDAY(Main[[#This Row],[Tech Start Date]],6),IF(Main[[#This Row],[Class]]="A",WORKDAY(Main[[#This Row],[Tech Start Date]],2),""))))</f>
        <v/>
      </c>
      <c r="N403" s="77" t="str">
        <f>IF(Main[[#This Row],[Tech Start Date]]&lt;1/1/1990,"",IF(Main[[#This Row],[Class]]="C",WORKDAY(Main[[#This Row],[Tech Start Date]],19),IF(Main[[#This Row],[Class]]="B", WORKDAY(Main[[#This Row],[Tech Start Date]],12),IF(Main[[#This Row],[Class]]="A",WORKDAY(Main[[#This Row],[Tech Start Date]],4),""))))</f>
        <v/>
      </c>
      <c r="O403" s="77" t="str">
        <f>IF(Main[[#This Row],[Tech Start Date]]&lt;1/1/1990,"",IF(Main[[#This Row],[Class]]="C",WORKDAY(Main[[#This Row],[Tech Start Date]],23),IF(Main[[#This Row],[Class]]="B", WORKDAY(Main[[#This Row],[Tech Start Date]],15),IF(Main[[#This Row],[Class]]="A",WORKDAY(Main[[#This Row],[Tech Start Date]],5),""))))</f>
        <v/>
      </c>
      <c r="P403" s="77" t="str">
        <f>IF(Main[[#This Row],[Tech Start Date]]&lt;1/1/1990,"",IF(Main[[#This Row],[Class]]="C",WORKDAY(Main[[#This Row],[Tech Start Date]],28),IF(Main[[#This Row],[Class]]="B", WORKDAY(Main[[#This Row],[Tech Start Date]],19),IF(Main[[#This Row],[Class]]="A",WORKDAY(Main[[#This Row],[Tech Start Date]],9),""))))</f>
        <v/>
      </c>
      <c r="Q403" s="74">
        <v>40233</v>
      </c>
      <c r="R403" s="74"/>
      <c r="S403" s="72" t="s">
        <v>11</v>
      </c>
      <c r="T403" s="80" t="s">
        <v>4</v>
      </c>
      <c r="U403" s="72" t="s">
        <v>14</v>
      </c>
      <c r="V403" s="72" t="s">
        <v>1920</v>
      </c>
      <c r="W403" s="72" t="s">
        <v>1925</v>
      </c>
      <c r="X403" s="72" t="s">
        <v>2830</v>
      </c>
      <c r="Y403" s="72" t="s">
        <v>2949</v>
      </c>
      <c r="Z403" s="72" t="s">
        <v>4</v>
      </c>
      <c r="AA403" s="146" t="s">
        <v>2830</v>
      </c>
    </row>
    <row r="404" spans="1:27" ht="18.600000000000001" customHeight="1">
      <c r="A404" s="139" t="str">
        <f>IF(priority(Main[[#This Row],[Comments]])&lt;&gt;0, priority(Main[[#This Row],[Comments]]),"")</f>
        <v/>
      </c>
      <c r="B404" s="89" t="s">
        <v>1263</v>
      </c>
      <c r="C404" s="72" t="s">
        <v>4</v>
      </c>
      <c r="D404" s="73" t="s">
        <v>331</v>
      </c>
      <c r="E404" s="74"/>
      <c r="F404" s="74"/>
      <c r="G404" s="75" t="str">
        <f>IF(stdProdLT(Main[[#This Row],[Comments]])=0.1,"N/A",IF(stdProdLT(Main[[#This Row],[Comments]])=0,"",stdProdLT(Main[[#This Row],[Comments]])))</f>
        <v/>
      </c>
      <c r="H404" s="76" t="str">
        <f>IF(AND(Main[[#This Row],[In Stock Date]]&lt;&gt;"",Main[[#This Row],[Revised Due Date]]&lt;&gt;""),Main[[#This Row],[In Stock Date]]-Main[[#This Row],[Revised Due Date]],"")</f>
        <v/>
      </c>
      <c r="I404" s="72" t="s">
        <v>4</v>
      </c>
      <c r="J404" s="72" t="s">
        <v>4</v>
      </c>
      <c r="K404" s="72" t="s">
        <v>4</v>
      </c>
      <c r="L404" s="74"/>
      <c r="M404" s="77" t="str">
        <f>IF(Main[[#This Row],[Tech Start Date]]&lt;1/1/1990,"",IF(Main[[#This Row],[Class]]="C",WORKDAY(Main[[#This Row],[Tech Start Date]],9),IF(Main[[#This Row],[Class]]="B", WORKDAY(Main[[#This Row],[Tech Start Date]],6),IF(Main[[#This Row],[Class]]="A",WORKDAY(Main[[#This Row],[Tech Start Date]],2),""))))</f>
        <v/>
      </c>
      <c r="N404" s="77" t="str">
        <f>IF(Main[[#This Row],[Tech Start Date]]&lt;1/1/1990,"",IF(Main[[#This Row],[Class]]="C",WORKDAY(Main[[#This Row],[Tech Start Date]],19),IF(Main[[#This Row],[Class]]="B", WORKDAY(Main[[#This Row],[Tech Start Date]],12),IF(Main[[#This Row],[Class]]="A",WORKDAY(Main[[#This Row],[Tech Start Date]],4),""))))</f>
        <v/>
      </c>
      <c r="O404" s="77" t="str">
        <f>IF(Main[[#This Row],[Tech Start Date]]&lt;1/1/1990,"",IF(Main[[#This Row],[Class]]="C",WORKDAY(Main[[#This Row],[Tech Start Date]],23),IF(Main[[#This Row],[Class]]="B", WORKDAY(Main[[#This Row],[Tech Start Date]],15),IF(Main[[#This Row],[Class]]="A",WORKDAY(Main[[#This Row],[Tech Start Date]],5),""))))</f>
        <v/>
      </c>
      <c r="P404" s="77" t="str">
        <f>IF(Main[[#This Row],[Tech Start Date]]&lt;1/1/1990,"",IF(Main[[#This Row],[Class]]="C",WORKDAY(Main[[#This Row],[Tech Start Date]],28),IF(Main[[#This Row],[Class]]="B", WORKDAY(Main[[#This Row],[Tech Start Date]],19),IF(Main[[#This Row],[Class]]="A",WORKDAY(Main[[#This Row],[Tech Start Date]],9),""))))</f>
        <v/>
      </c>
      <c r="Q404" s="74"/>
      <c r="R404" s="74"/>
      <c r="S404" s="72" t="s">
        <v>11</v>
      </c>
      <c r="T404" s="80" t="s">
        <v>4</v>
      </c>
      <c r="U404" s="72" t="s">
        <v>12</v>
      </c>
      <c r="V404" s="72" t="s">
        <v>1917</v>
      </c>
      <c r="W404" s="72" t="s">
        <v>1931</v>
      </c>
      <c r="X404" s="72" t="s">
        <v>924</v>
      </c>
      <c r="Y404" s="72" t="s">
        <v>2988</v>
      </c>
      <c r="Z404" s="72" t="s">
        <v>4</v>
      </c>
      <c r="AA404" s="146" t="s">
        <v>924</v>
      </c>
    </row>
    <row r="405" spans="1:27" ht="18.600000000000001" customHeight="1">
      <c r="A405" s="139" t="str">
        <f>IF(priority(Main[[#This Row],[Comments]])&lt;&gt;0, priority(Main[[#This Row],[Comments]]),"")</f>
        <v/>
      </c>
      <c r="B405" s="89" t="s">
        <v>1264</v>
      </c>
      <c r="C405" s="72" t="s">
        <v>4</v>
      </c>
      <c r="D405" s="73" t="s">
        <v>332</v>
      </c>
      <c r="E405" s="74">
        <v>40322.153738425928</v>
      </c>
      <c r="F405" s="74"/>
      <c r="G405" s="75" t="str">
        <f>IF(stdProdLT(Main[[#This Row],[Comments]])=0.1,"N/A",IF(stdProdLT(Main[[#This Row],[Comments]])=0,"",stdProdLT(Main[[#This Row],[Comments]])))</f>
        <v/>
      </c>
      <c r="H405" s="76" t="str">
        <f>IF(AND(Main[[#This Row],[In Stock Date]]&lt;&gt;"",Main[[#This Row],[Revised Due Date]]&lt;&gt;""),Main[[#This Row],[In Stock Date]]-Main[[#This Row],[Revised Due Date]],"")</f>
        <v/>
      </c>
      <c r="I405" s="72" t="s">
        <v>129</v>
      </c>
      <c r="J405" s="72" t="s">
        <v>4</v>
      </c>
      <c r="K405" s="72" t="s">
        <v>4</v>
      </c>
      <c r="L405" s="74"/>
      <c r="M405" s="77" t="str">
        <f>IF(Main[[#This Row],[Tech Start Date]]&lt;1/1/1990,"",IF(Main[[#This Row],[Class]]="C",WORKDAY(Main[[#This Row],[Tech Start Date]],9),IF(Main[[#This Row],[Class]]="B", WORKDAY(Main[[#This Row],[Tech Start Date]],6),IF(Main[[#This Row],[Class]]="A",WORKDAY(Main[[#This Row],[Tech Start Date]],2),""))))</f>
        <v/>
      </c>
      <c r="N405" s="77" t="str">
        <f>IF(Main[[#This Row],[Tech Start Date]]&lt;1/1/1990,"",IF(Main[[#This Row],[Class]]="C",WORKDAY(Main[[#This Row],[Tech Start Date]],19),IF(Main[[#This Row],[Class]]="B", WORKDAY(Main[[#This Row],[Tech Start Date]],12),IF(Main[[#This Row],[Class]]="A",WORKDAY(Main[[#This Row],[Tech Start Date]],4),""))))</f>
        <v/>
      </c>
      <c r="O405" s="77" t="str">
        <f>IF(Main[[#This Row],[Tech Start Date]]&lt;1/1/1990,"",IF(Main[[#This Row],[Class]]="C",WORKDAY(Main[[#This Row],[Tech Start Date]],23),IF(Main[[#This Row],[Class]]="B", WORKDAY(Main[[#This Row],[Tech Start Date]],15),IF(Main[[#This Row],[Class]]="A",WORKDAY(Main[[#This Row],[Tech Start Date]],5),""))))</f>
        <v/>
      </c>
      <c r="P405" s="77" t="str">
        <f>IF(Main[[#This Row],[Tech Start Date]]&lt;1/1/1990,"",IF(Main[[#This Row],[Class]]="C",WORKDAY(Main[[#This Row],[Tech Start Date]],28),IF(Main[[#This Row],[Class]]="B", WORKDAY(Main[[#This Row],[Tech Start Date]],19),IF(Main[[#This Row],[Class]]="A",WORKDAY(Main[[#This Row],[Tech Start Date]],9),""))))</f>
        <v/>
      </c>
      <c r="Q405" s="74">
        <v>40353</v>
      </c>
      <c r="R405" s="74"/>
      <c r="S405" s="72" t="s">
        <v>6</v>
      </c>
      <c r="T405" s="80" t="s">
        <v>4</v>
      </c>
      <c r="U405" s="72" t="s">
        <v>7</v>
      </c>
      <c r="V405" s="72" t="s">
        <v>1917</v>
      </c>
      <c r="W405" s="72" t="s">
        <v>1919</v>
      </c>
      <c r="X405" s="72" t="s">
        <v>2828</v>
      </c>
      <c r="Y405" s="72" t="s">
        <v>2944</v>
      </c>
      <c r="Z405" s="72" t="s">
        <v>4</v>
      </c>
      <c r="AA405" s="146" t="s">
        <v>2828</v>
      </c>
    </row>
    <row r="406" spans="1:27" ht="18.600000000000001" customHeight="1">
      <c r="A406" s="139" t="str">
        <f>IF(priority(Main[[#This Row],[Comments]])&lt;&gt;0, priority(Main[[#This Row],[Comments]]),"")</f>
        <v/>
      </c>
      <c r="B406" s="89" t="s">
        <v>1265</v>
      </c>
      <c r="C406" s="72" t="s">
        <v>169</v>
      </c>
      <c r="D406" s="73" t="s">
        <v>333</v>
      </c>
      <c r="E406" s="74"/>
      <c r="F406" s="74">
        <v>40237</v>
      </c>
      <c r="G406" s="75" t="str">
        <f>IF(stdProdLT(Main[[#This Row],[Comments]])=0.1,"N/A",IF(stdProdLT(Main[[#This Row],[Comments]])=0,"",stdProdLT(Main[[#This Row],[Comments]])))</f>
        <v/>
      </c>
      <c r="H406" s="76" t="str">
        <f>IF(AND(Main[[#This Row],[In Stock Date]]&lt;&gt;"",Main[[#This Row],[Revised Due Date]]&lt;&gt;""),Main[[#This Row],[In Stock Date]]-Main[[#This Row],[Revised Due Date]],"")</f>
        <v/>
      </c>
      <c r="I406" s="72" t="s">
        <v>4</v>
      </c>
      <c r="J406" s="72" t="s">
        <v>4</v>
      </c>
      <c r="K406" s="72" t="s">
        <v>4</v>
      </c>
      <c r="L406" s="74"/>
      <c r="M406" s="77" t="str">
        <f>IF(Main[[#This Row],[Tech Start Date]]&lt;1/1/1990,"",IF(Main[[#This Row],[Class]]="C",WORKDAY(Main[[#This Row],[Tech Start Date]],9),IF(Main[[#This Row],[Class]]="B", WORKDAY(Main[[#This Row],[Tech Start Date]],6),IF(Main[[#This Row],[Class]]="A",WORKDAY(Main[[#This Row],[Tech Start Date]],2),""))))</f>
        <v/>
      </c>
      <c r="N406" s="77" t="str">
        <f>IF(Main[[#This Row],[Tech Start Date]]&lt;1/1/1990,"",IF(Main[[#This Row],[Class]]="C",WORKDAY(Main[[#This Row],[Tech Start Date]],19),IF(Main[[#This Row],[Class]]="B", WORKDAY(Main[[#This Row],[Tech Start Date]],12),IF(Main[[#This Row],[Class]]="A",WORKDAY(Main[[#This Row],[Tech Start Date]],4),""))))</f>
        <v/>
      </c>
      <c r="O406" s="77" t="str">
        <f>IF(Main[[#This Row],[Tech Start Date]]&lt;1/1/1990,"",IF(Main[[#This Row],[Class]]="C",WORKDAY(Main[[#This Row],[Tech Start Date]],23),IF(Main[[#This Row],[Class]]="B", WORKDAY(Main[[#This Row],[Tech Start Date]],15),IF(Main[[#This Row],[Class]]="A",WORKDAY(Main[[#This Row],[Tech Start Date]],5),""))))</f>
        <v/>
      </c>
      <c r="P406" s="77" t="str">
        <f>IF(Main[[#This Row],[Tech Start Date]]&lt;1/1/1990,"",IF(Main[[#This Row],[Class]]="C",WORKDAY(Main[[#This Row],[Tech Start Date]],28),IF(Main[[#This Row],[Class]]="B", WORKDAY(Main[[#This Row],[Tech Start Date]],19),IF(Main[[#This Row],[Class]]="A",WORKDAY(Main[[#This Row],[Tech Start Date]],9),""))))</f>
        <v/>
      </c>
      <c r="Q406" s="74">
        <v>40132</v>
      </c>
      <c r="R406" s="74"/>
      <c r="S406" s="72" t="s">
        <v>11</v>
      </c>
      <c r="T406" s="80" t="s">
        <v>4</v>
      </c>
      <c r="U406" s="72" t="s">
        <v>14</v>
      </c>
      <c r="V406" s="72" t="s">
        <v>1917</v>
      </c>
      <c r="W406" s="72" t="s">
        <v>1922</v>
      </c>
      <c r="X406" s="72" t="s">
        <v>2864</v>
      </c>
      <c r="Y406" s="72" t="s">
        <v>4</v>
      </c>
      <c r="Z406" s="72" t="s">
        <v>4</v>
      </c>
      <c r="AA406" s="146" t="s">
        <v>2864</v>
      </c>
    </row>
    <row r="407" spans="1:27" ht="18.600000000000001" customHeight="1">
      <c r="A407" s="139" t="str">
        <f>IF(priority(Main[[#This Row],[Comments]])&lt;&gt;0, priority(Main[[#This Row],[Comments]]),"")</f>
        <v/>
      </c>
      <c r="B407" s="89" t="s">
        <v>1266</v>
      </c>
      <c r="C407" s="72" t="s">
        <v>4</v>
      </c>
      <c r="D407" s="73" t="s">
        <v>341</v>
      </c>
      <c r="E407" s="74"/>
      <c r="F407" s="74"/>
      <c r="G407" s="75" t="str">
        <f>IF(stdProdLT(Main[[#This Row],[Comments]])=0.1,"N/A",IF(stdProdLT(Main[[#This Row],[Comments]])=0,"",stdProdLT(Main[[#This Row],[Comments]])))</f>
        <v/>
      </c>
      <c r="H407" s="76" t="str">
        <f>IF(AND(Main[[#This Row],[In Stock Date]]&lt;&gt;"",Main[[#This Row],[Revised Due Date]]&lt;&gt;""),Main[[#This Row],[In Stock Date]]-Main[[#This Row],[Revised Due Date]],"")</f>
        <v/>
      </c>
      <c r="I407" s="72" t="s">
        <v>4</v>
      </c>
      <c r="J407" s="72" t="s">
        <v>4</v>
      </c>
      <c r="K407" s="81" t="s">
        <v>4</v>
      </c>
      <c r="L407" s="74"/>
      <c r="M407" s="77" t="str">
        <f>IF(Main[[#This Row],[Tech Start Date]]&lt;1/1/1990,"",IF(Main[[#This Row],[Class]]="C",WORKDAY(Main[[#This Row],[Tech Start Date]],9),IF(Main[[#This Row],[Class]]="B", WORKDAY(Main[[#This Row],[Tech Start Date]],6),IF(Main[[#This Row],[Class]]="A",WORKDAY(Main[[#This Row],[Tech Start Date]],2),""))))</f>
        <v/>
      </c>
      <c r="N407" s="77" t="str">
        <f>IF(Main[[#This Row],[Tech Start Date]]&lt;1/1/1990,"",IF(Main[[#This Row],[Class]]="C",WORKDAY(Main[[#This Row],[Tech Start Date]],19),IF(Main[[#This Row],[Class]]="B", WORKDAY(Main[[#This Row],[Tech Start Date]],12),IF(Main[[#This Row],[Class]]="A",WORKDAY(Main[[#This Row],[Tech Start Date]],4),""))))</f>
        <v/>
      </c>
      <c r="O407" s="77" t="str">
        <f>IF(Main[[#This Row],[Tech Start Date]]&lt;1/1/1990,"",IF(Main[[#This Row],[Class]]="C",WORKDAY(Main[[#This Row],[Tech Start Date]],23),IF(Main[[#This Row],[Class]]="B", WORKDAY(Main[[#This Row],[Tech Start Date]],15),IF(Main[[#This Row],[Class]]="A",WORKDAY(Main[[#This Row],[Tech Start Date]],5),""))))</f>
        <v/>
      </c>
      <c r="P407" s="77" t="str">
        <f>IF(Main[[#This Row],[Tech Start Date]]&lt;1/1/1990,"",IF(Main[[#This Row],[Class]]="C",WORKDAY(Main[[#This Row],[Tech Start Date]],28),IF(Main[[#This Row],[Class]]="B", WORKDAY(Main[[#This Row],[Tech Start Date]],19),IF(Main[[#This Row],[Class]]="A",WORKDAY(Main[[#This Row],[Tech Start Date]],9),""))))</f>
        <v/>
      </c>
      <c r="Q407" s="74"/>
      <c r="R407" s="74"/>
      <c r="S407" s="72" t="s">
        <v>11</v>
      </c>
      <c r="T407" s="80" t="s">
        <v>4</v>
      </c>
      <c r="U407" s="72" t="s">
        <v>14</v>
      </c>
      <c r="V407" s="72" t="s">
        <v>1918</v>
      </c>
      <c r="W407" s="72" t="s">
        <v>1925</v>
      </c>
      <c r="X407" s="72" t="s">
        <v>2868</v>
      </c>
      <c r="Y407" s="72" t="s">
        <v>3012</v>
      </c>
      <c r="Z407" s="72" t="s">
        <v>4</v>
      </c>
      <c r="AA407" s="146" t="s">
        <v>2868</v>
      </c>
    </row>
    <row r="408" spans="1:27" ht="18.600000000000001" customHeight="1">
      <c r="A408" s="139" t="str">
        <f>IF(priority(Main[[#This Row],[Comments]])&lt;&gt;0, priority(Main[[#This Row],[Comments]]),"")</f>
        <v/>
      </c>
      <c r="B408" s="89" t="s">
        <v>1205</v>
      </c>
      <c r="C408" s="72" t="s">
        <v>4</v>
      </c>
      <c r="D408" s="73" t="s">
        <v>261</v>
      </c>
      <c r="E408" s="74"/>
      <c r="F408" s="74"/>
      <c r="G408" s="75" t="str">
        <f>IF(stdProdLT(Main[[#This Row],[Comments]])=0.1,"N/A",IF(stdProdLT(Main[[#This Row],[Comments]])=0,"",stdProdLT(Main[[#This Row],[Comments]])))</f>
        <v/>
      </c>
      <c r="H408" s="76" t="str">
        <f>IF(AND(Main[[#This Row],[In Stock Date]]&lt;&gt;"",Main[[#This Row],[Revised Due Date]]&lt;&gt;""),Main[[#This Row],[In Stock Date]]-Main[[#This Row],[Revised Due Date]],"")</f>
        <v/>
      </c>
      <c r="I408" s="72" t="s">
        <v>4</v>
      </c>
      <c r="J408" s="72" t="s">
        <v>4</v>
      </c>
      <c r="K408" s="72" t="s">
        <v>4</v>
      </c>
      <c r="L408" s="74"/>
      <c r="M408" s="77" t="str">
        <f>IF(Main[[#This Row],[Tech Start Date]]&lt;1/1/1990,"",IF(Main[[#This Row],[Class]]="C",WORKDAY(Main[[#This Row],[Tech Start Date]],9),IF(Main[[#This Row],[Class]]="B", WORKDAY(Main[[#This Row],[Tech Start Date]],6),IF(Main[[#This Row],[Class]]="A",WORKDAY(Main[[#This Row],[Tech Start Date]],2),""))))</f>
        <v/>
      </c>
      <c r="N408" s="77" t="str">
        <f>IF(Main[[#This Row],[Tech Start Date]]&lt;1/1/1990,"",IF(Main[[#This Row],[Class]]="C",WORKDAY(Main[[#This Row],[Tech Start Date]],19),IF(Main[[#This Row],[Class]]="B", WORKDAY(Main[[#This Row],[Tech Start Date]],12),IF(Main[[#This Row],[Class]]="A",WORKDAY(Main[[#This Row],[Tech Start Date]],4),""))))</f>
        <v/>
      </c>
      <c r="O408" s="77" t="str">
        <f>IF(Main[[#This Row],[Tech Start Date]]&lt;1/1/1990,"",IF(Main[[#This Row],[Class]]="C",WORKDAY(Main[[#This Row],[Tech Start Date]],23),IF(Main[[#This Row],[Class]]="B", WORKDAY(Main[[#This Row],[Tech Start Date]],15),IF(Main[[#This Row],[Class]]="A",WORKDAY(Main[[#This Row],[Tech Start Date]],5),""))))</f>
        <v/>
      </c>
      <c r="P408" s="77" t="str">
        <f>IF(Main[[#This Row],[Tech Start Date]]&lt;1/1/1990,"",IF(Main[[#This Row],[Class]]="C",WORKDAY(Main[[#This Row],[Tech Start Date]],28),IF(Main[[#This Row],[Class]]="B", WORKDAY(Main[[#This Row],[Tech Start Date]],19),IF(Main[[#This Row],[Class]]="A",WORKDAY(Main[[#This Row],[Tech Start Date]],9),""))))</f>
        <v/>
      </c>
      <c r="Q408" s="74">
        <v>40313</v>
      </c>
      <c r="R408" s="74"/>
      <c r="S408" s="72" t="s">
        <v>11</v>
      </c>
      <c r="T408" s="80" t="s">
        <v>4</v>
      </c>
      <c r="U408" s="72" t="s">
        <v>14</v>
      </c>
      <c r="V408" s="72" t="s">
        <v>1917</v>
      </c>
      <c r="W408" s="72" t="s">
        <v>1925</v>
      </c>
      <c r="X408" s="72" t="s">
        <v>129</v>
      </c>
      <c r="Y408" s="72" t="s">
        <v>2939</v>
      </c>
      <c r="Z408" s="72" t="s">
        <v>4</v>
      </c>
      <c r="AA408" s="146" t="s">
        <v>129</v>
      </c>
    </row>
    <row r="409" spans="1:27" ht="18.600000000000001" customHeight="1">
      <c r="A409" s="139" t="str">
        <f>IF(priority(Main[[#This Row],[Comments]])&lt;&gt;0, priority(Main[[#This Row],[Comments]]),"")</f>
        <v/>
      </c>
      <c r="B409" s="89" t="s">
        <v>1206</v>
      </c>
      <c r="C409" s="72" t="s">
        <v>4</v>
      </c>
      <c r="D409" s="73" t="s">
        <v>262</v>
      </c>
      <c r="E409" s="74"/>
      <c r="F409" s="74"/>
      <c r="G409" s="75" t="str">
        <f>IF(stdProdLT(Main[[#This Row],[Comments]])=0.1,"N/A",IF(stdProdLT(Main[[#This Row],[Comments]])=0,"",stdProdLT(Main[[#This Row],[Comments]])))</f>
        <v/>
      </c>
      <c r="H409" s="76" t="str">
        <f>IF(AND(Main[[#This Row],[In Stock Date]]&lt;&gt;"",Main[[#This Row],[Revised Due Date]]&lt;&gt;""),Main[[#This Row],[In Stock Date]]-Main[[#This Row],[Revised Due Date]],"")</f>
        <v/>
      </c>
      <c r="I409" s="72" t="s">
        <v>4</v>
      </c>
      <c r="J409" s="72" t="s">
        <v>4</v>
      </c>
      <c r="K409" s="81" t="s">
        <v>4</v>
      </c>
      <c r="L409" s="74"/>
      <c r="M409" s="77" t="str">
        <f>IF(Main[[#This Row],[Tech Start Date]]&lt;1/1/1990,"",IF(Main[[#This Row],[Class]]="C",WORKDAY(Main[[#This Row],[Tech Start Date]],9),IF(Main[[#This Row],[Class]]="B", WORKDAY(Main[[#This Row],[Tech Start Date]],6),IF(Main[[#This Row],[Class]]="A",WORKDAY(Main[[#This Row],[Tech Start Date]],2),""))))</f>
        <v/>
      </c>
      <c r="N409" s="77" t="str">
        <f>IF(Main[[#This Row],[Tech Start Date]]&lt;1/1/1990,"",IF(Main[[#This Row],[Class]]="C",WORKDAY(Main[[#This Row],[Tech Start Date]],19),IF(Main[[#This Row],[Class]]="B", WORKDAY(Main[[#This Row],[Tech Start Date]],12),IF(Main[[#This Row],[Class]]="A",WORKDAY(Main[[#This Row],[Tech Start Date]],4),""))))</f>
        <v/>
      </c>
      <c r="O409" s="77" t="str">
        <f>IF(Main[[#This Row],[Tech Start Date]]&lt;1/1/1990,"",IF(Main[[#This Row],[Class]]="C",WORKDAY(Main[[#This Row],[Tech Start Date]],23),IF(Main[[#This Row],[Class]]="B", WORKDAY(Main[[#This Row],[Tech Start Date]],15),IF(Main[[#This Row],[Class]]="A",WORKDAY(Main[[#This Row],[Tech Start Date]],5),""))))</f>
        <v/>
      </c>
      <c r="P409" s="77" t="str">
        <f>IF(Main[[#This Row],[Tech Start Date]]&lt;1/1/1990,"",IF(Main[[#This Row],[Class]]="C",WORKDAY(Main[[#This Row],[Tech Start Date]],28),IF(Main[[#This Row],[Class]]="B", WORKDAY(Main[[#This Row],[Tech Start Date]],19),IF(Main[[#This Row],[Class]]="A",WORKDAY(Main[[#This Row],[Tech Start Date]],9),""))))</f>
        <v/>
      </c>
      <c r="Q409" s="74"/>
      <c r="R409" s="74"/>
      <c r="S409" s="72" t="s">
        <v>11</v>
      </c>
      <c r="T409" s="80" t="s">
        <v>4</v>
      </c>
      <c r="U409" s="72" t="s">
        <v>12</v>
      </c>
      <c r="V409" s="72" t="s">
        <v>1918</v>
      </c>
      <c r="W409" s="72" t="s">
        <v>1921</v>
      </c>
      <c r="X409" s="72" t="s">
        <v>924</v>
      </c>
      <c r="Y409" s="72" t="s">
        <v>2988</v>
      </c>
      <c r="Z409" s="72" t="s">
        <v>4</v>
      </c>
      <c r="AA409" s="146" t="s">
        <v>924</v>
      </c>
    </row>
    <row r="410" spans="1:27" ht="18.600000000000001" customHeight="1">
      <c r="A410" s="139" t="str">
        <f>IF(priority(Main[[#This Row],[Comments]])&lt;&gt;0, priority(Main[[#This Row],[Comments]]),"")</f>
        <v/>
      </c>
      <c r="B410" s="89" t="s">
        <v>1976</v>
      </c>
      <c r="C410" s="72" t="s">
        <v>4</v>
      </c>
      <c r="D410" s="73" t="s">
        <v>1977</v>
      </c>
      <c r="E410" s="74">
        <v>40732.708599537036</v>
      </c>
      <c r="F410" s="74"/>
      <c r="G410" s="75" t="str">
        <f>IF(stdProdLT(Main[[#This Row],[Comments]])=0.1,"N/A",IF(stdProdLT(Main[[#This Row],[Comments]])=0,"",stdProdLT(Main[[#This Row],[Comments]])))</f>
        <v/>
      </c>
      <c r="H410" s="76" t="str">
        <f>IF(AND(Main[[#This Row],[In Stock Date]]&lt;&gt;"",Main[[#This Row],[Revised Due Date]]&lt;&gt;""),Main[[#This Row],[In Stock Date]]-Main[[#This Row],[Revised Due Date]],"")</f>
        <v/>
      </c>
      <c r="I410" s="72" t="s">
        <v>4</v>
      </c>
      <c r="J410" s="72" t="s">
        <v>4</v>
      </c>
      <c r="K410" s="72" t="s">
        <v>4</v>
      </c>
      <c r="L410" s="74"/>
      <c r="M410" s="77" t="str">
        <f>IF(Main[[#This Row],[Tech Start Date]]&lt;1/1/1990,"",IF(Main[[#This Row],[Class]]="C",WORKDAY(Main[[#This Row],[Tech Start Date]],9),IF(Main[[#This Row],[Class]]="B", WORKDAY(Main[[#This Row],[Tech Start Date]],6),IF(Main[[#This Row],[Class]]="A",WORKDAY(Main[[#This Row],[Tech Start Date]],2),""))))</f>
        <v/>
      </c>
      <c r="N410" s="77" t="str">
        <f>IF(Main[[#This Row],[Tech Start Date]]&lt;1/1/1990,"",IF(Main[[#This Row],[Class]]="C",WORKDAY(Main[[#This Row],[Tech Start Date]],19),IF(Main[[#This Row],[Class]]="B", WORKDAY(Main[[#This Row],[Tech Start Date]],12),IF(Main[[#This Row],[Class]]="A",WORKDAY(Main[[#This Row],[Tech Start Date]],4),""))))</f>
        <v/>
      </c>
      <c r="O410" s="77" t="str">
        <f>IF(Main[[#This Row],[Tech Start Date]]&lt;1/1/1990,"",IF(Main[[#This Row],[Class]]="C",WORKDAY(Main[[#This Row],[Tech Start Date]],23),IF(Main[[#This Row],[Class]]="B", WORKDAY(Main[[#This Row],[Tech Start Date]],15),IF(Main[[#This Row],[Class]]="A",WORKDAY(Main[[#This Row],[Tech Start Date]],5),""))))</f>
        <v/>
      </c>
      <c r="P410" s="77" t="str">
        <f>IF(Main[[#This Row],[Tech Start Date]]&lt;1/1/1990,"",IF(Main[[#This Row],[Class]]="C",WORKDAY(Main[[#This Row],[Tech Start Date]],28),IF(Main[[#This Row],[Class]]="B", WORKDAY(Main[[#This Row],[Tech Start Date]],19),IF(Main[[#This Row],[Class]]="A",WORKDAY(Main[[#This Row],[Tech Start Date]],9),""))))</f>
        <v/>
      </c>
      <c r="Q410" s="74">
        <v>40908</v>
      </c>
      <c r="R410" s="74"/>
      <c r="S410" s="72" t="s">
        <v>17</v>
      </c>
      <c r="T410" s="80" t="s">
        <v>4</v>
      </c>
      <c r="U410" s="72" t="s">
        <v>7</v>
      </c>
      <c r="V410" s="72" t="s">
        <v>1920</v>
      </c>
      <c r="W410" s="72" t="s">
        <v>1931</v>
      </c>
      <c r="X410" s="72" t="s">
        <v>554</v>
      </c>
      <c r="Y410" s="72" t="s">
        <v>2958</v>
      </c>
      <c r="Z410" s="72" t="s">
        <v>4</v>
      </c>
      <c r="AA410" s="146" t="s">
        <v>554</v>
      </c>
    </row>
    <row r="411" spans="1:27" ht="18.600000000000001" customHeight="1">
      <c r="A411" s="139" t="str">
        <f>IF(priority(Main[[#This Row],[Comments]])&lt;&gt;0, priority(Main[[#This Row],[Comments]]),"")</f>
        <v/>
      </c>
      <c r="B411" s="89" t="s">
        <v>1208</v>
      </c>
      <c r="C411" s="72" t="s">
        <v>4</v>
      </c>
      <c r="D411" s="73" t="s">
        <v>264</v>
      </c>
      <c r="E411" s="74">
        <v>40609.588946759257</v>
      </c>
      <c r="F411" s="74"/>
      <c r="G411" s="75" t="str">
        <f>IF(stdProdLT(Main[[#This Row],[Comments]])=0.1,"N/A",IF(stdProdLT(Main[[#This Row],[Comments]])=0,"",stdProdLT(Main[[#This Row],[Comments]])))</f>
        <v/>
      </c>
      <c r="H411" s="76" t="str">
        <f>IF(AND(Main[[#This Row],[In Stock Date]]&lt;&gt;"",Main[[#This Row],[Revised Due Date]]&lt;&gt;""),Main[[#This Row],[In Stock Date]]-Main[[#This Row],[Revised Due Date]],"")</f>
        <v/>
      </c>
      <c r="I411" s="72" t="s">
        <v>4</v>
      </c>
      <c r="J411" s="72" t="s">
        <v>28</v>
      </c>
      <c r="K411" s="81" t="s">
        <v>1926</v>
      </c>
      <c r="L411" s="74"/>
      <c r="M411" s="77" t="str">
        <f>IF(Main[[#This Row],[Tech Start Date]]&lt;1/1/1990,"",IF(Main[[#This Row],[Class]]="C",WORKDAY(Main[[#This Row],[Tech Start Date]],9),IF(Main[[#This Row],[Class]]="B", WORKDAY(Main[[#This Row],[Tech Start Date]],6),IF(Main[[#This Row],[Class]]="A",WORKDAY(Main[[#This Row],[Tech Start Date]],2),""))))</f>
        <v/>
      </c>
      <c r="N411" s="77" t="str">
        <f>IF(Main[[#This Row],[Tech Start Date]]&lt;1/1/1990,"",IF(Main[[#This Row],[Class]]="C",WORKDAY(Main[[#This Row],[Tech Start Date]],19),IF(Main[[#This Row],[Class]]="B", WORKDAY(Main[[#This Row],[Tech Start Date]],12),IF(Main[[#This Row],[Class]]="A",WORKDAY(Main[[#This Row],[Tech Start Date]],4),""))))</f>
        <v/>
      </c>
      <c r="O411" s="77" t="str">
        <f>IF(Main[[#This Row],[Tech Start Date]]&lt;1/1/1990,"",IF(Main[[#This Row],[Class]]="C",WORKDAY(Main[[#This Row],[Tech Start Date]],23),IF(Main[[#This Row],[Class]]="B", WORKDAY(Main[[#This Row],[Tech Start Date]],15),IF(Main[[#This Row],[Class]]="A",WORKDAY(Main[[#This Row],[Tech Start Date]],5),""))))</f>
        <v/>
      </c>
      <c r="P411" s="77" t="str">
        <f>IF(Main[[#This Row],[Tech Start Date]]&lt;1/1/1990,"",IF(Main[[#This Row],[Class]]="C",WORKDAY(Main[[#This Row],[Tech Start Date]],28),IF(Main[[#This Row],[Class]]="B", WORKDAY(Main[[#This Row],[Tech Start Date]],19),IF(Main[[#This Row],[Class]]="A",WORKDAY(Main[[#This Row],[Tech Start Date]],9),""))))</f>
        <v/>
      </c>
      <c r="Q411" s="74">
        <v>40640</v>
      </c>
      <c r="R411" s="74"/>
      <c r="S411" s="72" t="s">
        <v>6</v>
      </c>
      <c r="T411" s="80" t="s">
        <v>4</v>
      </c>
      <c r="U411" s="72" t="s">
        <v>7</v>
      </c>
      <c r="V411" s="72" t="s">
        <v>1917</v>
      </c>
      <c r="W411" s="72" t="s">
        <v>1919</v>
      </c>
      <c r="X411" s="72" t="s">
        <v>2825</v>
      </c>
      <c r="Y411" s="72" t="s">
        <v>2938</v>
      </c>
      <c r="Z411" s="72" t="s">
        <v>129</v>
      </c>
      <c r="AA411" s="146" t="s">
        <v>2825</v>
      </c>
    </row>
    <row r="412" spans="1:27" ht="18.600000000000001" customHeight="1">
      <c r="A412" s="139" t="str">
        <f>IF(priority(Main[[#This Row],[Comments]])&lt;&gt;0, priority(Main[[#This Row],[Comments]]),"")</f>
        <v/>
      </c>
      <c r="B412" s="89" t="s">
        <v>1209</v>
      </c>
      <c r="C412" s="72" t="s">
        <v>265</v>
      </c>
      <c r="D412" s="73" t="s">
        <v>266</v>
      </c>
      <c r="E412" s="74"/>
      <c r="F412" s="74"/>
      <c r="G412" s="75" t="str">
        <f>IF(stdProdLT(Main[[#This Row],[Comments]])=0.1,"N/A",IF(stdProdLT(Main[[#This Row],[Comments]])=0,"",stdProdLT(Main[[#This Row],[Comments]])))</f>
        <v/>
      </c>
      <c r="H412" s="76" t="str">
        <f>IF(AND(Main[[#This Row],[In Stock Date]]&lt;&gt;"",Main[[#This Row],[Revised Due Date]]&lt;&gt;""),Main[[#This Row],[In Stock Date]]-Main[[#This Row],[Revised Due Date]],"")</f>
        <v/>
      </c>
      <c r="I412" s="72" t="s">
        <v>4</v>
      </c>
      <c r="J412" s="72" t="s">
        <v>4</v>
      </c>
      <c r="K412" s="72" t="s">
        <v>4</v>
      </c>
      <c r="L412" s="74"/>
      <c r="M412" s="77" t="str">
        <f>IF(Main[[#This Row],[Tech Start Date]]&lt;1/1/1990,"",IF(Main[[#This Row],[Class]]="C",WORKDAY(Main[[#This Row],[Tech Start Date]],9),IF(Main[[#This Row],[Class]]="B", WORKDAY(Main[[#This Row],[Tech Start Date]],6),IF(Main[[#This Row],[Class]]="A",WORKDAY(Main[[#This Row],[Tech Start Date]],2),""))))</f>
        <v/>
      </c>
      <c r="N412" s="77" t="str">
        <f>IF(Main[[#This Row],[Tech Start Date]]&lt;1/1/1990,"",IF(Main[[#This Row],[Class]]="C",WORKDAY(Main[[#This Row],[Tech Start Date]],19),IF(Main[[#This Row],[Class]]="B", WORKDAY(Main[[#This Row],[Tech Start Date]],12),IF(Main[[#This Row],[Class]]="A",WORKDAY(Main[[#This Row],[Tech Start Date]],4),""))))</f>
        <v/>
      </c>
      <c r="O412" s="77" t="str">
        <f>IF(Main[[#This Row],[Tech Start Date]]&lt;1/1/1990,"",IF(Main[[#This Row],[Class]]="C",WORKDAY(Main[[#This Row],[Tech Start Date]],23),IF(Main[[#This Row],[Class]]="B", WORKDAY(Main[[#This Row],[Tech Start Date]],15),IF(Main[[#This Row],[Class]]="A",WORKDAY(Main[[#This Row],[Tech Start Date]],5),""))))</f>
        <v/>
      </c>
      <c r="P412" s="77" t="str">
        <f>IF(Main[[#This Row],[Tech Start Date]]&lt;1/1/1990,"",IF(Main[[#This Row],[Class]]="C",WORKDAY(Main[[#This Row],[Tech Start Date]],28),IF(Main[[#This Row],[Class]]="B", WORKDAY(Main[[#This Row],[Tech Start Date]],19),IF(Main[[#This Row],[Class]]="A",WORKDAY(Main[[#This Row],[Tech Start Date]],9),""))))</f>
        <v/>
      </c>
      <c r="Q412" s="74">
        <v>40497</v>
      </c>
      <c r="R412" s="74"/>
      <c r="S412" s="72" t="s">
        <v>11</v>
      </c>
      <c r="T412" s="80" t="s">
        <v>4</v>
      </c>
      <c r="U412" s="72" t="s">
        <v>12</v>
      </c>
      <c r="V412" s="72" t="s">
        <v>1917</v>
      </c>
      <c r="W412" s="72" t="s">
        <v>1919</v>
      </c>
      <c r="X412" s="72" t="s">
        <v>2861</v>
      </c>
      <c r="Y412" s="72" t="s">
        <v>4</v>
      </c>
      <c r="Z412" s="72" t="s">
        <v>4</v>
      </c>
      <c r="AA412" s="146" t="s">
        <v>2861</v>
      </c>
    </row>
    <row r="413" spans="1:27" ht="18.600000000000001" customHeight="1">
      <c r="A413" s="139" t="str">
        <f>IF(priority(Main[[#This Row],[Comments]])&lt;&gt;0, priority(Main[[#This Row],[Comments]]),"")</f>
        <v/>
      </c>
      <c r="B413" s="89" t="s">
        <v>1211</v>
      </c>
      <c r="C413" s="72" t="s">
        <v>268</v>
      </c>
      <c r="D413" s="73" t="s">
        <v>269</v>
      </c>
      <c r="E413" s="74"/>
      <c r="F413" s="74">
        <v>40399</v>
      </c>
      <c r="G413" s="75" t="str">
        <f>IF(stdProdLT(Main[[#This Row],[Comments]])=0.1,"N/A",IF(stdProdLT(Main[[#This Row],[Comments]])=0,"",stdProdLT(Main[[#This Row],[Comments]])))</f>
        <v/>
      </c>
      <c r="H413" s="76" t="str">
        <f>IF(AND(Main[[#This Row],[In Stock Date]]&lt;&gt;"",Main[[#This Row],[Revised Due Date]]&lt;&gt;""),Main[[#This Row],[In Stock Date]]-Main[[#This Row],[Revised Due Date]],"")</f>
        <v/>
      </c>
      <c r="I413" s="72" t="s">
        <v>129</v>
      </c>
      <c r="J413" s="72" t="s">
        <v>4</v>
      </c>
      <c r="K413" s="72" t="s">
        <v>4</v>
      </c>
      <c r="L413" s="74"/>
      <c r="M413" s="77" t="str">
        <f>IF(Main[[#This Row],[Tech Start Date]]&lt;1/1/1990,"",IF(Main[[#This Row],[Class]]="C",WORKDAY(Main[[#This Row],[Tech Start Date]],9),IF(Main[[#This Row],[Class]]="B", WORKDAY(Main[[#This Row],[Tech Start Date]],6),IF(Main[[#This Row],[Class]]="A",WORKDAY(Main[[#This Row],[Tech Start Date]],2),""))))</f>
        <v/>
      </c>
      <c r="N413" s="77" t="str">
        <f>IF(Main[[#This Row],[Tech Start Date]]&lt;1/1/1990,"",IF(Main[[#This Row],[Class]]="C",WORKDAY(Main[[#This Row],[Tech Start Date]],19),IF(Main[[#This Row],[Class]]="B", WORKDAY(Main[[#This Row],[Tech Start Date]],12),IF(Main[[#This Row],[Class]]="A",WORKDAY(Main[[#This Row],[Tech Start Date]],4),""))))</f>
        <v/>
      </c>
      <c r="O413" s="77" t="str">
        <f>IF(Main[[#This Row],[Tech Start Date]]&lt;1/1/1990,"",IF(Main[[#This Row],[Class]]="C",WORKDAY(Main[[#This Row],[Tech Start Date]],23),IF(Main[[#This Row],[Class]]="B", WORKDAY(Main[[#This Row],[Tech Start Date]],15),IF(Main[[#This Row],[Class]]="A",WORKDAY(Main[[#This Row],[Tech Start Date]],5),""))))</f>
        <v/>
      </c>
      <c r="P413" s="77" t="str">
        <f>IF(Main[[#This Row],[Tech Start Date]]&lt;1/1/1990,"",IF(Main[[#This Row],[Class]]="C",WORKDAY(Main[[#This Row],[Tech Start Date]],28),IF(Main[[#This Row],[Class]]="B", WORKDAY(Main[[#This Row],[Tech Start Date]],19),IF(Main[[#This Row],[Class]]="A",WORKDAY(Main[[#This Row],[Tech Start Date]],9),""))))</f>
        <v/>
      </c>
      <c r="Q413" s="74">
        <v>40344</v>
      </c>
      <c r="R413" s="74"/>
      <c r="S413" s="72" t="s">
        <v>11</v>
      </c>
      <c r="T413" s="80" t="s">
        <v>4</v>
      </c>
      <c r="U413" s="72" t="s">
        <v>14</v>
      </c>
      <c r="V413" s="72" t="s">
        <v>1917</v>
      </c>
      <c r="W413" s="72" t="s">
        <v>1922</v>
      </c>
      <c r="X413" s="72" t="s">
        <v>2860</v>
      </c>
      <c r="Y413" s="72" t="s">
        <v>4</v>
      </c>
      <c r="Z413" s="72" t="s">
        <v>4</v>
      </c>
      <c r="AA413" s="146" t="s">
        <v>2860</v>
      </c>
    </row>
    <row r="414" spans="1:27" ht="18.600000000000001" customHeight="1">
      <c r="A414" s="139" t="str">
        <f>IF(priority(Main[[#This Row],[Comments]])&lt;&gt;0, priority(Main[[#This Row],[Comments]]),"")</f>
        <v/>
      </c>
      <c r="B414" s="89" t="s">
        <v>1387</v>
      </c>
      <c r="C414" s="72" t="s">
        <v>4</v>
      </c>
      <c r="D414" s="73" t="s">
        <v>2364</v>
      </c>
      <c r="E414" s="74">
        <v>40407.653564814813</v>
      </c>
      <c r="F414" s="74"/>
      <c r="G414" s="75" t="str">
        <f>IF(stdProdLT(Main[[#This Row],[Comments]])=0.1,"N/A",IF(stdProdLT(Main[[#This Row],[Comments]])=0,"",stdProdLT(Main[[#This Row],[Comments]])))</f>
        <v/>
      </c>
      <c r="H414" s="76" t="str">
        <f>IF(AND(Main[[#This Row],[In Stock Date]]&lt;&gt;"",Main[[#This Row],[Revised Due Date]]&lt;&gt;""),Main[[#This Row],[In Stock Date]]-Main[[#This Row],[Revised Due Date]],"")</f>
        <v/>
      </c>
      <c r="I414" s="72" t="s">
        <v>4</v>
      </c>
      <c r="J414" s="72" t="s">
        <v>28</v>
      </c>
      <c r="K414" s="72" t="s">
        <v>4</v>
      </c>
      <c r="L414" s="74"/>
      <c r="M414" s="77" t="str">
        <f>IF(Main[[#This Row],[Tech Start Date]]&lt;1/1/1990,"",IF(Main[[#This Row],[Class]]="C",WORKDAY(Main[[#This Row],[Tech Start Date]],9),IF(Main[[#This Row],[Class]]="B", WORKDAY(Main[[#This Row],[Tech Start Date]],6),IF(Main[[#This Row],[Class]]="A",WORKDAY(Main[[#This Row],[Tech Start Date]],2),""))))</f>
        <v/>
      </c>
      <c r="N414" s="77" t="str">
        <f>IF(Main[[#This Row],[Tech Start Date]]&lt;1/1/1990,"",IF(Main[[#This Row],[Class]]="C",WORKDAY(Main[[#This Row],[Tech Start Date]],19),IF(Main[[#This Row],[Class]]="B", WORKDAY(Main[[#This Row],[Tech Start Date]],12),IF(Main[[#This Row],[Class]]="A",WORKDAY(Main[[#This Row],[Tech Start Date]],4),""))))</f>
        <v/>
      </c>
      <c r="O414" s="77" t="str">
        <f>IF(Main[[#This Row],[Tech Start Date]]&lt;1/1/1990,"",IF(Main[[#This Row],[Class]]="C",WORKDAY(Main[[#This Row],[Tech Start Date]],23),IF(Main[[#This Row],[Class]]="B", WORKDAY(Main[[#This Row],[Tech Start Date]],15),IF(Main[[#This Row],[Class]]="A",WORKDAY(Main[[#This Row],[Tech Start Date]],5),""))))</f>
        <v/>
      </c>
      <c r="P414" s="77" t="str">
        <f>IF(Main[[#This Row],[Tech Start Date]]&lt;1/1/1990,"",IF(Main[[#This Row],[Class]]="C",WORKDAY(Main[[#This Row],[Tech Start Date]],28),IF(Main[[#This Row],[Class]]="B", WORKDAY(Main[[#This Row],[Tech Start Date]],19),IF(Main[[#This Row],[Class]]="A",WORKDAY(Main[[#This Row],[Tech Start Date]],9),""))))</f>
        <v/>
      </c>
      <c r="Q414" s="74"/>
      <c r="R414" s="74"/>
      <c r="S414" s="72" t="s">
        <v>6</v>
      </c>
      <c r="T414" s="80" t="s">
        <v>4</v>
      </c>
      <c r="U414" s="72" t="s">
        <v>7</v>
      </c>
      <c r="V414" s="72" t="s">
        <v>1917</v>
      </c>
      <c r="W414" s="72" t="s">
        <v>1919</v>
      </c>
      <c r="X414" s="72" t="s">
        <v>879</v>
      </c>
      <c r="Y414" s="72" t="s">
        <v>3024</v>
      </c>
      <c r="Z414" s="72" t="s">
        <v>129</v>
      </c>
      <c r="AA414" s="146" t="s">
        <v>3414</v>
      </c>
    </row>
    <row r="415" spans="1:27" ht="18.600000000000001" customHeight="1">
      <c r="A415" s="139" t="str">
        <f>IF(priority(Main[[#This Row],[Comments]])&lt;&gt;0, priority(Main[[#This Row],[Comments]]),"")</f>
        <v/>
      </c>
      <c r="B415" s="89" t="s">
        <v>1212</v>
      </c>
      <c r="C415" s="72" t="s">
        <v>180</v>
      </c>
      <c r="D415" s="73" t="s">
        <v>270</v>
      </c>
      <c r="E415" s="74"/>
      <c r="F415" s="74">
        <v>40389</v>
      </c>
      <c r="G415" s="75" t="str">
        <f>IF(stdProdLT(Main[[#This Row],[Comments]])=0.1,"N/A",IF(stdProdLT(Main[[#This Row],[Comments]])=0,"",stdProdLT(Main[[#This Row],[Comments]])))</f>
        <v/>
      </c>
      <c r="H415" s="76" t="str">
        <f>IF(AND(Main[[#This Row],[In Stock Date]]&lt;&gt;"",Main[[#This Row],[Revised Due Date]]&lt;&gt;""),Main[[#This Row],[In Stock Date]]-Main[[#This Row],[Revised Due Date]],"")</f>
        <v/>
      </c>
      <c r="I415" s="72" t="s">
        <v>4</v>
      </c>
      <c r="J415" s="72" t="s">
        <v>4</v>
      </c>
      <c r="K415" s="72" t="s">
        <v>4</v>
      </c>
      <c r="L415" s="74"/>
      <c r="M415" s="77" t="str">
        <f>IF(Main[[#This Row],[Tech Start Date]]&lt;1/1/1990,"",IF(Main[[#This Row],[Class]]="C",WORKDAY(Main[[#This Row],[Tech Start Date]],9),IF(Main[[#This Row],[Class]]="B", WORKDAY(Main[[#This Row],[Tech Start Date]],6),IF(Main[[#This Row],[Class]]="A",WORKDAY(Main[[#This Row],[Tech Start Date]],2),""))))</f>
        <v/>
      </c>
      <c r="N415" s="77" t="str">
        <f>IF(Main[[#This Row],[Tech Start Date]]&lt;1/1/1990,"",IF(Main[[#This Row],[Class]]="C",WORKDAY(Main[[#This Row],[Tech Start Date]],19),IF(Main[[#This Row],[Class]]="B", WORKDAY(Main[[#This Row],[Tech Start Date]],12),IF(Main[[#This Row],[Class]]="A",WORKDAY(Main[[#This Row],[Tech Start Date]],4),""))))</f>
        <v/>
      </c>
      <c r="O415" s="77" t="str">
        <f>IF(Main[[#This Row],[Tech Start Date]]&lt;1/1/1990,"",IF(Main[[#This Row],[Class]]="C",WORKDAY(Main[[#This Row],[Tech Start Date]],23),IF(Main[[#This Row],[Class]]="B", WORKDAY(Main[[#This Row],[Tech Start Date]],15),IF(Main[[#This Row],[Class]]="A",WORKDAY(Main[[#This Row],[Tech Start Date]],5),""))))</f>
        <v/>
      </c>
      <c r="P415" s="77" t="str">
        <f>IF(Main[[#This Row],[Tech Start Date]]&lt;1/1/1990,"",IF(Main[[#This Row],[Class]]="C",WORKDAY(Main[[#This Row],[Tech Start Date]],28),IF(Main[[#This Row],[Class]]="B", WORKDAY(Main[[#This Row],[Tech Start Date]],19),IF(Main[[#This Row],[Class]]="A",WORKDAY(Main[[#This Row],[Tech Start Date]],9),""))))</f>
        <v/>
      </c>
      <c r="Q415" s="74">
        <v>40298</v>
      </c>
      <c r="R415" s="74"/>
      <c r="S415" s="72" t="s">
        <v>11</v>
      </c>
      <c r="T415" s="80" t="s">
        <v>4</v>
      </c>
      <c r="U415" s="72" t="s">
        <v>14</v>
      </c>
      <c r="V415" s="72" t="s">
        <v>1917</v>
      </c>
      <c r="W415" s="72" t="s">
        <v>1923</v>
      </c>
      <c r="X415" s="72" t="s">
        <v>2830</v>
      </c>
      <c r="Y415" s="72" t="s">
        <v>2949</v>
      </c>
      <c r="Z415" s="72" t="s">
        <v>4</v>
      </c>
      <c r="AA415" s="146" t="s">
        <v>2830</v>
      </c>
    </row>
    <row r="416" spans="1:27" ht="18.600000000000001" customHeight="1">
      <c r="A416" s="139" t="str">
        <f>IF(priority(Main[[#This Row],[Comments]])&lt;&gt;0, priority(Main[[#This Row],[Comments]]),"")</f>
        <v/>
      </c>
      <c r="B416" s="89" t="s">
        <v>1214</v>
      </c>
      <c r="C416" s="72" t="s">
        <v>273</v>
      </c>
      <c r="D416" s="73" t="s">
        <v>274</v>
      </c>
      <c r="E416" s="74"/>
      <c r="F416" s="74">
        <v>40262</v>
      </c>
      <c r="G416" s="75" t="str">
        <f>IF(stdProdLT(Main[[#This Row],[Comments]])=0.1,"N/A",IF(stdProdLT(Main[[#This Row],[Comments]])=0,"",stdProdLT(Main[[#This Row],[Comments]])))</f>
        <v/>
      </c>
      <c r="H416" s="76" t="str">
        <f>IF(AND(Main[[#This Row],[In Stock Date]]&lt;&gt;"",Main[[#This Row],[Revised Due Date]]&lt;&gt;""),Main[[#This Row],[In Stock Date]]-Main[[#This Row],[Revised Due Date]],"")</f>
        <v/>
      </c>
      <c r="I416" s="72" t="s">
        <v>4</v>
      </c>
      <c r="J416" s="72" t="s">
        <v>4</v>
      </c>
      <c r="K416" s="72" t="s">
        <v>4</v>
      </c>
      <c r="L416" s="74"/>
      <c r="M416" s="77" t="str">
        <f>IF(Main[[#This Row],[Tech Start Date]]&lt;1/1/1990,"",IF(Main[[#This Row],[Class]]="C",WORKDAY(Main[[#This Row],[Tech Start Date]],9),IF(Main[[#This Row],[Class]]="B", WORKDAY(Main[[#This Row],[Tech Start Date]],6),IF(Main[[#This Row],[Class]]="A",WORKDAY(Main[[#This Row],[Tech Start Date]],2),""))))</f>
        <v/>
      </c>
      <c r="N416" s="77" t="str">
        <f>IF(Main[[#This Row],[Tech Start Date]]&lt;1/1/1990,"",IF(Main[[#This Row],[Class]]="C",WORKDAY(Main[[#This Row],[Tech Start Date]],19),IF(Main[[#This Row],[Class]]="B", WORKDAY(Main[[#This Row],[Tech Start Date]],12),IF(Main[[#This Row],[Class]]="A",WORKDAY(Main[[#This Row],[Tech Start Date]],4),""))))</f>
        <v/>
      </c>
      <c r="O416" s="77" t="str">
        <f>IF(Main[[#This Row],[Tech Start Date]]&lt;1/1/1990,"",IF(Main[[#This Row],[Class]]="C",WORKDAY(Main[[#This Row],[Tech Start Date]],23),IF(Main[[#This Row],[Class]]="B", WORKDAY(Main[[#This Row],[Tech Start Date]],15),IF(Main[[#This Row],[Class]]="A",WORKDAY(Main[[#This Row],[Tech Start Date]],5),""))))</f>
        <v/>
      </c>
      <c r="P416" s="77" t="str">
        <f>IF(Main[[#This Row],[Tech Start Date]]&lt;1/1/1990,"",IF(Main[[#This Row],[Class]]="C",WORKDAY(Main[[#This Row],[Tech Start Date]],28),IF(Main[[#This Row],[Class]]="B", WORKDAY(Main[[#This Row],[Tech Start Date]],19),IF(Main[[#This Row],[Class]]="A",WORKDAY(Main[[#This Row],[Tech Start Date]],9),""))))</f>
        <v/>
      </c>
      <c r="Q416" s="74">
        <v>40242</v>
      </c>
      <c r="R416" s="74"/>
      <c r="S416" s="72" t="s">
        <v>11</v>
      </c>
      <c r="T416" s="80" t="s">
        <v>4</v>
      </c>
      <c r="U416" s="72" t="s">
        <v>14</v>
      </c>
      <c r="V416" s="72" t="s">
        <v>1927</v>
      </c>
      <c r="W416" s="72" t="s">
        <v>1921</v>
      </c>
      <c r="X416" s="72" t="s">
        <v>2874</v>
      </c>
      <c r="Y416" s="72" t="s">
        <v>3018</v>
      </c>
      <c r="Z416" s="72" t="s">
        <v>4</v>
      </c>
      <c r="AA416" s="146" t="s">
        <v>2874</v>
      </c>
    </row>
    <row r="417" spans="1:27" ht="18.600000000000001" customHeight="1">
      <c r="A417" s="139" t="str">
        <f>IF(priority(Main[[#This Row],[Comments]])&lt;&gt;0, priority(Main[[#This Row],[Comments]]),"")</f>
        <v/>
      </c>
      <c r="B417" s="89" t="s">
        <v>1215</v>
      </c>
      <c r="C417" s="72" t="s">
        <v>275</v>
      </c>
      <c r="D417" s="73" t="s">
        <v>276</v>
      </c>
      <c r="E417" s="74"/>
      <c r="F417" s="74">
        <v>40186</v>
      </c>
      <c r="G417" s="75" t="str">
        <f>IF(stdProdLT(Main[[#This Row],[Comments]])=0.1,"N/A",IF(stdProdLT(Main[[#This Row],[Comments]])=0,"",stdProdLT(Main[[#This Row],[Comments]])))</f>
        <v/>
      </c>
      <c r="H417" s="76" t="str">
        <f>IF(AND(Main[[#This Row],[In Stock Date]]&lt;&gt;"",Main[[#This Row],[Revised Due Date]]&lt;&gt;""),Main[[#This Row],[In Stock Date]]-Main[[#This Row],[Revised Due Date]],"")</f>
        <v/>
      </c>
      <c r="I417" s="72" t="s">
        <v>4</v>
      </c>
      <c r="J417" s="72" t="s">
        <v>4</v>
      </c>
      <c r="K417" s="72" t="s">
        <v>4</v>
      </c>
      <c r="L417" s="74"/>
      <c r="M417" s="77" t="str">
        <f>IF(Main[[#This Row],[Tech Start Date]]&lt;1/1/1990,"",IF(Main[[#This Row],[Class]]="C",WORKDAY(Main[[#This Row],[Tech Start Date]],9),IF(Main[[#This Row],[Class]]="B", WORKDAY(Main[[#This Row],[Tech Start Date]],6),IF(Main[[#This Row],[Class]]="A",WORKDAY(Main[[#This Row],[Tech Start Date]],2),""))))</f>
        <v/>
      </c>
      <c r="N417" s="77" t="str">
        <f>IF(Main[[#This Row],[Tech Start Date]]&lt;1/1/1990,"",IF(Main[[#This Row],[Class]]="C",WORKDAY(Main[[#This Row],[Tech Start Date]],19),IF(Main[[#This Row],[Class]]="B", WORKDAY(Main[[#This Row],[Tech Start Date]],12),IF(Main[[#This Row],[Class]]="A",WORKDAY(Main[[#This Row],[Tech Start Date]],4),""))))</f>
        <v/>
      </c>
      <c r="O417" s="77" t="str">
        <f>IF(Main[[#This Row],[Tech Start Date]]&lt;1/1/1990,"",IF(Main[[#This Row],[Class]]="C",WORKDAY(Main[[#This Row],[Tech Start Date]],23),IF(Main[[#This Row],[Class]]="B", WORKDAY(Main[[#This Row],[Tech Start Date]],15),IF(Main[[#This Row],[Class]]="A",WORKDAY(Main[[#This Row],[Tech Start Date]],5),""))))</f>
        <v/>
      </c>
      <c r="P417" s="77" t="str">
        <f>IF(Main[[#This Row],[Tech Start Date]]&lt;1/1/1990,"",IF(Main[[#This Row],[Class]]="C",WORKDAY(Main[[#This Row],[Tech Start Date]],28),IF(Main[[#This Row],[Class]]="B", WORKDAY(Main[[#This Row],[Tech Start Date]],19),IF(Main[[#This Row],[Class]]="A",WORKDAY(Main[[#This Row],[Tech Start Date]],9),""))))</f>
        <v/>
      </c>
      <c r="Q417" s="74">
        <v>40196</v>
      </c>
      <c r="R417" s="74"/>
      <c r="S417" s="72" t="s">
        <v>11</v>
      </c>
      <c r="T417" s="80" t="s">
        <v>4</v>
      </c>
      <c r="U417" s="72" t="s">
        <v>14</v>
      </c>
      <c r="V417" s="72" t="s">
        <v>1920</v>
      </c>
      <c r="W417" s="72" t="s">
        <v>1925</v>
      </c>
      <c r="X417" s="72" t="s">
        <v>2848</v>
      </c>
      <c r="Y417" s="72" t="s">
        <v>4</v>
      </c>
      <c r="Z417" s="72" t="s">
        <v>4</v>
      </c>
      <c r="AA417" s="146" t="s">
        <v>2848</v>
      </c>
    </row>
    <row r="418" spans="1:27" ht="18.600000000000001" customHeight="1">
      <c r="A418" s="139" t="str">
        <f>IF(priority(Main[[#This Row],[Comments]])&lt;&gt;0, priority(Main[[#This Row],[Comments]]),"")</f>
        <v/>
      </c>
      <c r="B418" s="89" t="s">
        <v>2226</v>
      </c>
      <c r="C418" s="72" t="s">
        <v>4</v>
      </c>
      <c r="D418" s="73" t="s">
        <v>2227</v>
      </c>
      <c r="E418" s="74"/>
      <c r="F418" s="74"/>
      <c r="G418" s="75" t="str">
        <f>IF(stdProdLT(Main[[#This Row],[Comments]])=0.1,"N/A",IF(stdProdLT(Main[[#This Row],[Comments]])=0,"",stdProdLT(Main[[#This Row],[Comments]])))</f>
        <v/>
      </c>
      <c r="H418" s="76" t="str">
        <f>IF(AND(Main[[#This Row],[In Stock Date]]&lt;&gt;"",Main[[#This Row],[Revised Due Date]]&lt;&gt;""),Main[[#This Row],[In Stock Date]]-Main[[#This Row],[Revised Due Date]],"")</f>
        <v/>
      </c>
      <c r="I418" s="72" t="s">
        <v>4</v>
      </c>
      <c r="J418" s="72" t="s">
        <v>4</v>
      </c>
      <c r="K418" s="72" t="s">
        <v>4</v>
      </c>
      <c r="L418" s="74"/>
      <c r="M418" s="77" t="str">
        <f>IF(Main[[#This Row],[Tech Start Date]]&lt;1/1/1990,"",IF(Main[[#This Row],[Class]]="C",WORKDAY(Main[[#This Row],[Tech Start Date]],9),IF(Main[[#This Row],[Class]]="B", WORKDAY(Main[[#This Row],[Tech Start Date]],6),IF(Main[[#This Row],[Class]]="A",WORKDAY(Main[[#This Row],[Tech Start Date]],2),""))))</f>
        <v/>
      </c>
      <c r="N418" s="77" t="str">
        <f>IF(Main[[#This Row],[Tech Start Date]]&lt;1/1/1990,"",IF(Main[[#This Row],[Class]]="C",WORKDAY(Main[[#This Row],[Tech Start Date]],19),IF(Main[[#This Row],[Class]]="B", WORKDAY(Main[[#This Row],[Tech Start Date]],12),IF(Main[[#This Row],[Class]]="A",WORKDAY(Main[[#This Row],[Tech Start Date]],4),""))))</f>
        <v/>
      </c>
      <c r="O418" s="77" t="str">
        <f>IF(Main[[#This Row],[Tech Start Date]]&lt;1/1/1990,"",IF(Main[[#This Row],[Class]]="C",WORKDAY(Main[[#This Row],[Tech Start Date]],23),IF(Main[[#This Row],[Class]]="B", WORKDAY(Main[[#This Row],[Tech Start Date]],15),IF(Main[[#This Row],[Class]]="A",WORKDAY(Main[[#This Row],[Tech Start Date]],5),""))))</f>
        <v/>
      </c>
      <c r="P418" s="77" t="str">
        <f>IF(Main[[#This Row],[Tech Start Date]]&lt;1/1/1990,"",IF(Main[[#This Row],[Class]]="C",WORKDAY(Main[[#This Row],[Tech Start Date]],28),IF(Main[[#This Row],[Class]]="B", WORKDAY(Main[[#This Row],[Tech Start Date]],19),IF(Main[[#This Row],[Class]]="A",WORKDAY(Main[[#This Row],[Tech Start Date]],9),""))))</f>
        <v/>
      </c>
      <c r="Q418" s="74">
        <v>40837</v>
      </c>
      <c r="R418" s="74"/>
      <c r="S418" s="72" t="s">
        <v>6</v>
      </c>
      <c r="T418" s="80" t="s">
        <v>4</v>
      </c>
      <c r="U418" s="72" t="s">
        <v>14</v>
      </c>
      <c r="V418" s="72" t="s">
        <v>1920</v>
      </c>
      <c r="W418" s="72" t="s">
        <v>4</v>
      </c>
      <c r="X418" s="72" t="s">
        <v>2824</v>
      </c>
      <c r="Y418" s="72" t="s">
        <v>2935</v>
      </c>
      <c r="Z418" s="72" t="s">
        <v>4</v>
      </c>
      <c r="AA418" s="146" t="s">
        <v>2824</v>
      </c>
    </row>
    <row r="419" spans="1:27" ht="18.600000000000001" customHeight="1">
      <c r="A419" s="139" t="str">
        <f>IF(priority(Main[[#This Row],[Comments]])&lt;&gt;0, priority(Main[[#This Row],[Comments]]),"")</f>
        <v/>
      </c>
      <c r="B419" s="89" t="s">
        <v>1407</v>
      </c>
      <c r="C419" s="72" t="s">
        <v>4</v>
      </c>
      <c r="D419" s="73" t="s">
        <v>487</v>
      </c>
      <c r="E419" s="74">
        <v>40704.65116898148</v>
      </c>
      <c r="F419" s="74"/>
      <c r="G419" s="75" t="str">
        <f>IF(stdProdLT(Main[[#This Row],[Comments]])=0.1,"N/A",IF(stdProdLT(Main[[#This Row],[Comments]])=0,"",stdProdLT(Main[[#This Row],[Comments]])))</f>
        <v/>
      </c>
      <c r="H419" s="76" t="str">
        <f>IF(AND(Main[[#This Row],[In Stock Date]]&lt;&gt;"",Main[[#This Row],[Revised Due Date]]&lt;&gt;""),Main[[#This Row],[In Stock Date]]-Main[[#This Row],[Revised Due Date]],"")</f>
        <v/>
      </c>
      <c r="I419" s="72" t="s">
        <v>4</v>
      </c>
      <c r="J419" s="72" t="s">
        <v>4</v>
      </c>
      <c r="K419" s="72" t="s">
        <v>4</v>
      </c>
      <c r="L419" s="74"/>
      <c r="M419" s="77" t="str">
        <f>IF(Main[[#This Row],[Tech Start Date]]&lt;1/1/1990,"",IF(Main[[#This Row],[Class]]="C",WORKDAY(Main[[#This Row],[Tech Start Date]],9),IF(Main[[#This Row],[Class]]="B", WORKDAY(Main[[#This Row],[Tech Start Date]],6),IF(Main[[#This Row],[Class]]="A",WORKDAY(Main[[#This Row],[Tech Start Date]],2),""))))</f>
        <v/>
      </c>
      <c r="N419" s="77" t="str">
        <f>IF(Main[[#This Row],[Tech Start Date]]&lt;1/1/1990,"",IF(Main[[#This Row],[Class]]="C",WORKDAY(Main[[#This Row],[Tech Start Date]],19),IF(Main[[#This Row],[Class]]="B", WORKDAY(Main[[#This Row],[Tech Start Date]],12),IF(Main[[#This Row],[Class]]="A",WORKDAY(Main[[#This Row],[Tech Start Date]],4),""))))</f>
        <v/>
      </c>
      <c r="O419" s="77" t="str">
        <f>IF(Main[[#This Row],[Tech Start Date]]&lt;1/1/1990,"",IF(Main[[#This Row],[Class]]="C",WORKDAY(Main[[#This Row],[Tech Start Date]],23),IF(Main[[#This Row],[Class]]="B", WORKDAY(Main[[#This Row],[Tech Start Date]],15),IF(Main[[#This Row],[Class]]="A",WORKDAY(Main[[#This Row],[Tech Start Date]],5),""))))</f>
        <v/>
      </c>
      <c r="P419" s="77" t="str">
        <f>IF(Main[[#This Row],[Tech Start Date]]&lt;1/1/1990,"",IF(Main[[#This Row],[Class]]="C",WORKDAY(Main[[#This Row],[Tech Start Date]],28),IF(Main[[#This Row],[Class]]="B", WORKDAY(Main[[#This Row],[Tech Start Date]],19),IF(Main[[#This Row],[Class]]="A",WORKDAY(Main[[#This Row],[Tech Start Date]],9),""))))</f>
        <v/>
      </c>
      <c r="Q419" s="74"/>
      <c r="R419" s="74"/>
      <c r="S419" s="72" t="s">
        <v>6</v>
      </c>
      <c r="T419" s="80" t="s">
        <v>4</v>
      </c>
      <c r="U419" s="72" t="s">
        <v>29</v>
      </c>
      <c r="V419" s="72" t="s">
        <v>1917</v>
      </c>
      <c r="W419" s="72" t="s">
        <v>1921</v>
      </c>
      <c r="X419" s="72" t="s">
        <v>399</v>
      </c>
      <c r="Y419" s="72" t="s">
        <v>4</v>
      </c>
      <c r="Z419" s="72" t="s">
        <v>4</v>
      </c>
      <c r="AA419" s="146" t="s">
        <v>3390</v>
      </c>
    </row>
    <row r="420" spans="1:27" ht="18.600000000000001" customHeight="1">
      <c r="A420" s="139" t="str">
        <f>IF(priority(Main[[#This Row],[Comments]])&lt;&gt;0, priority(Main[[#This Row],[Comments]]),"")</f>
        <v/>
      </c>
      <c r="B420" s="89" t="s">
        <v>1216</v>
      </c>
      <c r="C420" s="72" t="s">
        <v>4</v>
      </c>
      <c r="D420" s="73" t="s">
        <v>281</v>
      </c>
      <c r="E420" s="74">
        <v>40297.413148148145</v>
      </c>
      <c r="F420" s="74"/>
      <c r="G420" s="75" t="str">
        <f>IF(stdProdLT(Main[[#This Row],[Comments]])=0.1,"N/A",IF(stdProdLT(Main[[#This Row],[Comments]])=0,"",stdProdLT(Main[[#This Row],[Comments]])))</f>
        <v/>
      </c>
      <c r="H420" s="76" t="str">
        <f>IF(AND(Main[[#This Row],[In Stock Date]]&lt;&gt;"",Main[[#This Row],[Revised Due Date]]&lt;&gt;""),Main[[#This Row],[In Stock Date]]-Main[[#This Row],[Revised Due Date]],"")</f>
        <v/>
      </c>
      <c r="I420" s="72" t="s">
        <v>4</v>
      </c>
      <c r="J420" s="72" t="s">
        <v>4</v>
      </c>
      <c r="K420" s="81" t="s">
        <v>4</v>
      </c>
      <c r="L420" s="74"/>
      <c r="M420" s="77" t="str">
        <f>IF(Main[[#This Row],[Tech Start Date]]&lt;1/1/1990,"",IF(Main[[#This Row],[Class]]="C",WORKDAY(Main[[#This Row],[Tech Start Date]],9),IF(Main[[#This Row],[Class]]="B", WORKDAY(Main[[#This Row],[Tech Start Date]],6),IF(Main[[#This Row],[Class]]="A",WORKDAY(Main[[#This Row],[Tech Start Date]],2),""))))</f>
        <v/>
      </c>
      <c r="N420" s="77" t="str">
        <f>IF(Main[[#This Row],[Tech Start Date]]&lt;1/1/1990,"",IF(Main[[#This Row],[Class]]="C",WORKDAY(Main[[#This Row],[Tech Start Date]],19),IF(Main[[#This Row],[Class]]="B", WORKDAY(Main[[#This Row],[Tech Start Date]],12),IF(Main[[#This Row],[Class]]="A",WORKDAY(Main[[#This Row],[Tech Start Date]],4),""))))</f>
        <v/>
      </c>
      <c r="O420" s="77" t="str">
        <f>IF(Main[[#This Row],[Tech Start Date]]&lt;1/1/1990,"",IF(Main[[#This Row],[Class]]="C",WORKDAY(Main[[#This Row],[Tech Start Date]],23),IF(Main[[#This Row],[Class]]="B", WORKDAY(Main[[#This Row],[Tech Start Date]],15),IF(Main[[#This Row],[Class]]="A",WORKDAY(Main[[#This Row],[Tech Start Date]],5),""))))</f>
        <v/>
      </c>
      <c r="P420" s="77" t="str">
        <f>IF(Main[[#This Row],[Tech Start Date]]&lt;1/1/1990,"",IF(Main[[#This Row],[Class]]="C",WORKDAY(Main[[#This Row],[Tech Start Date]],28),IF(Main[[#This Row],[Class]]="B", WORKDAY(Main[[#This Row],[Tech Start Date]],19),IF(Main[[#This Row],[Class]]="A",WORKDAY(Main[[#This Row],[Tech Start Date]],9),""))))</f>
        <v/>
      </c>
      <c r="Q420" s="74">
        <v>40319</v>
      </c>
      <c r="R420" s="74"/>
      <c r="S420" s="72" t="s">
        <v>17</v>
      </c>
      <c r="T420" s="80" t="s">
        <v>4</v>
      </c>
      <c r="U420" s="72" t="s">
        <v>29</v>
      </c>
      <c r="V420" s="72" t="s">
        <v>1918</v>
      </c>
      <c r="W420" s="72" t="s">
        <v>1921</v>
      </c>
      <c r="X420" s="72" t="s">
        <v>2868</v>
      </c>
      <c r="Y420" s="72" t="s">
        <v>4</v>
      </c>
      <c r="Z420" s="72" t="s">
        <v>4</v>
      </c>
      <c r="AA420" s="146" t="s">
        <v>2841</v>
      </c>
    </row>
    <row r="421" spans="1:27" ht="18.600000000000001" customHeight="1">
      <c r="A421" s="139" t="str">
        <f>IF(priority(Main[[#This Row],[Comments]])&lt;&gt;0, priority(Main[[#This Row],[Comments]]),"")</f>
        <v/>
      </c>
      <c r="B421" s="89" t="s">
        <v>1217</v>
      </c>
      <c r="C421" s="72" t="s">
        <v>282</v>
      </c>
      <c r="D421" s="73" t="s">
        <v>283</v>
      </c>
      <c r="E421" s="74"/>
      <c r="F421" s="74">
        <v>40391</v>
      </c>
      <c r="G421" s="75" t="str">
        <f>IF(stdProdLT(Main[[#This Row],[Comments]])=0.1,"N/A",IF(stdProdLT(Main[[#This Row],[Comments]])=0,"",stdProdLT(Main[[#This Row],[Comments]])))</f>
        <v/>
      </c>
      <c r="H421" s="76" t="str">
        <f>IF(AND(Main[[#This Row],[In Stock Date]]&lt;&gt;"",Main[[#This Row],[Revised Due Date]]&lt;&gt;""),Main[[#This Row],[In Stock Date]]-Main[[#This Row],[Revised Due Date]],"")</f>
        <v/>
      </c>
      <c r="I421" s="72" t="s">
        <v>4</v>
      </c>
      <c r="J421" s="72" t="s">
        <v>4</v>
      </c>
      <c r="K421" s="81" t="s">
        <v>4</v>
      </c>
      <c r="L421" s="74"/>
      <c r="M421" s="77" t="str">
        <f>IF(Main[[#This Row],[Tech Start Date]]&lt;1/1/1990,"",IF(Main[[#This Row],[Class]]="C",WORKDAY(Main[[#This Row],[Tech Start Date]],9),IF(Main[[#This Row],[Class]]="B", WORKDAY(Main[[#This Row],[Tech Start Date]],6),IF(Main[[#This Row],[Class]]="A",WORKDAY(Main[[#This Row],[Tech Start Date]],2),""))))</f>
        <v/>
      </c>
      <c r="N421" s="77" t="str">
        <f>IF(Main[[#This Row],[Tech Start Date]]&lt;1/1/1990,"",IF(Main[[#This Row],[Class]]="C",WORKDAY(Main[[#This Row],[Tech Start Date]],19),IF(Main[[#This Row],[Class]]="B", WORKDAY(Main[[#This Row],[Tech Start Date]],12),IF(Main[[#This Row],[Class]]="A",WORKDAY(Main[[#This Row],[Tech Start Date]],4),""))))</f>
        <v/>
      </c>
      <c r="O421" s="77" t="str">
        <f>IF(Main[[#This Row],[Tech Start Date]]&lt;1/1/1990,"",IF(Main[[#This Row],[Class]]="C",WORKDAY(Main[[#This Row],[Tech Start Date]],23),IF(Main[[#This Row],[Class]]="B", WORKDAY(Main[[#This Row],[Tech Start Date]],15),IF(Main[[#This Row],[Class]]="A",WORKDAY(Main[[#This Row],[Tech Start Date]],5),""))))</f>
        <v/>
      </c>
      <c r="P421" s="77" t="str">
        <f>IF(Main[[#This Row],[Tech Start Date]]&lt;1/1/1990,"",IF(Main[[#This Row],[Class]]="C",WORKDAY(Main[[#This Row],[Tech Start Date]],28),IF(Main[[#This Row],[Class]]="B", WORKDAY(Main[[#This Row],[Tech Start Date]],19),IF(Main[[#This Row],[Class]]="A",WORKDAY(Main[[#This Row],[Tech Start Date]],9),""))))</f>
        <v/>
      </c>
      <c r="Q421" s="74">
        <v>40314</v>
      </c>
      <c r="R421" s="74"/>
      <c r="S421" s="72" t="s">
        <v>11</v>
      </c>
      <c r="T421" s="80" t="s">
        <v>4</v>
      </c>
      <c r="U421" s="72" t="s">
        <v>14</v>
      </c>
      <c r="V421" s="72" t="s">
        <v>1920</v>
      </c>
      <c r="W421" s="72" t="s">
        <v>1923</v>
      </c>
      <c r="X421" s="72" t="s">
        <v>2864</v>
      </c>
      <c r="Y421" s="72" t="s">
        <v>4</v>
      </c>
      <c r="Z421" s="72" t="s">
        <v>4</v>
      </c>
      <c r="AA421" s="146" t="s">
        <v>2864</v>
      </c>
    </row>
    <row r="422" spans="1:27" ht="18.600000000000001" customHeight="1">
      <c r="A422" s="139" t="str">
        <f>IF(priority(Main[[#This Row],[Comments]])&lt;&gt;0, priority(Main[[#This Row],[Comments]]),"")</f>
        <v/>
      </c>
      <c r="B422" s="89" t="s">
        <v>1218</v>
      </c>
      <c r="C422" s="72" t="s">
        <v>284</v>
      </c>
      <c r="D422" s="73" t="s">
        <v>285</v>
      </c>
      <c r="E422" s="74"/>
      <c r="F422" s="74"/>
      <c r="G422" s="75" t="str">
        <f>IF(stdProdLT(Main[[#This Row],[Comments]])=0.1,"N/A",IF(stdProdLT(Main[[#This Row],[Comments]])=0,"",stdProdLT(Main[[#This Row],[Comments]])))</f>
        <v/>
      </c>
      <c r="H422" s="76" t="str">
        <f>IF(AND(Main[[#This Row],[In Stock Date]]&lt;&gt;"",Main[[#This Row],[Revised Due Date]]&lt;&gt;""),Main[[#This Row],[In Stock Date]]-Main[[#This Row],[Revised Due Date]],"")</f>
        <v/>
      </c>
      <c r="I422" s="72" t="s">
        <v>4</v>
      </c>
      <c r="J422" s="72" t="s">
        <v>4</v>
      </c>
      <c r="K422" s="72" t="s">
        <v>4</v>
      </c>
      <c r="L422" s="74"/>
      <c r="M422" s="77" t="str">
        <f>IF(Main[[#This Row],[Tech Start Date]]&lt;1/1/1990,"",IF(Main[[#This Row],[Class]]="C",WORKDAY(Main[[#This Row],[Tech Start Date]],9),IF(Main[[#This Row],[Class]]="B", WORKDAY(Main[[#This Row],[Tech Start Date]],6),IF(Main[[#This Row],[Class]]="A",WORKDAY(Main[[#This Row],[Tech Start Date]],2),""))))</f>
        <v/>
      </c>
      <c r="N422" s="77" t="str">
        <f>IF(Main[[#This Row],[Tech Start Date]]&lt;1/1/1990,"",IF(Main[[#This Row],[Class]]="C",WORKDAY(Main[[#This Row],[Tech Start Date]],19),IF(Main[[#This Row],[Class]]="B", WORKDAY(Main[[#This Row],[Tech Start Date]],12),IF(Main[[#This Row],[Class]]="A",WORKDAY(Main[[#This Row],[Tech Start Date]],4),""))))</f>
        <v/>
      </c>
      <c r="O422" s="77" t="str">
        <f>IF(Main[[#This Row],[Tech Start Date]]&lt;1/1/1990,"",IF(Main[[#This Row],[Class]]="C",WORKDAY(Main[[#This Row],[Tech Start Date]],23),IF(Main[[#This Row],[Class]]="B", WORKDAY(Main[[#This Row],[Tech Start Date]],15),IF(Main[[#This Row],[Class]]="A",WORKDAY(Main[[#This Row],[Tech Start Date]],5),""))))</f>
        <v/>
      </c>
      <c r="P422" s="77" t="str">
        <f>IF(Main[[#This Row],[Tech Start Date]]&lt;1/1/1990,"",IF(Main[[#This Row],[Class]]="C",WORKDAY(Main[[#This Row],[Tech Start Date]],28),IF(Main[[#This Row],[Class]]="B", WORKDAY(Main[[#This Row],[Tech Start Date]],19),IF(Main[[#This Row],[Class]]="A",WORKDAY(Main[[#This Row],[Tech Start Date]],9),""))))</f>
        <v/>
      </c>
      <c r="Q422" s="74">
        <v>40147</v>
      </c>
      <c r="R422" s="74"/>
      <c r="S422" s="72" t="s">
        <v>11</v>
      </c>
      <c r="T422" s="80" t="s">
        <v>4</v>
      </c>
      <c r="U422" s="72" t="s">
        <v>14</v>
      </c>
      <c r="V422" s="72" t="s">
        <v>1927</v>
      </c>
      <c r="W422" s="72" t="s">
        <v>1925</v>
      </c>
      <c r="X422" s="72" t="s">
        <v>2823</v>
      </c>
      <c r="Y422" s="72" t="s">
        <v>4</v>
      </c>
      <c r="Z422" s="72" t="s">
        <v>4</v>
      </c>
      <c r="AA422" s="146" t="s">
        <v>2823</v>
      </c>
    </row>
    <row r="423" spans="1:27" ht="18.600000000000001" customHeight="1">
      <c r="A423" s="139" t="str">
        <f>IF(priority(Main[[#This Row],[Comments]])&lt;&gt;0, priority(Main[[#This Row],[Comments]]),"")</f>
        <v/>
      </c>
      <c r="B423" s="89" t="s">
        <v>2078</v>
      </c>
      <c r="C423" s="72" t="s">
        <v>4</v>
      </c>
      <c r="D423" s="73" t="s">
        <v>2068</v>
      </c>
      <c r="E423" s="74"/>
      <c r="F423" s="74"/>
      <c r="G423" s="75" t="str">
        <f>IF(stdProdLT(Main[[#This Row],[Comments]])=0.1,"N/A",IF(stdProdLT(Main[[#This Row],[Comments]])=0,"",stdProdLT(Main[[#This Row],[Comments]])))</f>
        <v/>
      </c>
      <c r="H423" s="76" t="str">
        <f>IF(AND(Main[[#This Row],[In Stock Date]]&lt;&gt;"",Main[[#This Row],[Revised Due Date]]&lt;&gt;""),Main[[#This Row],[In Stock Date]]-Main[[#This Row],[Revised Due Date]],"")</f>
        <v/>
      </c>
      <c r="I423" s="72" t="s">
        <v>4</v>
      </c>
      <c r="J423" s="72" t="s">
        <v>4</v>
      </c>
      <c r="K423" s="72" t="s">
        <v>4</v>
      </c>
      <c r="L423" s="74"/>
      <c r="M423" s="77" t="str">
        <f>IF(Main[[#This Row],[Tech Start Date]]&lt;1/1/1990,"",IF(Main[[#This Row],[Class]]="C",WORKDAY(Main[[#This Row],[Tech Start Date]],9),IF(Main[[#This Row],[Class]]="B", WORKDAY(Main[[#This Row],[Tech Start Date]],6),IF(Main[[#This Row],[Class]]="A",WORKDAY(Main[[#This Row],[Tech Start Date]],2),""))))</f>
        <v/>
      </c>
      <c r="N423" s="77" t="str">
        <f>IF(Main[[#This Row],[Tech Start Date]]&lt;1/1/1990,"",IF(Main[[#This Row],[Class]]="C",WORKDAY(Main[[#This Row],[Tech Start Date]],19),IF(Main[[#This Row],[Class]]="B", WORKDAY(Main[[#This Row],[Tech Start Date]],12),IF(Main[[#This Row],[Class]]="A",WORKDAY(Main[[#This Row],[Tech Start Date]],4),""))))</f>
        <v/>
      </c>
      <c r="O423" s="77" t="str">
        <f>IF(Main[[#This Row],[Tech Start Date]]&lt;1/1/1990,"",IF(Main[[#This Row],[Class]]="C",WORKDAY(Main[[#This Row],[Tech Start Date]],23),IF(Main[[#This Row],[Class]]="B", WORKDAY(Main[[#This Row],[Tech Start Date]],15),IF(Main[[#This Row],[Class]]="A",WORKDAY(Main[[#This Row],[Tech Start Date]],5),""))))</f>
        <v/>
      </c>
      <c r="P423" s="77" t="str">
        <f>IF(Main[[#This Row],[Tech Start Date]]&lt;1/1/1990,"",IF(Main[[#This Row],[Class]]="C",WORKDAY(Main[[#This Row],[Tech Start Date]],28),IF(Main[[#This Row],[Class]]="B", WORKDAY(Main[[#This Row],[Tech Start Date]],19),IF(Main[[#This Row],[Class]]="A",WORKDAY(Main[[#This Row],[Tech Start Date]],9),""))))</f>
        <v/>
      </c>
      <c r="Q423" s="74">
        <v>40798</v>
      </c>
      <c r="R423" s="74"/>
      <c r="S423" s="72" t="s">
        <v>6</v>
      </c>
      <c r="T423" s="80" t="s">
        <v>4</v>
      </c>
      <c r="U423" s="72" t="s">
        <v>12</v>
      </c>
      <c r="V423" s="72" t="s">
        <v>1920</v>
      </c>
      <c r="W423" s="72" t="s">
        <v>4</v>
      </c>
      <c r="X423" s="72" t="s">
        <v>2825</v>
      </c>
      <c r="Y423" s="72" t="s">
        <v>2938</v>
      </c>
      <c r="Z423" s="72" t="s">
        <v>4</v>
      </c>
      <c r="AA423" s="146" t="s">
        <v>2825</v>
      </c>
    </row>
    <row r="424" spans="1:27" ht="18.600000000000001" customHeight="1">
      <c r="A424" s="139" t="str">
        <f>IF(priority(Main[[#This Row],[Comments]])&lt;&gt;0, priority(Main[[#This Row],[Comments]]),"")</f>
        <v/>
      </c>
      <c r="B424" s="89" t="s">
        <v>1219</v>
      </c>
      <c r="C424" s="72" t="s">
        <v>286</v>
      </c>
      <c r="D424" s="73" t="s">
        <v>287</v>
      </c>
      <c r="E424" s="74"/>
      <c r="F424" s="74">
        <v>40421</v>
      </c>
      <c r="G424" s="75" t="str">
        <f>IF(stdProdLT(Main[[#This Row],[Comments]])=0.1,"N/A",IF(stdProdLT(Main[[#This Row],[Comments]])=0,"",stdProdLT(Main[[#This Row],[Comments]])))</f>
        <v/>
      </c>
      <c r="H424" s="76" t="str">
        <f>IF(AND(Main[[#This Row],[In Stock Date]]&lt;&gt;"",Main[[#This Row],[Revised Due Date]]&lt;&gt;""),Main[[#This Row],[In Stock Date]]-Main[[#This Row],[Revised Due Date]],"")</f>
        <v/>
      </c>
      <c r="I424" s="72" t="s">
        <v>4</v>
      </c>
      <c r="J424" s="72" t="s">
        <v>4</v>
      </c>
      <c r="K424" s="72" t="s">
        <v>4</v>
      </c>
      <c r="L424" s="74"/>
      <c r="M424" s="77" t="str">
        <f>IF(Main[[#This Row],[Tech Start Date]]&lt;1/1/1990,"",IF(Main[[#This Row],[Class]]="C",WORKDAY(Main[[#This Row],[Tech Start Date]],9),IF(Main[[#This Row],[Class]]="B", WORKDAY(Main[[#This Row],[Tech Start Date]],6),IF(Main[[#This Row],[Class]]="A",WORKDAY(Main[[#This Row],[Tech Start Date]],2),""))))</f>
        <v/>
      </c>
      <c r="N424" s="77" t="str">
        <f>IF(Main[[#This Row],[Tech Start Date]]&lt;1/1/1990,"",IF(Main[[#This Row],[Class]]="C",WORKDAY(Main[[#This Row],[Tech Start Date]],19),IF(Main[[#This Row],[Class]]="B", WORKDAY(Main[[#This Row],[Tech Start Date]],12),IF(Main[[#This Row],[Class]]="A",WORKDAY(Main[[#This Row],[Tech Start Date]],4),""))))</f>
        <v/>
      </c>
      <c r="O424" s="77" t="str">
        <f>IF(Main[[#This Row],[Tech Start Date]]&lt;1/1/1990,"",IF(Main[[#This Row],[Class]]="C",WORKDAY(Main[[#This Row],[Tech Start Date]],23),IF(Main[[#This Row],[Class]]="B", WORKDAY(Main[[#This Row],[Tech Start Date]],15),IF(Main[[#This Row],[Class]]="A",WORKDAY(Main[[#This Row],[Tech Start Date]],5),""))))</f>
        <v/>
      </c>
      <c r="P424" s="77" t="str">
        <f>IF(Main[[#This Row],[Tech Start Date]]&lt;1/1/1990,"",IF(Main[[#This Row],[Class]]="C",WORKDAY(Main[[#This Row],[Tech Start Date]],28),IF(Main[[#This Row],[Class]]="B", WORKDAY(Main[[#This Row],[Tech Start Date]],19),IF(Main[[#This Row],[Class]]="A",WORKDAY(Main[[#This Row],[Tech Start Date]],9),""))))</f>
        <v/>
      </c>
      <c r="Q424" s="74">
        <v>40360</v>
      </c>
      <c r="R424" s="74"/>
      <c r="S424" s="72" t="s">
        <v>11</v>
      </c>
      <c r="T424" s="80" t="s">
        <v>4</v>
      </c>
      <c r="U424" s="72" t="s">
        <v>12</v>
      </c>
      <c r="V424" s="72" t="s">
        <v>1918</v>
      </c>
      <c r="W424" s="72" t="s">
        <v>1922</v>
      </c>
      <c r="X424" s="72" t="s">
        <v>2880</v>
      </c>
      <c r="Y424" s="72" t="s">
        <v>3025</v>
      </c>
      <c r="Z424" s="72" t="s">
        <v>4</v>
      </c>
      <c r="AA424" s="146" t="s">
        <v>2880</v>
      </c>
    </row>
    <row r="425" spans="1:27" ht="18.600000000000001" customHeight="1">
      <c r="A425" s="139" t="str">
        <f>IF(priority(Main[[#This Row],[Comments]])&lt;&gt;0, priority(Main[[#This Row],[Comments]]),"")</f>
        <v/>
      </c>
      <c r="B425" s="89" t="s">
        <v>1426</v>
      </c>
      <c r="C425" s="72" t="s">
        <v>4</v>
      </c>
      <c r="D425" s="73" t="s">
        <v>1954</v>
      </c>
      <c r="E425" s="74"/>
      <c r="F425" s="74"/>
      <c r="G425" s="75" t="str">
        <f>IF(stdProdLT(Main[[#This Row],[Comments]])=0.1,"N/A",IF(stdProdLT(Main[[#This Row],[Comments]])=0,"",stdProdLT(Main[[#This Row],[Comments]])))</f>
        <v/>
      </c>
      <c r="H425" s="76" t="str">
        <f>IF(AND(Main[[#This Row],[In Stock Date]]&lt;&gt;"",Main[[#This Row],[Revised Due Date]]&lt;&gt;""),Main[[#This Row],[In Stock Date]]-Main[[#This Row],[Revised Due Date]],"")</f>
        <v/>
      </c>
      <c r="I425" s="72" t="s">
        <v>4</v>
      </c>
      <c r="J425" s="72" t="s">
        <v>4</v>
      </c>
      <c r="K425" s="72" t="s">
        <v>4</v>
      </c>
      <c r="L425" s="74"/>
      <c r="M425" s="77" t="str">
        <f>IF(Main[[#This Row],[Tech Start Date]]&lt;1/1/1990,"",IF(Main[[#This Row],[Class]]="C",WORKDAY(Main[[#This Row],[Tech Start Date]],9),IF(Main[[#This Row],[Class]]="B", WORKDAY(Main[[#This Row],[Tech Start Date]],6),IF(Main[[#This Row],[Class]]="A",WORKDAY(Main[[#This Row],[Tech Start Date]],2),""))))</f>
        <v/>
      </c>
      <c r="N425" s="77" t="str">
        <f>IF(Main[[#This Row],[Tech Start Date]]&lt;1/1/1990,"",IF(Main[[#This Row],[Class]]="C",WORKDAY(Main[[#This Row],[Tech Start Date]],19),IF(Main[[#This Row],[Class]]="B", WORKDAY(Main[[#This Row],[Tech Start Date]],12),IF(Main[[#This Row],[Class]]="A",WORKDAY(Main[[#This Row],[Tech Start Date]],4),""))))</f>
        <v/>
      </c>
      <c r="O425" s="77" t="str">
        <f>IF(Main[[#This Row],[Tech Start Date]]&lt;1/1/1990,"",IF(Main[[#This Row],[Class]]="C",WORKDAY(Main[[#This Row],[Tech Start Date]],23),IF(Main[[#This Row],[Class]]="B", WORKDAY(Main[[#This Row],[Tech Start Date]],15),IF(Main[[#This Row],[Class]]="A",WORKDAY(Main[[#This Row],[Tech Start Date]],5),""))))</f>
        <v/>
      </c>
      <c r="P425" s="77" t="str">
        <f>IF(Main[[#This Row],[Tech Start Date]]&lt;1/1/1990,"",IF(Main[[#This Row],[Class]]="C",WORKDAY(Main[[#This Row],[Tech Start Date]],28),IF(Main[[#This Row],[Class]]="B", WORKDAY(Main[[#This Row],[Tech Start Date]],19),IF(Main[[#This Row],[Class]]="A",WORKDAY(Main[[#This Row],[Tech Start Date]],9),""))))</f>
        <v/>
      </c>
      <c r="Q425" s="74"/>
      <c r="R425" s="74"/>
      <c r="S425" s="72" t="s">
        <v>6</v>
      </c>
      <c r="T425" s="80" t="s">
        <v>4</v>
      </c>
      <c r="U425" s="72" t="s">
        <v>14</v>
      </c>
      <c r="V425" s="72" t="s">
        <v>1918</v>
      </c>
      <c r="W425" s="72" t="s">
        <v>1919</v>
      </c>
      <c r="X425" s="72" t="s">
        <v>924</v>
      </c>
      <c r="Y425" s="72" t="s">
        <v>3026</v>
      </c>
      <c r="Z425" s="72" t="s">
        <v>4</v>
      </c>
      <c r="AA425" s="146" t="s">
        <v>3415</v>
      </c>
    </row>
    <row r="426" spans="1:27" ht="18.600000000000001" customHeight="1">
      <c r="A426" s="139" t="str">
        <f>IF(priority(Main[[#This Row],[Comments]])&lt;&gt;0, priority(Main[[#This Row],[Comments]]),"")</f>
        <v/>
      </c>
      <c r="B426" s="89" t="s">
        <v>1131</v>
      </c>
      <c r="C426" s="72" t="s">
        <v>4</v>
      </c>
      <c r="D426" s="73" t="s">
        <v>2365</v>
      </c>
      <c r="E426" s="74">
        <v>40574.415509259263</v>
      </c>
      <c r="F426" s="74">
        <v>40613</v>
      </c>
      <c r="G426" s="75" t="str">
        <f>IF(stdProdLT(Main[[#This Row],[Comments]])=0.1,"N/A",IF(stdProdLT(Main[[#This Row],[Comments]])=0,"",stdProdLT(Main[[#This Row],[Comments]])))</f>
        <v/>
      </c>
      <c r="H426" s="76" t="str">
        <f>IF(AND(Main[[#This Row],[In Stock Date]]&lt;&gt;"",Main[[#This Row],[Revised Due Date]]&lt;&gt;""),Main[[#This Row],[In Stock Date]]-Main[[#This Row],[Revised Due Date]],"")</f>
        <v/>
      </c>
      <c r="I426" s="72" t="s">
        <v>914</v>
      </c>
      <c r="J426" s="72" t="s">
        <v>52</v>
      </c>
      <c r="K426" s="72" t="s">
        <v>1926</v>
      </c>
      <c r="L426" s="74"/>
      <c r="M426" s="77" t="str">
        <f>IF(Main[[#This Row],[Tech Start Date]]&lt;1/1/1990,"",IF(Main[[#This Row],[Class]]="C",WORKDAY(Main[[#This Row],[Tech Start Date]],9),IF(Main[[#This Row],[Class]]="B", WORKDAY(Main[[#This Row],[Tech Start Date]],6),IF(Main[[#This Row],[Class]]="A",WORKDAY(Main[[#This Row],[Tech Start Date]],2),""))))</f>
        <v/>
      </c>
      <c r="N426" s="77" t="str">
        <f>IF(Main[[#This Row],[Tech Start Date]]&lt;1/1/1990,"",IF(Main[[#This Row],[Class]]="C",WORKDAY(Main[[#This Row],[Tech Start Date]],19),IF(Main[[#This Row],[Class]]="B", WORKDAY(Main[[#This Row],[Tech Start Date]],12),IF(Main[[#This Row],[Class]]="A",WORKDAY(Main[[#This Row],[Tech Start Date]],4),""))))</f>
        <v/>
      </c>
      <c r="O426" s="77" t="str">
        <f>IF(Main[[#This Row],[Tech Start Date]]&lt;1/1/1990,"",IF(Main[[#This Row],[Class]]="C",WORKDAY(Main[[#This Row],[Tech Start Date]],23),IF(Main[[#This Row],[Class]]="B", WORKDAY(Main[[#This Row],[Tech Start Date]],15),IF(Main[[#This Row],[Class]]="A",WORKDAY(Main[[#This Row],[Tech Start Date]],5),""))))</f>
        <v/>
      </c>
      <c r="P426" s="77" t="str">
        <f>IF(Main[[#This Row],[Tech Start Date]]&lt;1/1/1990,"",IF(Main[[#This Row],[Class]]="C",WORKDAY(Main[[#This Row],[Tech Start Date]],28),IF(Main[[#This Row],[Class]]="B", WORKDAY(Main[[#This Row],[Tech Start Date]],19),IF(Main[[#This Row],[Class]]="A",WORKDAY(Main[[#This Row],[Tech Start Date]],9),""))))</f>
        <v/>
      </c>
      <c r="Q426" s="74">
        <v>40613</v>
      </c>
      <c r="R426" s="74"/>
      <c r="S426" s="72" t="s">
        <v>6</v>
      </c>
      <c r="T426" s="80" t="s">
        <v>4</v>
      </c>
      <c r="U426" s="72" t="s">
        <v>29</v>
      </c>
      <c r="V426" s="72" t="s">
        <v>1917</v>
      </c>
      <c r="W426" s="72" t="s">
        <v>1919</v>
      </c>
      <c r="X426" s="72" t="s">
        <v>2824</v>
      </c>
      <c r="Y426" s="72" t="s">
        <v>2935</v>
      </c>
      <c r="Z426" s="72" t="s">
        <v>129</v>
      </c>
      <c r="AA426" s="146" t="s">
        <v>2824</v>
      </c>
    </row>
    <row r="427" spans="1:27" ht="18.600000000000001" customHeight="1">
      <c r="A427" s="139" t="str">
        <f>IF(priority(Main[[#This Row],[Comments]])&lt;&gt;0, priority(Main[[#This Row],[Comments]]),"")</f>
        <v/>
      </c>
      <c r="B427" s="89" t="s">
        <v>2293</v>
      </c>
      <c r="C427" s="72" t="s">
        <v>4</v>
      </c>
      <c r="D427" s="73" t="s">
        <v>2370</v>
      </c>
      <c r="E427" s="74">
        <v>40813.664259259262</v>
      </c>
      <c r="F427" s="74"/>
      <c r="G427" s="75" t="str">
        <f>IF(stdProdLT(Main[[#This Row],[Comments]])=0.1,"N/A",IF(stdProdLT(Main[[#This Row],[Comments]])=0,"",stdProdLT(Main[[#This Row],[Comments]])))</f>
        <v/>
      </c>
      <c r="H427" s="76" t="str">
        <f>IF(AND(Main[[#This Row],[In Stock Date]]&lt;&gt;"",Main[[#This Row],[Revised Due Date]]&lt;&gt;""),Main[[#This Row],[In Stock Date]]-Main[[#This Row],[Revised Due Date]],"")</f>
        <v/>
      </c>
      <c r="I427" s="72" t="s">
        <v>939</v>
      </c>
      <c r="J427" s="72" t="s">
        <v>4</v>
      </c>
      <c r="K427" s="72" t="s">
        <v>4</v>
      </c>
      <c r="L427" s="74"/>
      <c r="M427" s="77" t="str">
        <f>IF(Main[[#This Row],[Tech Start Date]]&lt;1/1/1990,"",IF(Main[[#This Row],[Class]]="C",WORKDAY(Main[[#This Row],[Tech Start Date]],9),IF(Main[[#This Row],[Class]]="B", WORKDAY(Main[[#This Row],[Tech Start Date]],6),IF(Main[[#This Row],[Class]]="A",WORKDAY(Main[[#This Row],[Tech Start Date]],2),""))))</f>
        <v/>
      </c>
      <c r="N427" s="77" t="str">
        <f>IF(Main[[#This Row],[Tech Start Date]]&lt;1/1/1990,"",IF(Main[[#This Row],[Class]]="C",WORKDAY(Main[[#This Row],[Tech Start Date]],19),IF(Main[[#This Row],[Class]]="B", WORKDAY(Main[[#This Row],[Tech Start Date]],12),IF(Main[[#This Row],[Class]]="A",WORKDAY(Main[[#This Row],[Tech Start Date]],4),""))))</f>
        <v/>
      </c>
      <c r="O427" s="77" t="str">
        <f>IF(Main[[#This Row],[Tech Start Date]]&lt;1/1/1990,"",IF(Main[[#This Row],[Class]]="C",WORKDAY(Main[[#This Row],[Tech Start Date]],23),IF(Main[[#This Row],[Class]]="B", WORKDAY(Main[[#This Row],[Tech Start Date]],15),IF(Main[[#This Row],[Class]]="A",WORKDAY(Main[[#This Row],[Tech Start Date]],5),""))))</f>
        <v/>
      </c>
      <c r="P427" s="77" t="str">
        <f>IF(Main[[#This Row],[Tech Start Date]]&lt;1/1/1990,"",IF(Main[[#This Row],[Class]]="C",WORKDAY(Main[[#This Row],[Tech Start Date]],28),IF(Main[[#This Row],[Class]]="B", WORKDAY(Main[[#This Row],[Tech Start Date]],19),IF(Main[[#This Row],[Class]]="A",WORKDAY(Main[[#This Row],[Tech Start Date]],9),""))))</f>
        <v/>
      </c>
      <c r="Q427" s="74"/>
      <c r="R427" s="74">
        <v>40840</v>
      </c>
      <c r="S427" s="72" t="s">
        <v>6</v>
      </c>
      <c r="T427" s="80" t="s">
        <v>4</v>
      </c>
      <c r="U427" s="72" t="s">
        <v>7</v>
      </c>
      <c r="V427" s="72" t="s">
        <v>1917</v>
      </c>
      <c r="W427" s="72" t="s">
        <v>1921</v>
      </c>
      <c r="X427" s="72" t="s">
        <v>306</v>
      </c>
      <c r="Y427" s="72" t="s">
        <v>4</v>
      </c>
      <c r="Z427" s="72" t="s">
        <v>4</v>
      </c>
      <c r="AA427" s="146" t="s">
        <v>3416</v>
      </c>
    </row>
    <row r="428" spans="1:27" ht="18.600000000000001" customHeight="1">
      <c r="A428" s="139" t="str">
        <f>IF(priority(Main[[#This Row],[Comments]])&lt;&gt;0, priority(Main[[#This Row],[Comments]]),"")</f>
        <v/>
      </c>
      <c r="B428" s="89" t="s">
        <v>1267</v>
      </c>
      <c r="C428" s="72" t="s">
        <v>4</v>
      </c>
      <c r="D428" s="73" t="s">
        <v>334</v>
      </c>
      <c r="E428" s="74"/>
      <c r="F428" s="74"/>
      <c r="G428" s="75" t="str">
        <f>IF(stdProdLT(Main[[#This Row],[Comments]])=0.1,"N/A",IF(stdProdLT(Main[[#This Row],[Comments]])=0,"",stdProdLT(Main[[#This Row],[Comments]])))</f>
        <v/>
      </c>
      <c r="H428" s="76" t="str">
        <f>IF(AND(Main[[#This Row],[In Stock Date]]&lt;&gt;"",Main[[#This Row],[Revised Due Date]]&lt;&gt;""),Main[[#This Row],[In Stock Date]]-Main[[#This Row],[Revised Due Date]],"")</f>
        <v/>
      </c>
      <c r="I428" s="72" t="s">
        <v>4</v>
      </c>
      <c r="J428" s="72" t="s">
        <v>4</v>
      </c>
      <c r="K428" s="72" t="s">
        <v>4</v>
      </c>
      <c r="L428" s="74"/>
      <c r="M428" s="77" t="str">
        <f>IF(Main[[#This Row],[Tech Start Date]]&lt;1/1/1990,"",IF(Main[[#This Row],[Class]]="C",WORKDAY(Main[[#This Row],[Tech Start Date]],9),IF(Main[[#This Row],[Class]]="B", WORKDAY(Main[[#This Row],[Tech Start Date]],6),IF(Main[[#This Row],[Class]]="A",WORKDAY(Main[[#This Row],[Tech Start Date]],2),""))))</f>
        <v/>
      </c>
      <c r="N428" s="77" t="str">
        <f>IF(Main[[#This Row],[Tech Start Date]]&lt;1/1/1990,"",IF(Main[[#This Row],[Class]]="C",WORKDAY(Main[[#This Row],[Tech Start Date]],19),IF(Main[[#This Row],[Class]]="B", WORKDAY(Main[[#This Row],[Tech Start Date]],12),IF(Main[[#This Row],[Class]]="A",WORKDAY(Main[[#This Row],[Tech Start Date]],4),""))))</f>
        <v/>
      </c>
      <c r="O428" s="77" t="str">
        <f>IF(Main[[#This Row],[Tech Start Date]]&lt;1/1/1990,"",IF(Main[[#This Row],[Class]]="C",WORKDAY(Main[[#This Row],[Tech Start Date]],23),IF(Main[[#This Row],[Class]]="B", WORKDAY(Main[[#This Row],[Tech Start Date]],15),IF(Main[[#This Row],[Class]]="A",WORKDAY(Main[[#This Row],[Tech Start Date]],5),""))))</f>
        <v/>
      </c>
      <c r="P428" s="77" t="str">
        <f>IF(Main[[#This Row],[Tech Start Date]]&lt;1/1/1990,"",IF(Main[[#This Row],[Class]]="C",WORKDAY(Main[[#This Row],[Tech Start Date]],28),IF(Main[[#This Row],[Class]]="B", WORKDAY(Main[[#This Row],[Tech Start Date]],19),IF(Main[[#This Row],[Class]]="A",WORKDAY(Main[[#This Row],[Tech Start Date]],9),""))))</f>
        <v/>
      </c>
      <c r="Q428" s="74"/>
      <c r="R428" s="74"/>
      <c r="S428" s="72" t="s">
        <v>23</v>
      </c>
      <c r="T428" s="80" t="s">
        <v>4</v>
      </c>
      <c r="U428" s="72" t="s">
        <v>14</v>
      </c>
      <c r="V428" s="72" t="s">
        <v>1920</v>
      </c>
      <c r="W428" s="72" t="s">
        <v>1921</v>
      </c>
      <c r="X428" s="72" t="s">
        <v>399</v>
      </c>
      <c r="Y428" s="72" t="s">
        <v>4</v>
      </c>
      <c r="Z428" s="72" t="s">
        <v>4</v>
      </c>
      <c r="AA428" s="146" t="s">
        <v>3417</v>
      </c>
    </row>
    <row r="429" spans="1:27" ht="18.600000000000001" customHeight="1">
      <c r="A429" s="139" t="str">
        <f>IF(priority(Main[[#This Row],[Comments]])&lt;&gt;0, priority(Main[[#This Row],[Comments]]),"")</f>
        <v/>
      </c>
      <c r="B429" s="89" t="s">
        <v>1268</v>
      </c>
      <c r="C429" s="72" t="s">
        <v>31</v>
      </c>
      <c r="D429" s="73" t="s">
        <v>335</v>
      </c>
      <c r="E429" s="74"/>
      <c r="F429" s="74"/>
      <c r="G429" s="75" t="str">
        <f>IF(stdProdLT(Main[[#This Row],[Comments]])=0.1,"N/A",IF(stdProdLT(Main[[#This Row],[Comments]])=0,"",stdProdLT(Main[[#This Row],[Comments]])))</f>
        <v/>
      </c>
      <c r="H429" s="76" t="str">
        <f>IF(AND(Main[[#This Row],[In Stock Date]]&lt;&gt;"",Main[[#This Row],[Revised Due Date]]&lt;&gt;""),Main[[#This Row],[In Stock Date]]-Main[[#This Row],[Revised Due Date]],"")</f>
        <v/>
      </c>
      <c r="I429" s="72" t="s">
        <v>4</v>
      </c>
      <c r="J429" s="72" t="s">
        <v>4</v>
      </c>
      <c r="K429" s="72" t="s">
        <v>4</v>
      </c>
      <c r="L429" s="74"/>
      <c r="M429" s="77" t="str">
        <f>IF(Main[[#This Row],[Tech Start Date]]&lt;1/1/1990,"",IF(Main[[#This Row],[Class]]="C",WORKDAY(Main[[#This Row],[Tech Start Date]],9),IF(Main[[#This Row],[Class]]="B", WORKDAY(Main[[#This Row],[Tech Start Date]],6),IF(Main[[#This Row],[Class]]="A",WORKDAY(Main[[#This Row],[Tech Start Date]],2),""))))</f>
        <v/>
      </c>
      <c r="N429" s="77" t="str">
        <f>IF(Main[[#This Row],[Tech Start Date]]&lt;1/1/1990,"",IF(Main[[#This Row],[Class]]="C",WORKDAY(Main[[#This Row],[Tech Start Date]],19),IF(Main[[#This Row],[Class]]="B", WORKDAY(Main[[#This Row],[Tech Start Date]],12),IF(Main[[#This Row],[Class]]="A",WORKDAY(Main[[#This Row],[Tech Start Date]],4),""))))</f>
        <v/>
      </c>
      <c r="O429" s="77" t="str">
        <f>IF(Main[[#This Row],[Tech Start Date]]&lt;1/1/1990,"",IF(Main[[#This Row],[Class]]="C",WORKDAY(Main[[#This Row],[Tech Start Date]],23),IF(Main[[#This Row],[Class]]="B", WORKDAY(Main[[#This Row],[Tech Start Date]],15),IF(Main[[#This Row],[Class]]="A",WORKDAY(Main[[#This Row],[Tech Start Date]],5),""))))</f>
        <v/>
      </c>
      <c r="P429" s="77" t="str">
        <f>IF(Main[[#This Row],[Tech Start Date]]&lt;1/1/1990,"",IF(Main[[#This Row],[Class]]="C",WORKDAY(Main[[#This Row],[Tech Start Date]],28),IF(Main[[#This Row],[Class]]="B", WORKDAY(Main[[#This Row],[Tech Start Date]],19),IF(Main[[#This Row],[Class]]="A",WORKDAY(Main[[#This Row],[Tech Start Date]],9),""))))</f>
        <v/>
      </c>
      <c r="Q429" s="74">
        <v>40318</v>
      </c>
      <c r="R429" s="74"/>
      <c r="S429" s="72" t="s">
        <v>11</v>
      </c>
      <c r="T429" s="80" t="s">
        <v>4</v>
      </c>
      <c r="U429" s="72" t="s">
        <v>14</v>
      </c>
      <c r="V429" s="72" t="s">
        <v>1920</v>
      </c>
      <c r="W429" s="72" t="s">
        <v>1919</v>
      </c>
      <c r="X429" s="72" t="s">
        <v>2836</v>
      </c>
      <c r="Y429" s="72" t="s">
        <v>4</v>
      </c>
      <c r="Z429" s="72" t="s">
        <v>4</v>
      </c>
      <c r="AA429" s="146" t="s">
        <v>2836</v>
      </c>
    </row>
    <row r="430" spans="1:27" ht="18.600000000000001" customHeight="1">
      <c r="A430" s="139" t="str">
        <f>IF(priority(Main[[#This Row],[Comments]])&lt;&gt;0, priority(Main[[#This Row],[Comments]]),"")</f>
        <v/>
      </c>
      <c r="B430" s="89" t="s">
        <v>1269</v>
      </c>
      <c r="C430" s="72" t="s">
        <v>4</v>
      </c>
      <c r="D430" s="73" t="s">
        <v>336</v>
      </c>
      <c r="E430" s="74">
        <v>40542.302245370367</v>
      </c>
      <c r="F430" s="74"/>
      <c r="G430" s="75" t="str">
        <f>IF(stdProdLT(Main[[#This Row],[Comments]])=0.1,"N/A",IF(stdProdLT(Main[[#This Row],[Comments]])=0,"",stdProdLT(Main[[#This Row],[Comments]])))</f>
        <v/>
      </c>
      <c r="H430" s="76" t="str">
        <f>IF(AND(Main[[#This Row],[In Stock Date]]&lt;&gt;"",Main[[#This Row],[Revised Due Date]]&lt;&gt;""),Main[[#This Row],[In Stock Date]]-Main[[#This Row],[Revised Due Date]],"")</f>
        <v/>
      </c>
      <c r="I430" s="72" t="s">
        <v>4</v>
      </c>
      <c r="J430" s="72" t="s">
        <v>4</v>
      </c>
      <c r="K430" s="72" t="s">
        <v>1926</v>
      </c>
      <c r="L430" s="74"/>
      <c r="M430" s="77" t="str">
        <f>IF(Main[[#This Row],[Tech Start Date]]&lt;1/1/1990,"",IF(Main[[#This Row],[Class]]="C",WORKDAY(Main[[#This Row],[Tech Start Date]],9),IF(Main[[#This Row],[Class]]="B", WORKDAY(Main[[#This Row],[Tech Start Date]],6),IF(Main[[#This Row],[Class]]="A",WORKDAY(Main[[#This Row],[Tech Start Date]],2),""))))</f>
        <v/>
      </c>
      <c r="N430" s="77" t="str">
        <f>IF(Main[[#This Row],[Tech Start Date]]&lt;1/1/1990,"",IF(Main[[#This Row],[Class]]="C",WORKDAY(Main[[#This Row],[Tech Start Date]],19),IF(Main[[#This Row],[Class]]="B", WORKDAY(Main[[#This Row],[Tech Start Date]],12),IF(Main[[#This Row],[Class]]="A",WORKDAY(Main[[#This Row],[Tech Start Date]],4),""))))</f>
        <v/>
      </c>
      <c r="O430" s="77" t="str">
        <f>IF(Main[[#This Row],[Tech Start Date]]&lt;1/1/1990,"",IF(Main[[#This Row],[Class]]="C",WORKDAY(Main[[#This Row],[Tech Start Date]],23),IF(Main[[#This Row],[Class]]="B", WORKDAY(Main[[#This Row],[Tech Start Date]],15),IF(Main[[#This Row],[Class]]="A",WORKDAY(Main[[#This Row],[Tech Start Date]],5),""))))</f>
        <v/>
      </c>
      <c r="P430" s="77" t="str">
        <f>IF(Main[[#This Row],[Tech Start Date]]&lt;1/1/1990,"",IF(Main[[#This Row],[Class]]="C",WORKDAY(Main[[#This Row],[Tech Start Date]],28),IF(Main[[#This Row],[Class]]="B", WORKDAY(Main[[#This Row],[Tech Start Date]],19),IF(Main[[#This Row],[Class]]="A",WORKDAY(Main[[#This Row],[Tech Start Date]],9),""))))</f>
        <v/>
      </c>
      <c r="Q430" s="74"/>
      <c r="R430" s="74"/>
      <c r="S430" s="72" t="s">
        <v>6</v>
      </c>
      <c r="T430" s="80" t="s">
        <v>4</v>
      </c>
      <c r="U430" s="72" t="s">
        <v>29</v>
      </c>
      <c r="V430" s="72" t="s">
        <v>1917</v>
      </c>
      <c r="W430" s="72" t="s">
        <v>1921</v>
      </c>
      <c r="X430" s="72" t="s">
        <v>306</v>
      </c>
      <c r="Y430" s="72" t="s">
        <v>4</v>
      </c>
      <c r="Z430" s="72" t="s">
        <v>4</v>
      </c>
      <c r="AA430" s="146" t="s">
        <v>2874</v>
      </c>
    </row>
    <row r="431" spans="1:27" ht="18.600000000000001" customHeight="1">
      <c r="A431" s="139" t="str">
        <f>IF(priority(Main[[#This Row],[Comments]])&lt;&gt;0, priority(Main[[#This Row],[Comments]]),"")</f>
        <v/>
      </c>
      <c r="B431" s="89" t="s">
        <v>1270</v>
      </c>
      <c r="C431" s="72" t="s">
        <v>93</v>
      </c>
      <c r="D431" s="73" t="s">
        <v>337</v>
      </c>
      <c r="E431" s="74"/>
      <c r="F431" s="74">
        <v>40132</v>
      </c>
      <c r="G431" s="75" t="str">
        <f>IF(stdProdLT(Main[[#This Row],[Comments]])=0.1,"N/A",IF(stdProdLT(Main[[#This Row],[Comments]])=0,"",stdProdLT(Main[[#This Row],[Comments]])))</f>
        <v/>
      </c>
      <c r="H431" s="76" t="str">
        <f>IF(AND(Main[[#This Row],[In Stock Date]]&lt;&gt;"",Main[[#This Row],[Revised Due Date]]&lt;&gt;""),Main[[#This Row],[In Stock Date]]-Main[[#This Row],[Revised Due Date]],"")</f>
        <v/>
      </c>
      <c r="I431" s="72" t="s">
        <v>4</v>
      </c>
      <c r="J431" s="72" t="s">
        <v>4</v>
      </c>
      <c r="K431" s="72" t="s">
        <v>4</v>
      </c>
      <c r="L431" s="74"/>
      <c r="M431" s="77" t="str">
        <f>IF(Main[[#This Row],[Tech Start Date]]&lt;1/1/1990,"",IF(Main[[#This Row],[Class]]="C",WORKDAY(Main[[#This Row],[Tech Start Date]],9),IF(Main[[#This Row],[Class]]="B", WORKDAY(Main[[#This Row],[Tech Start Date]],6),IF(Main[[#This Row],[Class]]="A",WORKDAY(Main[[#This Row],[Tech Start Date]],2),""))))</f>
        <v/>
      </c>
      <c r="N431" s="77" t="str">
        <f>IF(Main[[#This Row],[Tech Start Date]]&lt;1/1/1990,"",IF(Main[[#This Row],[Class]]="C",WORKDAY(Main[[#This Row],[Tech Start Date]],19),IF(Main[[#This Row],[Class]]="B", WORKDAY(Main[[#This Row],[Tech Start Date]],12),IF(Main[[#This Row],[Class]]="A",WORKDAY(Main[[#This Row],[Tech Start Date]],4),""))))</f>
        <v/>
      </c>
      <c r="O431" s="77" t="str">
        <f>IF(Main[[#This Row],[Tech Start Date]]&lt;1/1/1990,"",IF(Main[[#This Row],[Class]]="C",WORKDAY(Main[[#This Row],[Tech Start Date]],23),IF(Main[[#This Row],[Class]]="B", WORKDAY(Main[[#This Row],[Tech Start Date]],15),IF(Main[[#This Row],[Class]]="A",WORKDAY(Main[[#This Row],[Tech Start Date]],5),""))))</f>
        <v/>
      </c>
      <c r="P431" s="77" t="str">
        <f>IF(Main[[#This Row],[Tech Start Date]]&lt;1/1/1990,"",IF(Main[[#This Row],[Class]]="C",WORKDAY(Main[[#This Row],[Tech Start Date]],28),IF(Main[[#This Row],[Class]]="B", WORKDAY(Main[[#This Row],[Tech Start Date]],19),IF(Main[[#This Row],[Class]]="A",WORKDAY(Main[[#This Row],[Tech Start Date]],9),""))))</f>
        <v/>
      </c>
      <c r="Q431" s="74">
        <v>40132</v>
      </c>
      <c r="R431" s="74"/>
      <c r="S431" s="72" t="s">
        <v>11</v>
      </c>
      <c r="T431" s="80" t="s">
        <v>4</v>
      </c>
      <c r="U431" s="72" t="s">
        <v>14</v>
      </c>
      <c r="V431" s="72" t="s">
        <v>1927</v>
      </c>
      <c r="W431" s="72" t="s">
        <v>1923</v>
      </c>
      <c r="X431" s="72" t="s">
        <v>2862</v>
      </c>
      <c r="Y431" s="72" t="s">
        <v>4</v>
      </c>
      <c r="Z431" s="72" t="s">
        <v>4</v>
      </c>
      <c r="AA431" s="146" t="s">
        <v>2862</v>
      </c>
    </row>
    <row r="432" spans="1:27" ht="18.600000000000001" customHeight="1">
      <c r="A432" s="139" t="str">
        <f>IF(priority(Main[[#This Row],[Comments]])&lt;&gt;0, priority(Main[[#This Row],[Comments]]),"")</f>
        <v/>
      </c>
      <c r="B432" s="89" t="s">
        <v>1271</v>
      </c>
      <c r="C432" s="72" t="s">
        <v>4</v>
      </c>
      <c r="D432" s="73" t="s">
        <v>338</v>
      </c>
      <c r="E432" s="74"/>
      <c r="F432" s="74"/>
      <c r="G432" s="75" t="str">
        <f>IF(stdProdLT(Main[[#This Row],[Comments]])=0.1,"N/A",IF(stdProdLT(Main[[#This Row],[Comments]])=0,"",stdProdLT(Main[[#This Row],[Comments]])))</f>
        <v/>
      </c>
      <c r="H432" s="76" t="str">
        <f>IF(AND(Main[[#This Row],[In Stock Date]]&lt;&gt;"",Main[[#This Row],[Revised Due Date]]&lt;&gt;""),Main[[#This Row],[In Stock Date]]-Main[[#This Row],[Revised Due Date]],"")</f>
        <v/>
      </c>
      <c r="I432" s="72" t="s">
        <v>4</v>
      </c>
      <c r="J432" s="72" t="s">
        <v>4</v>
      </c>
      <c r="K432" s="72" t="s">
        <v>4</v>
      </c>
      <c r="L432" s="74"/>
      <c r="M432" s="77" t="str">
        <f>IF(Main[[#This Row],[Tech Start Date]]&lt;1/1/1990,"",IF(Main[[#This Row],[Class]]="C",WORKDAY(Main[[#This Row],[Tech Start Date]],9),IF(Main[[#This Row],[Class]]="B", WORKDAY(Main[[#This Row],[Tech Start Date]],6),IF(Main[[#This Row],[Class]]="A",WORKDAY(Main[[#This Row],[Tech Start Date]],2),""))))</f>
        <v/>
      </c>
      <c r="N432" s="77" t="str">
        <f>IF(Main[[#This Row],[Tech Start Date]]&lt;1/1/1990,"",IF(Main[[#This Row],[Class]]="C",WORKDAY(Main[[#This Row],[Tech Start Date]],19),IF(Main[[#This Row],[Class]]="B", WORKDAY(Main[[#This Row],[Tech Start Date]],12),IF(Main[[#This Row],[Class]]="A",WORKDAY(Main[[#This Row],[Tech Start Date]],4),""))))</f>
        <v/>
      </c>
      <c r="O432" s="77" t="str">
        <f>IF(Main[[#This Row],[Tech Start Date]]&lt;1/1/1990,"",IF(Main[[#This Row],[Class]]="C",WORKDAY(Main[[#This Row],[Tech Start Date]],23),IF(Main[[#This Row],[Class]]="B", WORKDAY(Main[[#This Row],[Tech Start Date]],15),IF(Main[[#This Row],[Class]]="A",WORKDAY(Main[[#This Row],[Tech Start Date]],5),""))))</f>
        <v/>
      </c>
      <c r="P432" s="77" t="str">
        <f>IF(Main[[#This Row],[Tech Start Date]]&lt;1/1/1990,"",IF(Main[[#This Row],[Class]]="C",WORKDAY(Main[[#This Row],[Tech Start Date]],28),IF(Main[[#This Row],[Class]]="B", WORKDAY(Main[[#This Row],[Tech Start Date]],19),IF(Main[[#This Row],[Class]]="A",WORKDAY(Main[[#This Row],[Tech Start Date]],9),""))))</f>
        <v/>
      </c>
      <c r="Q432" s="74"/>
      <c r="R432" s="74"/>
      <c r="S432" s="72" t="s">
        <v>23</v>
      </c>
      <c r="T432" s="80" t="s">
        <v>4</v>
      </c>
      <c r="U432" s="72" t="s">
        <v>14</v>
      </c>
      <c r="V432" s="72" t="s">
        <v>1917</v>
      </c>
      <c r="W432" s="72" t="s">
        <v>1919</v>
      </c>
      <c r="X432" s="72" t="s">
        <v>102</v>
      </c>
      <c r="Y432" s="72" t="s">
        <v>4</v>
      </c>
      <c r="Z432" s="72" t="s">
        <v>4</v>
      </c>
      <c r="AA432" s="146" t="s">
        <v>4</v>
      </c>
    </row>
    <row r="433" spans="1:27" ht="18.600000000000001" customHeight="1">
      <c r="A433" s="139" t="str">
        <f>IF(priority(Main[[#This Row],[Comments]])&lt;&gt;0, priority(Main[[#This Row],[Comments]]),"")</f>
        <v/>
      </c>
      <c r="B433" s="89" t="s">
        <v>1272</v>
      </c>
      <c r="C433" s="72" t="s">
        <v>47</v>
      </c>
      <c r="D433" s="73" t="s">
        <v>339</v>
      </c>
      <c r="E433" s="74">
        <v>39937.597743055558</v>
      </c>
      <c r="F433" s="74"/>
      <c r="G433" s="75" t="str">
        <f>IF(stdProdLT(Main[[#This Row],[Comments]])=0.1,"N/A",IF(stdProdLT(Main[[#This Row],[Comments]])=0,"",stdProdLT(Main[[#This Row],[Comments]])))</f>
        <v/>
      </c>
      <c r="H433" s="76" t="str">
        <f>IF(AND(Main[[#This Row],[In Stock Date]]&lt;&gt;"",Main[[#This Row],[Revised Due Date]]&lt;&gt;""),Main[[#This Row],[In Stock Date]]-Main[[#This Row],[Revised Due Date]],"")</f>
        <v/>
      </c>
      <c r="I433" s="72" t="s">
        <v>4</v>
      </c>
      <c r="J433" s="72" t="s">
        <v>4</v>
      </c>
      <c r="K433" s="72" t="s">
        <v>4</v>
      </c>
      <c r="L433" s="74"/>
      <c r="M433" s="77" t="str">
        <f>IF(Main[[#This Row],[Tech Start Date]]&lt;1/1/1990,"",IF(Main[[#This Row],[Class]]="C",WORKDAY(Main[[#This Row],[Tech Start Date]],9),IF(Main[[#This Row],[Class]]="B", WORKDAY(Main[[#This Row],[Tech Start Date]],6),IF(Main[[#This Row],[Class]]="A",WORKDAY(Main[[#This Row],[Tech Start Date]],2),""))))</f>
        <v/>
      </c>
      <c r="N433" s="77" t="str">
        <f>IF(Main[[#This Row],[Tech Start Date]]&lt;1/1/1990,"",IF(Main[[#This Row],[Class]]="C",WORKDAY(Main[[#This Row],[Tech Start Date]],19),IF(Main[[#This Row],[Class]]="B", WORKDAY(Main[[#This Row],[Tech Start Date]],12),IF(Main[[#This Row],[Class]]="A",WORKDAY(Main[[#This Row],[Tech Start Date]],4),""))))</f>
        <v/>
      </c>
      <c r="O433" s="77" t="str">
        <f>IF(Main[[#This Row],[Tech Start Date]]&lt;1/1/1990,"",IF(Main[[#This Row],[Class]]="C",WORKDAY(Main[[#This Row],[Tech Start Date]],23),IF(Main[[#This Row],[Class]]="B", WORKDAY(Main[[#This Row],[Tech Start Date]],15),IF(Main[[#This Row],[Class]]="A",WORKDAY(Main[[#This Row],[Tech Start Date]],5),""))))</f>
        <v/>
      </c>
      <c r="P433" s="77" t="str">
        <f>IF(Main[[#This Row],[Tech Start Date]]&lt;1/1/1990,"",IF(Main[[#This Row],[Class]]="C",WORKDAY(Main[[#This Row],[Tech Start Date]],28),IF(Main[[#This Row],[Class]]="B", WORKDAY(Main[[#This Row],[Tech Start Date]],19),IF(Main[[#This Row],[Class]]="A",WORKDAY(Main[[#This Row],[Tech Start Date]],9),""))))</f>
        <v/>
      </c>
      <c r="Q433" s="74"/>
      <c r="R433" s="74"/>
      <c r="S433" s="72" t="s">
        <v>17</v>
      </c>
      <c r="T433" s="80" t="s">
        <v>4</v>
      </c>
      <c r="U433" s="72" t="s">
        <v>7</v>
      </c>
      <c r="V433" s="72" t="s">
        <v>1920</v>
      </c>
      <c r="W433" s="72" t="s">
        <v>4</v>
      </c>
      <c r="X433" s="72" t="s">
        <v>2833</v>
      </c>
      <c r="Y433" s="72" t="s">
        <v>2954</v>
      </c>
      <c r="Z433" s="72" t="s">
        <v>4</v>
      </c>
      <c r="AA433" s="146" t="s">
        <v>2833</v>
      </c>
    </row>
    <row r="434" spans="1:27" ht="18.600000000000001" customHeight="1">
      <c r="A434" s="139" t="str">
        <f>IF(priority(Main[[#This Row],[Comments]])&lt;&gt;0, priority(Main[[#This Row],[Comments]]),"")</f>
        <v/>
      </c>
      <c r="B434" s="89" t="s">
        <v>1273</v>
      </c>
      <c r="C434" s="72" t="s">
        <v>95</v>
      </c>
      <c r="D434" s="73" t="s">
        <v>340</v>
      </c>
      <c r="E434" s="74"/>
      <c r="F434" s="74">
        <v>40195</v>
      </c>
      <c r="G434" s="75" t="str">
        <f>IF(stdProdLT(Main[[#This Row],[Comments]])=0.1,"N/A",IF(stdProdLT(Main[[#This Row],[Comments]])=0,"",stdProdLT(Main[[#This Row],[Comments]])))</f>
        <v/>
      </c>
      <c r="H434" s="76" t="str">
        <f>IF(AND(Main[[#This Row],[In Stock Date]]&lt;&gt;"",Main[[#This Row],[Revised Due Date]]&lt;&gt;""),Main[[#This Row],[In Stock Date]]-Main[[#This Row],[Revised Due Date]],"")</f>
        <v/>
      </c>
      <c r="I434" s="72" t="s">
        <v>4</v>
      </c>
      <c r="J434" s="72" t="s">
        <v>4</v>
      </c>
      <c r="K434" s="72" t="s">
        <v>4</v>
      </c>
      <c r="L434" s="74"/>
      <c r="M434" s="77" t="str">
        <f>IF(Main[[#This Row],[Tech Start Date]]&lt;1/1/1990,"",IF(Main[[#This Row],[Class]]="C",WORKDAY(Main[[#This Row],[Tech Start Date]],9),IF(Main[[#This Row],[Class]]="B", WORKDAY(Main[[#This Row],[Tech Start Date]],6),IF(Main[[#This Row],[Class]]="A",WORKDAY(Main[[#This Row],[Tech Start Date]],2),""))))</f>
        <v/>
      </c>
      <c r="N434" s="77" t="str">
        <f>IF(Main[[#This Row],[Tech Start Date]]&lt;1/1/1990,"",IF(Main[[#This Row],[Class]]="C",WORKDAY(Main[[#This Row],[Tech Start Date]],19),IF(Main[[#This Row],[Class]]="B", WORKDAY(Main[[#This Row],[Tech Start Date]],12),IF(Main[[#This Row],[Class]]="A",WORKDAY(Main[[#This Row],[Tech Start Date]],4),""))))</f>
        <v/>
      </c>
      <c r="O434" s="77" t="str">
        <f>IF(Main[[#This Row],[Tech Start Date]]&lt;1/1/1990,"",IF(Main[[#This Row],[Class]]="C",WORKDAY(Main[[#This Row],[Tech Start Date]],23),IF(Main[[#This Row],[Class]]="B", WORKDAY(Main[[#This Row],[Tech Start Date]],15),IF(Main[[#This Row],[Class]]="A",WORKDAY(Main[[#This Row],[Tech Start Date]],5),""))))</f>
        <v/>
      </c>
      <c r="P434" s="77" t="str">
        <f>IF(Main[[#This Row],[Tech Start Date]]&lt;1/1/1990,"",IF(Main[[#This Row],[Class]]="C",WORKDAY(Main[[#This Row],[Tech Start Date]],28),IF(Main[[#This Row],[Class]]="B", WORKDAY(Main[[#This Row],[Tech Start Date]],19),IF(Main[[#This Row],[Class]]="A",WORKDAY(Main[[#This Row],[Tech Start Date]],9),""))))</f>
        <v/>
      </c>
      <c r="Q434" s="74">
        <v>40070</v>
      </c>
      <c r="R434" s="74"/>
      <c r="S434" s="72" t="s">
        <v>11</v>
      </c>
      <c r="T434" s="80" t="s">
        <v>4</v>
      </c>
      <c r="U434" s="72" t="s">
        <v>14</v>
      </c>
      <c r="V434" s="72" t="s">
        <v>1920</v>
      </c>
      <c r="W434" s="72" t="s">
        <v>1923</v>
      </c>
      <c r="X434" s="72" t="s">
        <v>2882</v>
      </c>
      <c r="Y434" s="72" t="s">
        <v>4</v>
      </c>
      <c r="Z434" s="72" t="s">
        <v>4</v>
      </c>
      <c r="AA434" s="146" t="s">
        <v>3418</v>
      </c>
    </row>
    <row r="435" spans="1:27" ht="18.600000000000001" customHeight="1">
      <c r="A435" s="139" t="str">
        <f>IF(priority(Main[[#This Row],[Comments]])&lt;&gt;0, priority(Main[[#This Row],[Comments]]),"")</f>
        <v/>
      </c>
      <c r="B435" s="89" t="s">
        <v>1293</v>
      </c>
      <c r="C435" s="72" t="s">
        <v>4</v>
      </c>
      <c r="D435" s="73" t="s">
        <v>342</v>
      </c>
      <c r="E435" s="74">
        <v>40704.346435185187</v>
      </c>
      <c r="F435" s="74"/>
      <c r="G435" s="75" t="str">
        <f>IF(stdProdLT(Main[[#This Row],[Comments]])=0.1,"N/A",IF(stdProdLT(Main[[#This Row],[Comments]])=0,"",stdProdLT(Main[[#This Row],[Comments]])))</f>
        <v/>
      </c>
      <c r="H435" s="76" t="str">
        <f>IF(AND(Main[[#This Row],[In Stock Date]]&lt;&gt;"",Main[[#This Row],[Revised Due Date]]&lt;&gt;""),Main[[#This Row],[In Stock Date]]-Main[[#This Row],[Revised Due Date]],"")</f>
        <v/>
      </c>
      <c r="I435" s="72" t="s">
        <v>924</v>
      </c>
      <c r="J435" s="72" t="s">
        <v>28</v>
      </c>
      <c r="K435" s="72" t="s">
        <v>4</v>
      </c>
      <c r="L435" s="74"/>
      <c r="M435" s="77" t="str">
        <f>IF(Main[[#This Row],[Tech Start Date]]&lt;1/1/1990,"",IF(Main[[#This Row],[Class]]="C",WORKDAY(Main[[#This Row],[Tech Start Date]],9),IF(Main[[#This Row],[Class]]="B", WORKDAY(Main[[#This Row],[Tech Start Date]],6),IF(Main[[#This Row],[Class]]="A",WORKDAY(Main[[#This Row],[Tech Start Date]],2),""))))</f>
        <v/>
      </c>
      <c r="N435" s="77" t="str">
        <f>IF(Main[[#This Row],[Tech Start Date]]&lt;1/1/1990,"",IF(Main[[#This Row],[Class]]="C",WORKDAY(Main[[#This Row],[Tech Start Date]],19),IF(Main[[#This Row],[Class]]="B", WORKDAY(Main[[#This Row],[Tech Start Date]],12),IF(Main[[#This Row],[Class]]="A",WORKDAY(Main[[#This Row],[Tech Start Date]],4),""))))</f>
        <v/>
      </c>
      <c r="O435" s="77" t="str">
        <f>IF(Main[[#This Row],[Tech Start Date]]&lt;1/1/1990,"",IF(Main[[#This Row],[Class]]="C",WORKDAY(Main[[#This Row],[Tech Start Date]],23),IF(Main[[#This Row],[Class]]="B", WORKDAY(Main[[#This Row],[Tech Start Date]],15),IF(Main[[#This Row],[Class]]="A",WORKDAY(Main[[#This Row],[Tech Start Date]],5),""))))</f>
        <v/>
      </c>
      <c r="P435" s="77" t="str">
        <f>IF(Main[[#This Row],[Tech Start Date]]&lt;1/1/1990,"",IF(Main[[#This Row],[Class]]="C",WORKDAY(Main[[#This Row],[Tech Start Date]],28),IF(Main[[#This Row],[Class]]="B", WORKDAY(Main[[#This Row],[Tech Start Date]],19),IF(Main[[#This Row],[Class]]="A",WORKDAY(Main[[#This Row],[Tech Start Date]],9),""))))</f>
        <v/>
      </c>
      <c r="Q435" s="74"/>
      <c r="R435" s="74">
        <v>40908</v>
      </c>
      <c r="S435" s="72" t="s">
        <v>49</v>
      </c>
      <c r="T435" s="80" t="s">
        <v>4</v>
      </c>
      <c r="U435" s="72" t="s">
        <v>7</v>
      </c>
      <c r="V435" s="72" t="s">
        <v>1932</v>
      </c>
      <c r="W435" s="72" t="s">
        <v>1919</v>
      </c>
      <c r="X435" s="72" t="s">
        <v>924</v>
      </c>
      <c r="Y435" s="72" t="s">
        <v>2988</v>
      </c>
      <c r="Z435" s="72" t="s">
        <v>2214</v>
      </c>
      <c r="AA435" s="146" t="s">
        <v>924</v>
      </c>
    </row>
    <row r="436" spans="1:27" ht="18.600000000000001" customHeight="1">
      <c r="A436" s="139" t="str">
        <f>IF(priority(Main[[#This Row],[Comments]])&lt;&gt;0, priority(Main[[#This Row],[Comments]]),"")</f>
        <v/>
      </c>
      <c r="B436" s="89" t="s">
        <v>1294</v>
      </c>
      <c r="C436" s="72" t="s">
        <v>72</v>
      </c>
      <c r="D436" s="73" t="s">
        <v>343</v>
      </c>
      <c r="E436" s="74"/>
      <c r="F436" s="74">
        <v>40106</v>
      </c>
      <c r="G436" s="75" t="str">
        <f>IF(stdProdLT(Main[[#This Row],[Comments]])=0.1,"N/A",IF(stdProdLT(Main[[#This Row],[Comments]])=0,"",stdProdLT(Main[[#This Row],[Comments]])))</f>
        <v/>
      </c>
      <c r="H436" s="76" t="str">
        <f>IF(AND(Main[[#This Row],[In Stock Date]]&lt;&gt;"",Main[[#This Row],[Revised Due Date]]&lt;&gt;""),Main[[#This Row],[In Stock Date]]-Main[[#This Row],[Revised Due Date]],"")</f>
        <v/>
      </c>
      <c r="I436" s="72" t="s">
        <v>4</v>
      </c>
      <c r="J436" s="72" t="s">
        <v>4</v>
      </c>
      <c r="K436" s="72" t="s">
        <v>4</v>
      </c>
      <c r="L436" s="74"/>
      <c r="M436" s="77" t="str">
        <f>IF(Main[[#This Row],[Tech Start Date]]&lt;1/1/1990,"",IF(Main[[#This Row],[Class]]="C",WORKDAY(Main[[#This Row],[Tech Start Date]],9),IF(Main[[#This Row],[Class]]="B", WORKDAY(Main[[#This Row],[Tech Start Date]],6),IF(Main[[#This Row],[Class]]="A",WORKDAY(Main[[#This Row],[Tech Start Date]],2),""))))</f>
        <v/>
      </c>
      <c r="N436" s="77" t="str">
        <f>IF(Main[[#This Row],[Tech Start Date]]&lt;1/1/1990,"",IF(Main[[#This Row],[Class]]="C",WORKDAY(Main[[#This Row],[Tech Start Date]],19),IF(Main[[#This Row],[Class]]="B", WORKDAY(Main[[#This Row],[Tech Start Date]],12),IF(Main[[#This Row],[Class]]="A",WORKDAY(Main[[#This Row],[Tech Start Date]],4),""))))</f>
        <v/>
      </c>
      <c r="O436" s="77" t="str">
        <f>IF(Main[[#This Row],[Tech Start Date]]&lt;1/1/1990,"",IF(Main[[#This Row],[Class]]="C",WORKDAY(Main[[#This Row],[Tech Start Date]],23),IF(Main[[#This Row],[Class]]="B", WORKDAY(Main[[#This Row],[Tech Start Date]],15),IF(Main[[#This Row],[Class]]="A",WORKDAY(Main[[#This Row],[Tech Start Date]],5),""))))</f>
        <v/>
      </c>
      <c r="P436" s="77" t="str">
        <f>IF(Main[[#This Row],[Tech Start Date]]&lt;1/1/1990,"",IF(Main[[#This Row],[Class]]="C",WORKDAY(Main[[#This Row],[Tech Start Date]],28),IF(Main[[#This Row],[Class]]="B", WORKDAY(Main[[#This Row],[Tech Start Date]],19),IF(Main[[#This Row],[Class]]="A",WORKDAY(Main[[#This Row],[Tech Start Date]],9),""))))</f>
        <v/>
      </c>
      <c r="Q436" s="74">
        <v>39986</v>
      </c>
      <c r="R436" s="74"/>
      <c r="S436" s="72" t="s">
        <v>11</v>
      </c>
      <c r="T436" s="80" t="s">
        <v>4</v>
      </c>
      <c r="U436" s="72" t="s">
        <v>14</v>
      </c>
      <c r="V436" s="72" t="s">
        <v>1918</v>
      </c>
      <c r="W436" s="72" t="s">
        <v>1922</v>
      </c>
      <c r="X436" s="72" t="s">
        <v>2830</v>
      </c>
      <c r="Y436" s="72" t="s">
        <v>2949</v>
      </c>
      <c r="Z436" s="72" t="s">
        <v>4</v>
      </c>
      <c r="AA436" s="146" t="s">
        <v>2830</v>
      </c>
    </row>
    <row r="437" spans="1:27" ht="18.600000000000001" customHeight="1">
      <c r="A437" s="139" t="str">
        <f>IF(priority(Main[[#This Row],[Comments]])&lt;&gt;0, priority(Main[[#This Row],[Comments]]),"")</f>
        <v/>
      </c>
      <c r="B437" s="89" t="s">
        <v>1295</v>
      </c>
      <c r="C437" s="72" t="s">
        <v>4</v>
      </c>
      <c r="D437" s="73" t="s">
        <v>344</v>
      </c>
      <c r="E437" s="74"/>
      <c r="F437" s="74"/>
      <c r="G437" s="75" t="str">
        <f>IF(stdProdLT(Main[[#This Row],[Comments]])=0.1,"N/A",IF(stdProdLT(Main[[#This Row],[Comments]])=0,"",stdProdLT(Main[[#This Row],[Comments]])))</f>
        <v/>
      </c>
      <c r="H437" s="76" t="str">
        <f>IF(AND(Main[[#This Row],[In Stock Date]]&lt;&gt;"",Main[[#This Row],[Revised Due Date]]&lt;&gt;""),Main[[#This Row],[In Stock Date]]-Main[[#This Row],[Revised Due Date]],"")</f>
        <v/>
      </c>
      <c r="I437" s="72" t="s">
        <v>4</v>
      </c>
      <c r="J437" s="72" t="s">
        <v>4</v>
      </c>
      <c r="K437" s="81" t="s">
        <v>4</v>
      </c>
      <c r="L437" s="74"/>
      <c r="M437" s="77" t="str">
        <f>IF(Main[[#This Row],[Tech Start Date]]&lt;1/1/1990,"",IF(Main[[#This Row],[Class]]="C",WORKDAY(Main[[#This Row],[Tech Start Date]],9),IF(Main[[#This Row],[Class]]="B", WORKDAY(Main[[#This Row],[Tech Start Date]],6),IF(Main[[#This Row],[Class]]="A",WORKDAY(Main[[#This Row],[Tech Start Date]],2),""))))</f>
        <v/>
      </c>
      <c r="N437" s="77" t="str">
        <f>IF(Main[[#This Row],[Tech Start Date]]&lt;1/1/1990,"",IF(Main[[#This Row],[Class]]="C",WORKDAY(Main[[#This Row],[Tech Start Date]],19),IF(Main[[#This Row],[Class]]="B", WORKDAY(Main[[#This Row],[Tech Start Date]],12),IF(Main[[#This Row],[Class]]="A",WORKDAY(Main[[#This Row],[Tech Start Date]],4),""))))</f>
        <v/>
      </c>
      <c r="O437" s="77" t="str">
        <f>IF(Main[[#This Row],[Tech Start Date]]&lt;1/1/1990,"",IF(Main[[#This Row],[Class]]="C",WORKDAY(Main[[#This Row],[Tech Start Date]],23),IF(Main[[#This Row],[Class]]="B", WORKDAY(Main[[#This Row],[Tech Start Date]],15),IF(Main[[#This Row],[Class]]="A",WORKDAY(Main[[#This Row],[Tech Start Date]],5),""))))</f>
        <v/>
      </c>
      <c r="P437" s="77" t="str">
        <f>IF(Main[[#This Row],[Tech Start Date]]&lt;1/1/1990,"",IF(Main[[#This Row],[Class]]="C",WORKDAY(Main[[#This Row],[Tech Start Date]],28),IF(Main[[#This Row],[Class]]="B", WORKDAY(Main[[#This Row],[Tech Start Date]],19),IF(Main[[#This Row],[Class]]="A",WORKDAY(Main[[#This Row],[Tech Start Date]],9),""))))</f>
        <v/>
      </c>
      <c r="Q437" s="74"/>
      <c r="R437" s="74"/>
      <c r="S437" s="72" t="s">
        <v>6</v>
      </c>
      <c r="T437" s="80" t="s">
        <v>4</v>
      </c>
      <c r="U437" s="72" t="s">
        <v>12</v>
      </c>
      <c r="V437" s="72" t="s">
        <v>1917</v>
      </c>
      <c r="W437" s="72" t="s">
        <v>1921</v>
      </c>
      <c r="X437" s="72" t="s">
        <v>710</v>
      </c>
      <c r="Y437" s="72" t="s">
        <v>3028</v>
      </c>
      <c r="Z437" s="72" t="s">
        <v>4</v>
      </c>
      <c r="AA437" s="146" t="s">
        <v>3413</v>
      </c>
    </row>
    <row r="438" spans="1:27" ht="18.600000000000001" customHeight="1">
      <c r="A438" s="139" t="str">
        <f>IF(priority(Main[[#This Row],[Comments]])&lt;&gt;0, priority(Main[[#This Row],[Comments]]),"")</f>
        <v/>
      </c>
      <c r="B438" s="89" t="s">
        <v>1274</v>
      </c>
      <c r="C438" s="72" t="s">
        <v>79</v>
      </c>
      <c r="D438" s="73" t="s">
        <v>345</v>
      </c>
      <c r="E438" s="74">
        <v>40072.642395833333</v>
      </c>
      <c r="F438" s="74">
        <v>40116</v>
      </c>
      <c r="G438" s="75" t="str">
        <f>IF(stdProdLT(Main[[#This Row],[Comments]])=0.1,"N/A",IF(stdProdLT(Main[[#This Row],[Comments]])=0,"",stdProdLT(Main[[#This Row],[Comments]])))</f>
        <v/>
      </c>
      <c r="H438" s="76" t="str">
        <f>IF(AND(Main[[#This Row],[In Stock Date]]&lt;&gt;"",Main[[#This Row],[Revised Due Date]]&lt;&gt;""),Main[[#This Row],[In Stock Date]]-Main[[#This Row],[Revised Due Date]],"")</f>
        <v/>
      </c>
      <c r="I438" s="72" t="s">
        <v>4</v>
      </c>
      <c r="J438" s="72" t="s">
        <v>4</v>
      </c>
      <c r="K438" s="81" t="s">
        <v>4</v>
      </c>
      <c r="L438" s="74"/>
      <c r="M438" s="77" t="str">
        <f>IF(Main[[#This Row],[Tech Start Date]]&lt;1/1/1990,"",IF(Main[[#This Row],[Class]]="C",WORKDAY(Main[[#This Row],[Tech Start Date]],9),IF(Main[[#This Row],[Class]]="B", WORKDAY(Main[[#This Row],[Tech Start Date]],6),IF(Main[[#This Row],[Class]]="A",WORKDAY(Main[[#This Row],[Tech Start Date]],2),""))))</f>
        <v/>
      </c>
      <c r="N438" s="77" t="str">
        <f>IF(Main[[#This Row],[Tech Start Date]]&lt;1/1/1990,"",IF(Main[[#This Row],[Class]]="C",WORKDAY(Main[[#This Row],[Tech Start Date]],19),IF(Main[[#This Row],[Class]]="B", WORKDAY(Main[[#This Row],[Tech Start Date]],12),IF(Main[[#This Row],[Class]]="A",WORKDAY(Main[[#This Row],[Tech Start Date]],4),""))))</f>
        <v/>
      </c>
      <c r="O438" s="77" t="str">
        <f>IF(Main[[#This Row],[Tech Start Date]]&lt;1/1/1990,"",IF(Main[[#This Row],[Class]]="C",WORKDAY(Main[[#This Row],[Tech Start Date]],23),IF(Main[[#This Row],[Class]]="B", WORKDAY(Main[[#This Row],[Tech Start Date]],15),IF(Main[[#This Row],[Class]]="A",WORKDAY(Main[[#This Row],[Tech Start Date]],5),""))))</f>
        <v/>
      </c>
      <c r="P438" s="77" t="str">
        <f>IF(Main[[#This Row],[Tech Start Date]]&lt;1/1/1990,"",IF(Main[[#This Row],[Class]]="C",WORKDAY(Main[[#This Row],[Tech Start Date]],28),IF(Main[[#This Row],[Class]]="B", WORKDAY(Main[[#This Row],[Tech Start Date]],19),IF(Main[[#This Row],[Class]]="A",WORKDAY(Main[[#This Row],[Tech Start Date]],9),""))))</f>
        <v/>
      </c>
      <c r="Q438" s="74"/>
      <c r="R438" s="74"/>
      <c r="S438" s="72" t="s">
        <v>17</v>
      </c>
      <c r="T438" s="80" t="s">
        <v>4</v>
      </c>
      <c r="U438" s="72" t="s">
        <v>7</v>
      </c>
      <c r="V438" s="72" t="s">
        <v>1917</v>
      </c>
      <c r="W438" s="72" t="s">
        <v>1921</v>
      </c>
      <c r="X438" s="72" t="s">
        <v>2867</v>
      </c>
      <c r="Y438" s="72" t="s">
        <v>2962</v>
      </c>
      <c r="Z438" s="72" t="s">
        <v>4</v>
      </c>
      <c r="AA438" s="146" t="s">
        <v>2867</v>
      </c>
    </row>
    <row r="439" spans="1:27" ht="18.600000000000001" customHeight="1">
      <c r="A439" s="139" t="str">
        <f>IF(priority(Main[[#This Row],[Comments]])&lt;&gt;0, priority(Main[[#This Row],[Comments]]),"")</f>
        <v/>
      </c>
      <c r="B439" s="89" t="s">
        <v>1275</v>
      </c>
      <c r="C439" s="72" t="s">
        <v>4</v>
      </c>
      <c r="D439" s="73" t="s">
        <v>346</v>
      </c>
      <c r="E439" s="74">
        <v>40422.66909722222</v>
      </c>
      <c r="F439" s="74"/>
      <c r="G439" s="75" t="str">
        <f>IF(stdProdLT(Main[[#This Row],[Comments]])=0.1,"N/A",IF(stdProdLT(Main[[#This Row],[Comments]])=0,"",stdProdLT(Main[[#This Row],[Comments]])))</f>
        <v/>
      </c>
      <c r="H439" s="76" t="str">
        <f>IF(AND(Main[[#This Row],[In Stock Date]]&lt;&gt;"",Main[[#This Row],[Revised Due Date]]&lt;&gt;""),Main[[#This Row],[In Stock Date]]-Main[[#This Row],[Revised Due Date]],"")</f>
        <v/>
      </c>
      <c r="I439" s="72" t="s">
        <v>4</v>
      </c>
      <c r="J439" s="72" t="s">
        <v>28</v>
      </c>
      <c r="K439" s="81" t="s">
        <v>4</v>
      </c>
      <c r="L439" s="74"/>
      <c r="M439" s="77" t="str">
        <f>IF(Main[[#This Row],[Tech Start Date]]&lt;1/1/1990,"",IF(Main[[#This Row],[Class]]="C",WORKDAY(Main[[#This Row],[Tech Start Date]],9),IF(Main[[#This Row],[Class]]="B", WORKDAY(Main[[#This Row],[Tech Start Date]],6),IF(Main[[#This Row],[Class]]="A",WORKDAY(Main[[#This Row],[Tech Start Date]],2),""))))</f>
        <v/>
      </c>
      <c r="N439" s="77" t="str">
        <f>IF(Main[[#This Row],[Tech Start Date]]&lt;1/1/1990,"",IF(Main[[#This Row],[Class]]="C",WORKDAY(Main[[#This Row],[Tech Start Date]],19),IF(Main[[#This Row],[Class]]="B", WORKDAY(Main[[#This Row],[Tech Start Date]],12),IF(Main[[#This Row],[Class]]="A",WORKDAY(Main[[#This Row],[Tech Start Date]],4),""))))</f>
        <v/>
      </c>
      <c r="O439" s="77" t="str">
        <f>IF(Main[[#This Row],[Tech Start Date]]&lt;1/1/1990,"",IF(Main[[#This Row],[Class]]="C",WORKDAY(Main[[#This Row],[Tech Start Date]],23),IF(Main[[#This Row],[Class]]="B", WORKDAY(Main[[#This Row],[Tech Start Date]],15),IF(Main[[#This Row],[Class]]="A",WORKDAY(Main[[#This Row],[Tech Start Date]],5),""))))</f>
        <v/>
      </c>
      <c r="P439" s="77" t="str">
        <f>IF(Main[[#This Row],[Tech Start Date]]&lt;1/1/1990,"",IF(Main[[#This Row],[Class]]="C",WORKDAY(Main[[#This Row],[Tech Start Date]],28),IF(Main[[#This Row],[Class]]="B", WORKDAY(Main[[#This Row],[Tech Start Date]],19),IF(Main[[#This Row],[Class]]="A",WORKDAY(Main[[#This Row],[Tech Start Date]],9),""))))</f>
        <v/>
      </c>
      <c r="Q439" s="74"/>
      <c r="R439" s="74"/>
      <c r="S439" s="72" t="s">
        <v>6</v>
      </c>
      <c r="T439" s="80" t="s">
        <v>4</v>
      </c>
      <c r="U439" s="72" t="s">
        <v>29</v>
      </c>
      <c r="V439" s="72" t="s">
        <v>1917</v>
      </c>
      <c r="W439" s="72" t="s">
        <v>1921</v>
      </c>
      <c r="X439" s="72" t="s">
        <v>399</v>
      </c>
      <c r="Y439" s="72" t="s">
        <v>3029</v>
      </c>
      <c r="Z439" s="72" t="s">
        <v>129</v>
      </c>
      <c r="AA439" s="146" t="s">
        <v>3390</v>
      </c>
    </row>
    <row r="440" spans="1:27" ht="18.600000000000001" customHeight="1">
      <c r="A440" s="139" t="str">
        <f>IF(priority(Main[[#This Row],[Comments]])&lt;&gt;0, priority(Main[[#This Row],[Comments]]),"")</f>
        <v/>
      </c>
      <c r="B440" s="89" t="s">
        <v>1276</v>
      </c>
      <c r="C440" s="72" t="s">
        <v>347</v>
      </c>
      <c r="D440" s="73" t="s">
        <v>348</v>
      </c>
      <c r="E440" s="74"/>
      <c r="F440" s="74"/>
      <c r="G440" s="75" t="str">
        <f>IF(stdProdLT(Main[[#This Row],[Comments]])=0.1,"N/A",IF(stdProdLT(Main[[#This Row],[Comments]])=0,"",stdProdLT(Main[[#This Row],[Comments]])))</f>
        <v/>
      </c>
      <c r="H440" s="76" t="str">
        <f>IF(AND(Main[[#This Row],[In Stock Date]]&lt;&gt;"",Main[[#This Row],[Revised Due Date]]&lt;&gt;""),Main[[#This Row],[In Stock Date]]-Main[[#This Row],[Revised Due Date]],"")</f>
        <v/>
      </c>
      <c r="I440" s="72" t="s">
        <v>4</v>
      </c>
      <c r="J440" s="72" t="s">
        <v>4</v>
      </c>
      <c r="K440" s="72" t="s">
        <v>4</v>
      </c>
      <c r="L440" s="74"/>
      <c r="M440" s="77" t="str">
        <f>IF(Main[[#This Row],[Tech Start Date]]&lt;1/1/1990,"",IF(Main[[#This Row],[Class]]="C",WORKDAY(Main[[#This Row],[Tech Start Date]],9),IF(Main[[#This Row],[Class]]="B", WORKDAY(Main[[#This Row],[Tech Start Date]],6),IF(Main[[#This Row],[Class]]="A",WORKDAY(Main[[#This Row],[Tech Start Date]],2),""))))</f>
        <v/>
      </c>
      <c r="N440" s="77" t="str">
        <f>IF(Main[[#This Row],[Tech Start Date]]&lt;1/1/1990,"",IF(Main[[#This Row],[Class]]="C",WORKDAY(Main[[#This Row],[Tech Start Date]],19),IF(Main[[#This Row],[Class]]="B", WORKDAY(Main[[#This Row],[Tech Start Date]],12),IF(Main[[#This Row],[Class]]="A",WORKDAY(Main[[#This Row],[Tech Start Date]],4),""))))</f>
        <v/>
      </c>
      <c r="O440" s="77" t="str">
        <f>IF(Main[[#This Row],[Tech Start Date]]&lt;1/1/1990,"",IF(Main[[#This Row],[Class]]="C",WORKDAY(Main[[#This Row],[Tech Start Date]],23),IF(Main[[#This Row],[Class]]="B", WORKDAY(Main[[#This Row],[Tech Start Date]],15),IF(Main[[#This Row],[Class]]="A",WORKDAY(Main[[#This Row],[Tech Start Date]],5),""))))</f>
        <v/>
      </c>
      <c r="P440" s="77" t="str">
        <f>IF(Main[[#This Row],[Tech Start Date]]&lt;1/1/1990,"",IF(Main[[#This Row],[Class]]="C",WORKDAY(Main[[#This Row],[Tech Start Date]],28),IF(Main[[#This Row],[Class]]="B", WORKDAY(Main[[#This Row],[Tech Start Date]],19),IF(Main[[#This Row],[Class]]="A",WORKDAY(Main[[#This Row],[Tech Start Date]],9),""))))</f>
        <v/>
      </c>
      <c r="Q440" s="74"/>
      <c r="R440" s="74"/>
      <c r="S440" s="72" t="s">
        <v>11</v>
      </c>
      <c r="T440" s="80" t="s">
        <v>4</v>
      </c>
      <c r="U440" s="72" t="s">
        <v>14</v>
      </c>
      <c r="V440" s="72" t="s">
        <v>1918</v>
      </c>
      <c r="W440" s="72" t="s">
        <v>1922</v>
      </c>
      <c r="X440" s="72" t="s">
        <v>306</v>
      </c>
      <c r="Y440" s="72" t="s">
        <v>2947</v>
      </c>
      <c r="Z440" s="72" t="s">
        <v>4</v>
      </c>
      <c r="AA440" s="146" t="s">
        <v>306</v>
      </c>
    </row>
    <row r="441" spans="1:27" ht="18.600000000000001" customHeight="1">
      <c r="A441" s="139" t="str">
        <f>IF(priority(Main[[#This Row],[Comments]])&lt;&gt;0, priority(Main[[#This Row],[Comments]]),"")</f>
        <v/>
      </c>
      <c r="B441" s="89" t="s">
        <v>2376</v>
      </c>
      <c r="C441" s="72" t="s">
        <v>4</v>
      </c>
      <c r="D441" s="73" t="s">
        <v>2377</v>
      </c>
      <c r="E441" s="74">
        <v>40869.35837962963</v>
      </c>
      <c r="F441" s="74"/>
      <c r="G441" s="75" t="str">
        <f>IF(stdProdLT(Main[[#This Row],[Comments]])=0.1,"N/A",IF(stdProdLT(Main[[#This Row],[Comments]])=0,"",stdProdLT(Main[[#This Row],[Comments]])))</f>
        <v/>
      </c>
      <c r="H441" s="76" t="str">
        <f>IF(AND(Main[[#This Row],[In Stock Date]]&lt;&gt;"",Main[[#This Row],[Revised Due Date]]&lt;&gt;""),Main[[#This Row],[In Stock Date]]-Main[[#This Row],[Revised Due Date]],"")</f>
        <v/>
      </c>
      <c r="I441" s="72" t="s">
        <v>4</v>
      </c>
      <c r="J441" s="72" t="s">
        <v>4</v>
      </c>
      <c r="K441" s="72" t="s">
        <v>4</v>
      </c>
      <c r="L441" s="74"/>
      <c r="M441" s="77" t="str">
        <f>IF(Main[[#This Row],[Tech Start Date]]&lt;1/1/1990,"",IF(Main[[#This Row],[Class]]="C",WORKDAY(Main[[#This Row],[Tech Start Date]],9),IF(Main[[#This Row],[Class]]="B", WORKDAY(Main[[#This Row],[Tech Start Date]],6),IF(Main[[#This Row],[Class]]="A",WORKDAY(Main[[#This Row],[Tech Start Date]],2),""))))</f>
        <v/>
      </c>
      <c r="N441" s="77" t="str">
        <f>IF(Main[[#This Row],[Tech Start Date]]&lt;1/1/1990,"",IF(Main[[#This Row],[Class]]="C",WORKDAY(Main[[#This Row],[Tech Start Date]],19),IF(Main[[#This Row],[Class]]="B", WORKDAY(Main[[#This Row],[Tech Start Date]],12),IF(Main[[#This Row],[Class]]="A",WORKDAY(Main[[#This Row],[Tech Start Date]],4),""))))</f>
        <v/>
      </c>
      <c r="O441" s="77" t="str">
        <f>IF(Main[[#This Row],[Tech Start Date]]&lt;1/1/1990,"",IF(Main[[#This Row],[Class]]="C",WORKDAY(Main[[#This Row],[Tech Start Date]],23),IF(Main[[#This Row],[Class]]="B", WORKDAY(Main[[#This Row],[Tech Start Date]],15),IF(Main[[#This Row],[Class]]="A",WORKDAY(Main[[#This Row],[Tech Start Date]],5),""))))</f>
        <v/>
      </c>
      <c r="P441" s="77" t="str">
        <f>IF(Main[[#This Row],[Tech Start Date]]&lt;1/1/1990,"",IF(Main[[#This Row],[Class]]="C",WORKDAY(Main[[#This Row],[Tech Start Date]],28),IF(Main[[#This Row],[Class]]="B", WORKDAY(Main[[#This Row],[Tech Start Date]],19),IF(Main[[#This Row],[Class]]="A",WORKDAY(Main[[#This Row],[Tech Start Date]],9),""))))</f>
        <v/>
      </c>
      <c r="Q441" s="74"/>
      <c r="R441" s="74"/>
      <c r="S441" s="72" t="s">
        <v>6</v>
      </c>
      <c r="T441" s="80" t="s">
        <v>4</v>
      </c>
      <c r="U441" s="72" t="s">
        <v>29</v>
      </c>
      <c r="V441" s="72" t="s">
        <v>1918</v>
      </c>
      <c r="W441" s="72" t="s">
        <v>1919</v>
      </c>
      <c r="X441" s="72" t="s">
        <v>102</v>
      </c>
      <c r="Y441" s="72" t="s">
        <v>3030</v>
      </c>
      <c r="Z441" s="72" t="s">
        <v>4</v>
      </c>
      <c r="AA441" s="146" t="s">
        <v>3419</v>
      </c>
    </row>
    <row r="442" spans="1:27" ht="18.600000000000001" customHeight="1">
      <c r="A442" s="139" t="str">
        <f>IF(priority(Main[[#This Row],[Comments]])&lt;&gt;0, priority(Main[[#This Row],[Comments]]),"")</f>
        <v/>
      </c>
      <c r="B442" s="89" t="s">
        <v>1277</v>
      </c>
      <c r="C442" s="72" t="s">
        <v>93</v>
      </c>
      <c r="D442" s="73" t="s">
        <v>349</v>
      </c>
      <c r="E442" s="74"/>
      <c r="F442" s="74"/>
      <c r="G442" s="75" t="str">
        <f>IF(stdProdLT(Main[[#This Row],[Comments]])=0.1,"N/A",IF(stdProdLT(Main[[#This Row],[Comments]])=0,"",stdProdLT(Main[[#This Row],[Comments]])))</f>
        <v/>
      </c>
      <c r="H442" s="76" t="str">
        <f>IF(AND(Main[[#This Row],[In Stock Date]]&lt;&gt;"",Main[[#This Row],[Revised Due Date]]&lt;&gt;""),Main[[#This Row],[In Stock Date]]-Main[[#This Row],[Revised Due Date]],"")</f>
        <v/>
      </c>
      <c r="I442" s="72" t="s">
        <v>4</v>
      </c>
      <c r="J442" s="72" t="s">
        <v>4</v>
      </c>
      <c r="K442" s="72" t="s">
        <v>4</v>
      </c>
      <c r="L442" s="74"/>
      <c r="M442" s="77" t="str">
        <f>IF(Main[[#This Row],[Tech Start Date]]&lt;1/1/1990,"",IF(Main[[#This Row],[Class]]="C",WORKDAY(Main[[#This Row],[Tech Start Date]],9),IF(Main[[#This Row],[Class]]="B", WORKDAY(Main[[#This Row],[Tech Start Date]],6),IF(Main[[#This Row],[Class]]="A",WORKDAY(Main[[#This Row],[Tech Start Date]],2),""))))</f>
        <v/>
      </c>
      <c r="N442" s="77" t="str">
        <f>IF(Main[[#This Row],[Tech Start Date]]&lt;1/1/1990,"",IF(Main[[#This Row],[Class]]="C",WORKDAY(Main[[#This Row],[Tech Start Date]],19),IF(Main[[#This Row],[Class]]="B", WORKDAY(Main[[#This Row],[Tech Start Date]],12),IF(Main[[#This Row],[Class]]="A",WORKDAY(Main[[#This Row],[Tech Start Date]],4),""))))</f>
        <v/>
      </c>
      <c r="O442" s="77" t="str">
        <f>IF(Main[[#This Row],[Tech Start Date]]&lt;1/1/1990,"",IF(Main[[#This Row],[Class]]="C",WORKDAY(Main[[#This Row],[Tech Start Date]],23),IF(Main[[#This Row],[Class]]="B", WORKDAY(Main[[#This Row],[Tech Start Date]],15),IF(Main[[#This Row],[Class]]="A",WORKDAY(Main[[#This Row],[Tech Start Date]],5),""))))</f>
        <v/>
      </c>
      <c r="P442" s="77" t="str">
        <f>IF(Main[[#This Row],[Tech Start Date]]&lt;1/1/1990,"",IF(Main[[#This Row],[Class]]="C",WORKDAY(Main[[#This Row],[Tech Start Date]],28),IF(Main[[#This Row],[Class]]="B", WORKDAY(Main[[#This Row],[Tech Start Date]],19),IF(Main[[#This Row],[Class]]="A",WORKDAY(Main[[#This Row],[Tech Start Date]],9),""))))</f>
        <v/>
      </c>
      <c r="Q442" s="74"/>
      <c r="R442" s="74"/>
      <c r="S442" s="72" t="s">
        <v>11</v>
      </c>
      <c r="T442" s="80" t="s">
        <v>4</v>
      </c>
      <c r="U442" s="72" t="s">
        <v>14</v>
      </c>
      <c r="V442" s="72" t="s">
        <v>1920</v>
      </c>
      <c r="W442" s="72" t="s">
        <v>1923</v>
      </c>
      <c r="X442" s="72" t="s">
        <v>2859</v>
      </c>
      <c r="Y442" s="72" t="s">
        <v>2997</v>
      </c>
      <c r="Z442" s="72" t="s">
        <v>4</v>
      </c>
      <c r="AA442" s="146" t="s">
        <v>2859</v>
      </c>
    </row>
    <row r="443" spans="1:27" ht="18.600000000000001" customHeight="1">
      <c r="A443" s="139" t="str">
        <f>IF(priority(Main[[#This Row],[Comments]])&lt;&gt;0, priority(Main[[#This Row],[Comments]]),"")</f>
        <v/>
      </c>
      <c r="B443" s="89" t="s">
        <v>1279</v>
      </c>
      <c r="C443" s="72" t="s">
        <v>4</v>
      </c>
      <c r="D443" s="73" t="s">
        <v>350</v>
      </c>
      <c r="E443" s="74"/>
      <c r="F443" s="74"/>
      <c r="G443" s="75" t="str">
        <f>IF(stdProdLT(Main[[#This Row],[Comments]])=0.1,"N/A",IF(stdProdLT(Main[[#This Row],[Comments]])=0,"",stdProdLT(Main[[#This Row],[Comments]])))</f>
        <v/>
      </c>
      <c r="H443" s="76" t="str">
        <f>IF(AND(Main[[#This Row],[In Stock Date]]&lt;&gt;"",Main[[#This Row],[Revised Due Date]]&lt;&gt;""),Main[[#This Row],[In Stock Date]]-Main[[#This Row],[Revised Due Date]],"")</f>
        <v/>
      </c>
      <c r="I443" s="72" t="s">
        <v>4</v>
      </c>
      <c r="J443" s="72" t="s">
        <v>4</v>
      </c>
      <c r="K443" s="72" t="s">
        <v>4</v>
      </c>
      <c r="L443" s="74"/>
      <c r="M443" s="77" t="str">
        <f>IF(Main[[#This Row],[Tech Start Date]]&lt;1/1/1990,"",IF(Main[[#This Row],[Class]]="C",WORKDAY(Main[[#This Row],[Tech Start Date]],9),IF(Main[[#This Row],[Class]]="B", WORKDAY(Main[[#This Row],[Tech Start Date]],6),IF(Main[[#This Row],[Class]]="A",WORKDAY(Main[[#This Row],[Tech Start Date]],2),""))))</f>
        <v/>
      </c>
      <c r="N443" s="77" t="str">
        <f>IF(Main[[#This Row],[Tech Start Date]]&lt;1/1/1990,"",IF(Main[[#This Row],[Class]]="C",WORKDAY(Main[[#This Row],[Tech Start Date]],19),IF(Main[[#This Row],[Class]]="B", WORKDAY(Main[[#This Row],[Tech Start Date]],12),IF(Main[[#This Row],[Class]]="A",WORKDAY(Main[[#This Row],[Tech Start Date]],4),""))))</f>
        <v/>
      </c>
      <c r="O443" s="77" t="str">
        <f>IF(Main[[#This Row],[Tech Start Date]]&lt;1/1/1990,"",IF(Main[[#This Row],[Class]]="C",WORKDAY(Main[[#This Row],[Tech Start Date]],23),IF(Main[[#This Row],[Class]]="B", WORKDAY(Main[[#This Row],[Tech Start Date]],15),IF(Main[[#This Row],[Class]]="A",WORKDAY(Main[[#This Row],[Tech Start Date]],5),""))))</f>
        <v/>
      </c>
      <c r="P443" s="77" t="str">
        <f>IF(Main[[#This Row],[Tech Start Date]]&lt;1/1/1990,"",IF(Main[[#This Row],[Class]]="C",WORKDAY(Main[[#This Row],[Tech Start Date]],28),IF(Main[[#This Row],[Class]]="B", WORKDAY(Main[[#This Row],[Tech Start Date]],19),IF(Main[[#This Row],[Class]]="A",WORKDAY(Main[[#This Row],[Tech Start Date]],9),""))))</f>
        <v/>
      </c>
      <c r="Q443" s="74"/>
      <c r="R443" s="154"/>
      <c r="S443" s="72" t="s">
        <v>11</v>
      </c>
      <c r="T443" s="80" t="s">
        <v>4</v>
      </c>
      <c r="U443" s="72" t="s">
        <v>14</v>
      </c>
      <c r="V443" s="72" t="s">
        <v>1920</v>
      </c>
      <c r="W443" s="72" t="s">
        <v>1919</v>
      </c>
      <c r="X443" s="72" t="s">
        <v>2883</v>
      </c>
      <c r="Y443" s="72" t="s">
        <v>3031</v>
      </c>
      <c r="Z443" s="72" t="s">
        <v>4</v>
      </c>
      <c r="AA443" s="146" t="s">
        <v>2883</v>
      </c>
    </row>
    <row r="444" spans="1:27" ht="18.600000000000001" customHeight="1">
      <c r="A444" s="139" t="str">
        <f>IF(priority(Main[[#This Row],[Comments]])&lt;&gt;0, priority(Main[[#This Row],[Comments]]),"")</f>
        <v/>
      </c>
      <c r="B444" s="89" t="s">
        <v>1280</v>
      </c>
      <c r="C444" s="72" t="s">
        <v>351</v>
      </c>
      <c r="D444" s="73" t="s">
        <v>352</v>
      </c>
      <c r="E444" s="74"/>
      <c r="F444" s="74">
        <v>40452</v>
      </c>
      <c r="G444" s="75" t="str">
        <f>IF(stdProdLT(Main[[#This Row],[Comments]])=0.1,"N/A",IF(stdProdLT(Main[[#This Row],[Comments]])=0,"",stdProdLT(Main[[#This Row],[Comments]])))</f>
        <v/>
      </c>
      <c r="H444" s="76" t="str">
        <f>IF(AND(Main[[#This Row],[In Stock Date]]&lt;&gt;"",Main[[#This Row],[Revised Due Date]]&lt;&gt;""),Main[[#This Row],[In Stock Date]]-Main[[#This Row],[Revised Due Date]],"")</f>
        <v/>
      </c>
      <c r="I444" s="72" t="s">
        <v>4</v>
      </c>
      <c r="J444" s="72" t="s">
        <v>4</v>
      </c>
      <c r="K444" s="72" t="s">
        <v>4</v>
      </c>
      <c r="L444" s="74"/>
      <c r="M444" s="77" t="str">
        <f>IF(Main[[#This Row],[Tech Start Date]]&lt;1/1/1990,"",IF(Main[[#This Row],[Class]]="C",WORKDAY(Main[[#This Row],[Tech Start Date]],9),IF(Main[[#This Row],[Class]]="B", WORKDAY(Main[[#This Row],[Tech Start Date]],6),IF(Main[[#This Row],[Class]]="A",WORKDAY(Main[[#This Row],[Tech Start Date]],2),""))))</f>
        <v/>
      </c>
      <c r="N444" s="77" t="str">
        <f>IF(Main[[#This Row],[Tech Start Date]]&lt;1/1/1990,"",IF(Main[[#This Row],[Class]]="C",WORKDAY(Main[[#This Row],[Tech Start Date]],19),IF(Main[[#This Row],[Class]]="B", WORKDAY(Main[[#This Row],[Tech Start Date]],12),IF(Main[[#This Row],[Class]]="A",WORKDAY(Main[[#This Row],[Tech Start Date]],4),""))))</f>
        <v/>
      </c>
      <c r="O444" s="77" t="str">
        <f>IF(Main[[#This Row],[Tech Start Date]]&lt;1/1/1990,"",IF(Main[[#This Row],[Class]]="C",WORKDAY(Main[[#This Row],[Tech Start Date]],23),IF(Main[[#This Row],[Class]]="B", WORKDAY(Main[[#This Row],[Tech Start Date]],15),IF(Main[[#This Row],[Class]]="A",WORKDAY(Main[[#This Row],[Tech Start Date]],5),""))))</f>
        <v/>
      </c>
      <c r="P444" s="77" t="str">
        <f>IF(Main[[#This Row],[Tech Start Date]]&lt;1/1/1990,"",IF(Main[[#This Row],[Class]]="C",WORKDAY(Main[[#This Row],[Tech Start Date]],28),IF(Main[[#This Row],[Class]]="B", WORKDAY(Main[[#This Row],[Tech Start Date]],19),IF(Main[[#This Row],[Class]]="A",WORKDAY(Main[[#This Row],[Tech Start Date]],9),""))))</f>
        <v/>
      </c>
      <c r="Q444" s="74">
        <v>40344</v>
      </c>
      <c r="R444" s="74"/>
      <c r="S444" s="72" t="s">
        <v>11</v>
      </c>
      <c r="T444" s="80" t="s">
        <v>4</v>
      </c>
      <c r="U444" s="72" t="s">
        <v>14</v>
      </c>
      <c r="V444" s="72" t="s">
        <v>1920</v>
      </c>
      <c r="W444" s="72" t="s">
        <v>1923</v>
      </c>
      <c r="X444" s="72" t="s">
        <v>2878</v>
      </c>
      <c r="Y444" s="72" t="s">
        <v>3002</v>
      </c>
      <c r="Z444" s="72" t="s">
        <v>530</v>
      </c>
      <c r="AA444" s="146" t="s">
        <v>2878</v>
      </c>
    </row>
    <row r="445" spans="1:27" ht="18.600000000000001" customHeight="1">
      <c r="A445" s="155" t="str">
        <f>IF(priority(Main[[#This Row],[Comments]])&lt;&gt;0, priority(Main[[#This Row],[Comments]]),"")</f>
        <v/>
      </c>
      <c r="B445" s="156" t="s">
        <v>1281</v>
      </c>
      <c r="C445" s="157" t="s">
        <v>4</v>
      </c>
      <c r="D445" s="158" t="s">
        <v>353</v>
      </c>
      <c r="E445" s="160"/>
      <c r="F445" s="160"/>
      <c r="G445" s="162" t="str">
        <f>IF(stdProdLT(Main[[#This Row],[Comments]])=0.1,"N/A",IF(stdProdLT(Main[[#This Row],[Comments]])=0,"",stdProdLT(Main[[#This Row],[Comments]])))</f>
        <v/>
      </c>
      <c r="H445" s="164" t="str">
        <f>IF(AND(Main[[#This Row],[In Stock Date]]&lt;&gt;"",Main[[#This Row],[Revised Due Date]]&lt;&gt;""),Main[[#This Row],[In Stock Date]]-Main[[#This Row],[Revised Due Date]],"")</f>
        <v/>
      </c>
      <c r="I445" s="157" t="s">
        <v>4</v>
      </c>
      <c r="J445" s="157" t="s">
        <v>4</v>
      </c>
      <c r="K445" s="157" t="s">
        <v>4</v>
      </c>
      <c r="L445" s="160"/>
      <c r="M445" s="167" t="str">
        <f>IF(Main[[#This Row],[Tech Start Date]]&lt;1/1/1990,"",IF(Main[[#This Row],[Class]]="C",WORKDAY(Main[[#This Row],[Tech Start Date]],9),IF(Main[[#This Row],[Class]]="B", WORKDAY(Main[[#This Row],[Tech Start Date]],6),IF(Main[[#This Row],[Class]]="A",WORKDAY(Main[[#This Row],[Tech Start Date]],2),""))))</f>
        <v/>
      </c>
      <c r="N445" s="167" t="str">
        <f>IF(Main[[#This Row],[Tech Start Date]]&lt;1/1/1990,"",IF(Main[[#This Row],[Class]]="C",WORKDAY(Main[[#This Row],[Tech Start Date]],19),IF(Main[[#This Row],[Class]]="B", WORKDAY(Main[[#This Row],[Tech Start Date]],12),IF(Main[[#This Row],[Class]]="A",WORKDAY(Main[[#This Row],[Tech Start Date]],4),""))))</f>
        <v/>
      </c>
      <c r="O445" s="167" t="str">
        <f>IF(Main[[#This Row],[Tech Start Date]]&lt;1/1/1990,"",IF(Main[[#This Row],[Class]]="C",WORKDAY(Main[[#This Row],[Tech Start Date]],23),IF(Main[[#This Row],[Class]]="B", WORKDAY(Main[[#This Row],[Tech Start Date]],15),IF(Main[[#This Row],[Class]]="A",WORKDAY(Main[[#This Row],[Tech Start Date]],5),""))))</f>
        <v/>
      </c>
      <c r="P445" s="167" t="str">
        <f>IF(Main[[#This Row],[Tech Start Date]]&lt;1/1/1990,"",IF(Main[[#This Row],[Class]]="C",WORKDAY(Main[[#This Row],[Tech Start Date]],28),IF(Main[[#This Row],[Class]]="B", WORKDAY(Main[[#This Row],[Tech Start Date]],19),IF(Main[[#This Row],[Class]]="A",WORKDAY(Main[[#This Row],[Tech Start Date]],9),""))))</f>
        <v/>
      </c>
      <c r="Q445" s="160"/>
      <c r="R445" s="160"/>
      <c r="S445" s="157" t="s">
        <v>4</v>
      </c>
      <c r="T445" s="171" t="s">
        <v>4</v>
      </c>
      <c r="U445" s="157" t="s">
        <v>14</v>
      </c>
      <c r="V445" s="157" t="s">
        <v>1917</v>
      </c>
      <c r="W445" s="157" t="s">
        <v>4</v>
      </c>
      <c r="X445" s="157" t="s">
        <v>2884</v>
      </c>
      <c r="Y445" s="157" t="s">
        <v>3032</v>
      </c>
      <c r="Z445" s="157" t="s">
        <v>4</v>
      </c>
      <c r="AA445" s="153" t="s">
        <v>2884</v>
      </c>
    </row>
    <row r="446" spans="1:27" ht="18.600000000000001" customHeight="1">
      <c r="A446" s="155" t="str">
        <f>IF(priority(Main[[#This Row],[Comments]])&lt;&gt;0, priority(Main[[#This Row],[Comments]]),"")</f>
        <v/>
      </c>
      <c r="B446" s="156" t="s">
        <v>1282</v>
      </c>
      <c r="C446" s="157" t="s">
        <v>33</v>
      </c>
      <c r="D446" s="158" t="s">
        <v>354</v>
      </c>
      <c r="E446" s="160"/>
      <c r="F446" s="160"/>
      <c r="G446" s="162" t="str">
        <f>IF(stdProdLT(Main[[#This Row],[Comments]])=0.1,"N/A",IF(stdProdLT(Main[[#This Row],[Comments]])=0,"",stdProdLT(Main[[#This Row],[Comments]])))</f>
        <v/>
      </c>
      <c r="H446" s="164" t="str">
        <f>IF(AND(Main[[#This Row],[In Stock Date]]&lt;&gt;"",Main[[#This Row],[Revised Due Date]]&lt;&gt;""),Main[[#This Row],[In Stock Date]]-Main[[#This Row],[Revised Due Date]],"")</f>
        <v/>
      </c>
      <c r="I446" s="157" t="s">
        <v>4</v>
      </c>
      <c r="J446" s="157" t="s">
        <v>4</v>
      </c>
      <c r="K446" s="157" t="s">
        <v>4</v>
      </c>
      <c r="L446" s="160"/>
      <c r="M446" s="167" t="str">
        <f>IF(Main[[#This Row],[Tech Start Date]]&lt;1/1/1990,"",IF(Main[[#This Row],[Class]]="C",WORKDAY(Main[[#This Row],[Tech Start Date]],9),IF(Main[[#This Row],[Class]]="B", WORKDAY(Main[[#This Row],[Tech Start Date]],6),IF(Main[[#This Row],[Class]]="A",WORKDAY(Main[[#This Row],[Tech Start Date]],2),""))))</f>
        <v/>
      </c>
      <c r="N446" s="167" t="str">
        <f>IF(Main[[#This Row],[Tech Start Date]]&lt;1/1/1990,"",IF(Main[[#This Row],[Class]]="C",WORKDAY(Main[[#This Row],[Tech Start Date]],19),IF(Main[[#This Row],[Class]]="B", WORKDAY(Main[[#This Row],[Tech Start Date]],12),IF(Main[[#This Row],[Class]]="A",WORKDAY(Main[[#This Row],[Tech Start Date]],4),""))))</f>
        <v/>
      </c>
      <c r="O446" s="167" t="str">
        <f>IF(Main[[#This Row],[Tech Start Date]]&lt;1/1/1990,"",IF(Main[[#This Row],[Class]]="C",WORKDAY(Main[[#This Row],[Tech Start Date]],23),IF(Main[[#This Row],[Class]]="B", WORKDAY(Main[[#This Row],[Tech Start Date]],15),IF(Main[[#This Row],[Class]]="A",WORKDAY(Main[[#This Row],[Tech Start Date]],5),""))))</f>
        <v/>
      </c>
      <c r="P446" s="167" t="str">
        <f>IF(Main[[#This Row],[Tech Start Date]]&lt;1/1/1990,"",IF(Main[[#This Row],[Class]]="C",WORKDAY(Main[[#This Row],[Tech Start Date]],28),IF(Main[[#This Row],[Class]]="B", WORKDAY(Main[[#This Row],[Tech Start Date]],19),IF(Main[[#This Row],[Class]]="A",WORKDAY(Main[[#This Row],[Tech Start Date]],9),""))))</f>
        <v/>
      </c>
      <c r="Q446" s="160"/>
      <c r="R446" s="160"/>
      <c r="S446" s="157" t="s">
        <v>11</v>
      </c>
      <c r="T446" s="171" t="s">
        <v>4</v>
      </c>
      <c r="U446" s="157" t="s">
        <v>14</v>
      </c>
      <c r="V446" s="157" t="s">
        <v>1918</v>
      </c>
      <c r="W446" s="157" t="s">
        <v>1925</v>
      </c>
      <c r="X446" s="157" t="s">
        <v>2833</v>
      </c>
      <c r="Y446" s="157" t="s">
        <v>2954</v>
      </c>
      <c r="Z446" s="157" t="s">
        <v>4</v>
      </c>
      <c r="AA446" s="153" t="s">
        <v>2833</v>
      </c>
    </row>
    <row r="447" spans="1:27" ht="18.600000000000001" customHeight="1">
      <c r="A447" s="155" t="str">
        <f>IF(priority(Main[[#This Row],[Comments]])&lt;&gt;0, priority(Main[[#This Row],[Comments]]),"")</f>
        <v/>
      </c>
      <c r="B447" s="156" t="s">
        <v>1284</v>
      </c>
      <c r="C447" s="157" t="s">
        <v>211</v>
      </c>
      <c r="D447" s="158" t="s">
        <v>356</v>
      </c>
      <c r="E447" s="160"/>
      <c r="F447" s="160">
        <v>40087</v>
      </c>
      <c r="G447" s="162" t="str">
        <f>IF(stdProdLT(Main[[#This Row],[Comments]])=0.1,"N/A",IF(stdProdLT(Main[[#This Row],[Comments]])=0,"",stdProdLT(Main[[#This Row],[Comments]])))</f>
        <v/>
      </c>
      <c r="H447" s="164" t="str">
        <f>IF(AND(Main[[#This Row],[In Stock Date]]&lt;&gt;"",Main[[#This Row],[Revised Due Date]]&lt;&gt;""),Main[[#This Row],[In Stock Date]]-Main[[#This Row],[Revised Due Date]],"")</f>
        <v/>
      </c>
      <c r="I447" s="157" t="s">
        <v>4</v>
      </c>
      <c r="J447" s="157" t="s">
        <v>4</v>
      </c>
      <c r="K447" s="157" t="s">
        <v>4</v>
      </c>
      <c r="L447" s="160"/>
      <c r="M447" s="167" t="str">
        <f>IF(Main[[#This Row],[Tech Start Date]]&lt;1/1/1990,"",IF(Main[[#This Row],[Class]]="C",WORKDAY(Main[[#This Row],[Tech Start Date]],9),IF(Main[[#This Row],[Class]]="B", WORKDAY(Main[[#This Row],[Tech Start Date]],6),IF(Main[[#This Row],[Class]]="A",WORKDAY(Main[[#This Row],[Tech Start Date]],2),""))))</f>
        <v/>
      </c>
      <c r="N447" s="167" t="str">
        <f>IF(Main[[#This Row],[Tech Start Date]]&lt;1/1/1990,"",IF(Main[[#This Row],[Class]]="C",WORKDAY(Main[[#This Row],[Tech Start Date]],19),IF(Main[[#This Row],[Class]]="B", WORKDAY(Main[[#This Row],[Tech Start Date]],12),IF(Main[[#This Row],[Class]]="A",WORKDAY(Main[[#This Row],[Tech Start Date]],4),""))))</f>
        <v/>
      </c>
      <c r="O447" s="167" t="str">
        <f>IF(Main[[#This Row],[Tech Start Date]]&lt;1/1/1990,"",IF(Main[[#This Row],[Class]]="C",WORKDAY(Main[[#This Row],[Tech Start Date]],23),IF(Main[[#This Row],[Class]]="B", WORKDAY(Main[[#This Row],[Tech Start Date]],15),IF(Main[[#This Row],[Class]]="A",WORKDAY(Main[[#This Row],[Tech Start Date]],5),""))))</f>
        <v/>
      </c>
      <c r="P447" s="167" t="str">
        <f>IF(Main[[#This Row],[Tech Start Date]]&lt;1/1/1990,"",IF(Main[[#This Row],[Class]]="C",WORKDAY(Main[[#This Row],[Tech Start Date]],28),IF(Main[[#This Row],[Class]]="B", WORKDAY(Main[[#This Row],[Tech Start Date]],19),IF(Main[[#This Row],[Class]]="A",WORKDAY(Main[[#This Row],[Tech Start Date]],9),""))))</f>
        <v/>
      </c>
      <c r="Q447" s="160">
        <v>39891</v>
      </c>
      <c r="R447" s="160"/>
      <c r="S447" s="157" t="s">
        <v>11</v>
      </c>
      <c r="T447" s="171" t="s">
        <v>4</v>
      </c>
      <c r="U447" s="157" t="s">
        <v>12</v>
      </c>
      <c r="V447" s="157" t="s">
        <v>1917</v>
      </c>
      <c r="W447" s="157" t="s">
        <v>1922</v>
      </c>
      <c r="X447" s="157" t="s">
        <v>2839</v>
      </c>
      <c r="Y447" s="157" t="s">
        <v>4</v>
      </c>
      <c r="Z447" s="157" t="s">
        <v>4</v>
      </c>
      <c r="AA447" s="153" t="s">
        <v>2839</v>
      </c>
    </row>
    <row r="448" spans="1:27" ht="18.600000000000001" customHeight="1">
      <c r="A448" s="155" t="str">
        <f>IF(priority(Main[[#This Row],[Comments]])&lt;&gt;0, priority(Main[[#This Row],[Comments]]),"")</f>
        <v/>
      </c>
      <c r="B448" s="156" t="s">
        <v>1286</v>
      </c>
      <c r="C448" s="157" t="s">
        <v>211</v>
      </c>
      <c r="D448" s="158" t="s">
        <v>357</v>
      </c>
      <c r="E448" s="160"/>
      <c r="F448" s="160">
        <v>40087</v>
      </c>
      <c r="G448" s="162" t="str">
        <f>IF(stdProdLT(Main[[#This Row],[Comments]])=0.1,"N/A",IF(stdProdLT(Main[[#This Row],[Comments]])=0,"",stdProdLT(Main[[#This Row],[Comments]])))</f>
        <v/>
      </c>
      <c r="H448" s="164" t="str">
        <f>IF(AND(Main[[#This Row],[In Stock Date]]&lt;&gt;"",Main[[#This Row],[Revised Due Date]]&lt;&gt;""),Main[[#This Row],[In Stock Date]]-Main[[#This Row],[Revised Due Date]],"")</f>
        <v/>
      </c>
      <c r="I448" s="157" t="s">
        <v>4</v>
      </c>
      <c r="J448" s="157" t="s">
        <v>4</v>
      </c>
      <c r="K448" s="157" t="s">
        <v>4</v>
      </c>
      <c r="L448" s="160"/>
      <c r="M448" s="167" t="str">
        <f>IF(Main[[#This Row],[Tech Start Date]]&lt;1/1/1990,"",IF(Main[[#This Row],[Class]]="C",WORKDAY(Main[[#This Row],[Tech Start Date]],9),IF(Main[[#This Row],[Class]]="B", WORKDAY(Main[[#This Row],[Tech Start Date]],6),IF(Main[[#This Row],[Class]]="A",WORKDAY(Main[[#This Row],[Tech Start Date]],2),""))))</f>
        <v/>
      </c>
      <c r="N448" s="167" t="str">
        <f>IF(Main[[#This Row],[Tech Start Date]]&lt;1/1/1990,"",IF(Main[[#This Row],[Class]]="C",WORKDAY(Main[[#This Row],[Tech Start Date]],19),IF(Main[[#This Row],[Class]]="B", WORKDAY(Main[[#This Row],[Tech Start Date]],12),IF(Main[[#This Row],[Class]]="A",WORKDAY(Main[[#This Row],[Tech Start Date]],4),""))))</f>
        <v/>
      </c>
      <c r="O448" s="167" t="str">
        <f>IF(Main[[#This Row],[Tech Start Date]]&lt;1/1/1990,"",IF(Main[[#This Row],[Class]]="C",WORKDAY(Main[[#This Row],[Tech Start Date]],23),IF(Main[[#This Row],[Class]]="B", WORKDAY(Main[[#This Row],[Tech Start Date]],15),IF(Main[[#This Row],[Class]]="A",WORKDAY(Main[[#This Row],[Tech Start Date]],5),""))))</f>
        <v/>
      </c>
      <c r="P448" s="167" t="str">
        <f>IF(Main[[#This Row],[Tech Start Date]]&lt;1/1/1990,"",IF(Main[[#This Row],[Class]]="C",WORKDAY(Main[[#This Row],[Tech Start Date]],28),IF(Main[[#This Row],[Class]]="B", WORKDAY(Main[[#This Row],[Tech Start Date]],19),IF(Main[[#This Row],[Class]]="A",WORKDAY(Main[[#This Row],[Tech Start Date]],9),""))))</f>
        <v/>
      </c>
      <c r="Q448" s="160">
        <v>39891</v>
      </c>
      <c r="R448" s="160"/>
      <c r="S448" s="157" t="s">
        <v>11</v>
      </c>
      <c r="T448" s="171" t="s">
        <v>4</v>
      </c>
      <c r="U448" s="157" t="s">
        <v>12</v>
      </c>
      <c r="V448" s="157" t="s">
        <v>1917</v>
      </c>
      <c r="W448" s="157" t="s">
        <v>1922</v>
      </c>
      <c r="X448" s="157" t="s">
        <v>2839</v>
      </c>
      <c r="Y448" s="157" t="s">
        <v>4</v>
      </c>
      <c r="Z448" s="157" t="s">
        <v>4</v>
      </c>
      <c r="AA448" s="153" t="s">
        <v>2839</v>
      </c>
    </row>
    <row r="449" spans="1:27" ht="18.600000000000001" customHeight="1">
      <c r="A449" s="155" t="str">
        <f>IF(priority(Main[[#This Row],[Comments]])&lt;&gt;0, priority(Main[[#This Row],[Comments]]),"")</f>
        <v/>
      </c>
      <c r="B449" s="156" t="s">
        <v>2718</v>
      </c>
      <c r="C449" s="157" t="s">
        <v>4</v>
      </c>
      <c r="D449" s="158" t="s">
        <v>2719</v>
      </c>
      <c r="E449" s="160"/>
      <c r="F449" s="160"/>
      <c r="G449" s="162" t="str">
        <f>IF(stdProdLT(Main[[#This Row],[Comments]])=0.1,"N/A",IF(stdProdLT(Main[[#This Row],[Comments]])=0,"",stdProdLT(Main[[#This Row],[Comments]])))</f>
        <v/>
      </c>
      <c r="H449" s="164" t="str">
        <f>IF(AND(Main[[#This Row],[In Stock Date]]&lt;&gt;"",Main[[#This Row],[Revised Due Date]]&lt;&gt;""),Main[[#This Row],[In Stock Date]]-Main[[#This Row],[Revised Due Date]],"")</f>
        <v/>
      </c>
      <c r="I449" s="157" t="s">
        <v>4</v>
      </c>
      <c r="J449" s="157" t="s">
        <v>4</v>
      </c>
      <c r="K449" s="157" t="s">
        <v>4</v>
      </c>
      <c r="L449" s="160"/>
      <c r="M449" s="167" t="str">
        <f>IF(Main[[#This Row],[Tech Start Date]]&lt;1/1/1990,"",IF(Main[[#This Row],[Class]]="C",WORKDAY(Main[[#This Row],[Tech Start Date]],9),IF(Main[[#This Row],[Class]]="B", WORKDAY(Main[[#This Row],[Tech Start Date]],6),IF(Main[[#This Row],[Class]]="A",WORKDAY(Main[[#This Row],[Tech Start Date]],2),""))))</f>
        <v/>
      </c>
      <c r="N449" s="167" t="str">
        <f>IF(Main[[#This Row],[Tech Start Date]]&lt;1/1/1990,"",IF(Main[[#This Row],[Class]]="C",WORKDAY(Main[[#This Row],[Tech Start Date]],19),IF(Main[[#This Row],[Class]]="B", WORKDAY(Main[[#This Row],[Tech Start Date]],12),IF(Main[[#This Row],[Class]]="A",WORKDAY(Main[[#This Row],[Tech Start Date]],4),""))))</f>
        <v/>
      </c>
      <c r="O449" s="167" t="str">
        <f>IF(Main[[#This Row],[Tech Start Date]]&lt;1/1/1990,"",IF(Main[[#This Row],[Class]]="C",WORKDAY(Main[[#This Row],[Tech Start Date]],23),IF(Main[[#This Row],[Class]]="B", WORKDAY(Main[[#This Row],[Tech Start Date]],15),IF(Main[[#This Row],[Class]]="A",WORKDAY(Main[[#This Row],[Tech Start Date]],5),""))))</f>
        <v/>
      </c>
      <c r="P449" s="167" t="str">
        <f>IF(Main[[#This Row],[Tech Start Date]]&lt;1/1/1990,"",IF(Main[[#This Row],[Class]]="C",WORKDAY(Main[[#This Row],[Tech Start Date]],28),IF(Main[[#This Row],[Class]]="B", WORKDAY(Main[[#This Row],[Tech Start Date]],19),IF(Main[[#This Row],[Class]]="A",WORKDAY(Main[[#This Row],[Tech Start Date]],9),""))))</f>
        <v/>
      </c>
      <c r="Q449" s="160">
        <v>40896</v>
      </c>
      <c r="R449" s="160"/>
      <c r="S449" s="157" t="s">
        <v>17</v>
      </c>
      <c r="T449" s="171" t="s">
        <v>4</v>
      </c>
      <c r="U449" s="157" t="s">
        <v>14</v>
      </c>
      <c r="V449" s="157" t="s">
        <v>1920</v>
      </c>
      <c r="W449" s="157" t="s">
        <v>1925</v>
      </c>
      <c r="X449" s="157" t="s">
        <v>2885</v>
      </c>
      <c r="Y449" s="157" t="s">
        <v>3033</v>
      </c>
      <c r="Z449" s="157" t="s">
        <v>4</v>
      </c>
      <c r="AA449" s="153" t="s">
        <v>2885</v>
      </c>
    </row>
    <row r="450" spans="1:27" ht="18.600000000000001" customHeight="1">
      <c r="A450" s="155" t="str">
        <f>IF(priority(Main[[#This Row],[Comments]])&lt;&gt;0, priority(Main[[#This Row],[Comments]]),"")</f>
        <v/>
      </c>
      <c r="B450" s="156" t="s">
        <v>1287</v>
      </c>
      <c r="C450" s="157" t="s">
        <v>33</v>
      </c>
      <c r="D450" s="158" t="s">
        <v>359</v>
      </c>
      <c r="E450" s="160"/>
      <c r="F450" s="160"/>
      <c r="G450" s="162" t="str">
        <f>IF(stdProdLT(Main[[#This Row],[Comments]])=0.1,"N/A",IF(stdProdLT(Main[[#This Row],[Comments]])=0,"",stdProdLT(Main[[#This Row],[Comments]])))</f>
        <v/>
      </c>
      <c r="H450" s="164" t="str">
        <f>IF(AND(Main[[#This Row],[In Stock Date]]&lt;&gt;"",Main[[#This Row],[Revised Due Date]]&lt;&gt;""),Main[[#This Row],[In Stock Date]]-Main[[#This Row],[Revised Due Date]],"")</f>
        <v/>
      </c>
      <c r="I450" s="157" t="s">
        <v>4</v>
      </c>
      <c r="J450" s="157" t="s">
        <v>4</v>
      </c>
      <c r="K450" s="157" t="s">
        <v>4</v>
      </c>
      <c r="L450" s="160"/>
      <c r="M450" s="167" t="str">
        <f>IF(Main[[#This Row],[Tech Start Date]]&lt;1/1/1990,"",IF(Main[[#This Row],[Class]]="C",WORKDAY(Main[[#This Row],[Tech Start Date]],9),IF(Main[[#This Row],[Class]]="B", WORKDAY(Main[[#This Row],[Tech Start Date]],6),IF(Main[[#This Row],[Class]]="A",WORKDAY(Main[[#This Row],[Tech Start Date]],2),""))))</f>
        <v/>
      </c>
      <c r="N450" s="167" t="str">
        <f>IF(Main[[#This Row],[Tech Start Date]]&lt;1/1/1990,"",IF(Main[[#This Row],[Class]]="C",WORKDAY(Main[[#This Row],[Tech Start Date]],19),IF(Main[[#This Row],[Class]]="B", WORKDAY(Main[[#This Row],[Tech Start Date]],12),IF(Main[[#This Row],[Class]]="A",WORKDAY(Main[[#This Row],[Tech Start Date]],4),""))))</f>
        <v/>
      </c>
      <c r="O450" s="167" t="str">
        <f>IF(Main[[#This Row],[Tech Start Date]]&lt;1/1/1990,"",IF(Main[[#This Row],[Class]]="C",WORKDAY(Main[[#This Row],[Tech Start Date]],23),IF(Main[[#This Row],[Class]]="B", WORKDAY(Main[[#This Row],[Tech Start Date]],15),IF(Main[[#This Row],[Class]]="A",WORKDAY(Main[[#This Row],[Tech Start Date]],5),""))))</f>
        <v/>
      </c>
      <c r="P450" s="167" t="str">
        <f>IF(Main[[#This Row],[Tech Start Date]]&lt;1/1/1990,"",IF(Main[[#This Row],[Class]]="C",WORKDAY(Main[[#This Row],[Tech Start Date]],28),IF(Main[[#This Row],[Class]]="B", WORKDAY(Main[[#This Row],[Tech Start Date]],19),IF(Main[[#This Row],[Class]]="A",WORKDAY(Main[[#This Row],[Tech Start Date]],9),""))))</f>
        <v/>
      </c>
      <c r="Q450" s="160"/>
      <c r="R450" s="160"/>
      <c r="S450" s="157" t="s">
        <v>11</v>
      </c>
      <c r="T450" s="171" t="s">
        <v>4</v>
      </c>
      <c r="U450" s="157" t="s">
        <v>14</v>
      </c>
      <c r="V450" s="157" t="s">
        <v>1918</v>
      </c>
      <c r="W450" s="157" t="s">
        <v>1925</v>
      </c>
      <c r="X450" s="157" t="s">
        <v>2833</v>
      </c>
      <c r="Y450" s="157" t="s">
        <v>2954</v>
      </c>
      <c r="Z450" s="157" t="s">
        <v>4</v>
      </c>
      <c r="AA450" s="153" t="s">
        <v>2833</v>
      </c>
    </row>
    <row r="451" spans="1:27" ht="18.600000000000001" customHeight="1">
      <c r="A451" s="155" t="str">
        <f>IF(priority(Main[[#This Row],[Comments]])&lt;&gt;0, priority(Main[[#This Row],[Comments]]),"")</f>
        <v/>
      </c>
      <c r="B451" s="156" t="s">
        <v>1288</v>
      </c>
      <c r="C451" s="157" t="s">
        <v>33</v>
      </c>
      <c r="D451" s="158" t="s">
        <v>360</v>
      </c>
      <c r="E451" s="160"/>
      <c r="F451" s="160"/>
      <c r="G451" s="162" t="str">
        <f>IF(stdProdLT(Main[[#This Row],[Comments]])=0.1,"N/A",IF(stdProdLT(Main[[#This Row],[Comments]])=0,"",stdProdLT(Main[[#This Row],[Comments]])))</f>
        <v/>
      </c>
      <c r="H451" s="164" t="str">
        <f>IF(AND(Main[[#This Row],[In Stock Date]]&lt;&gt;"",Main[[#This Row],[Revised Due Date]]&lt;&gt;""),Main[[#This Row],[In Stock Date]]-Main[[#This Row],[Revised Due Date]],"")</f>
        <v/>
      </c>
      <c r="I451" s="157" t="s">
        <v>4</v>
      </c>
      <c r="J451" s="157" t="s">
        <v>4</v>
      </c>
      <c r="K451" s="157" t="s">
        <v>4</v>
      </c>
      <c r="L451" s="160"/>
      <c r="M451" s="167" t="str">
        <f>IF(Main[[#This Row],[Tech Start Date]]&lt;1/1/1990,"",IF(Main[[#This Row],[Class]]="C",WORKDAY(Main[[#This Row],[Tech Start Date]],9),IF(Main[[#This Row],[Class]]="B", WORKDAY(Main[[#This Row],[Tech Start Date]],6),IF(Main[[#This Row],[Class]]="A",WORKDAY(Main[[#This Row],[Tech Start Date]],2),""))))</f>
        <v/>
      </c>
      <c r="N451" s="167" t="str">
        <f>IF(Main[[#This Row],[Tech Start Date]]&lt;1/1/1990,"",IF(Main[[#This Row],[Class]]="C",WORKDAY(Main[[#This Row],[Tech Start Date]],19),IF(Main[[#This Row],[Class]]="B", WORKDAY(Main[[#This Row],[Tech Start Date]],12),IF(Main[[#This Row],[Class]]="A",WORKDAY(Main[[#This Row],[Tech Start Date]],4),""))))</f>
        <v/>
      </c>
      <c r="O451" s="167" t="str">
        <f>IF(Main[[#This Row],[Tech Start Date]]&lt;1/1/1990,"",IF(Main[[#This Row],[Class]]="C",WORKDAY(Main[[#This Row],[Tech Start Date]],23),IF(Main[[#This Row],[Class]]="B", WORKDAY(Main[[#This Row],[Tech Start Date]],15),IF(Main[[#This Row],[Class]]="A",WORKDAY(Main[[#This Row],[Tech Start Date]],5),""))))</f>
        <v/>
      </c>
      <c r="P451" s="167" t="str">
        <f>IF(Main[[#This Row],[Tech Start Date]]&lt;1/1/1990,"",IF(Main[[#This Row],[Class]]="C",WORKDAY(Main[[#This Row],[Tech Start Date]],28),IF(Main[[#This Row],[Class]]="B", WORKDAY(Main[[#This Row],[Tech Start Date]],19),IF(Main[[#This Row],[Class]]="A",WORKDAY(Main[[#This Row],[Tech Start Date]],9),""))))</f>
        <v/>
      </c>
      <c r="Q451" s="160"/>
      <c r="R451" s="160"/>
      <c r="S451" s="157" t="s">
        <v>11</v>
      </c>
      <c r="T451" s="171" t="s">
        <v>4</v>
      </c>
      <c r="U451" s="157" t="s">
        <v>14</v>
      </c>
      <c r="V451" s="157" t="s">
        <v>1918</v>
      </c>
      <c r="W451" s="157" t="s">
        <v>1925</v>
      </c>
      <c r="X451" s="157" t="s">
        <v>2833</v>
      </c>
      <c r="Y451" s="157" t="s">
        <v>2954</v>
      </c>
      <c r="Z451" s="157" t="s">
        <v>4</v>
      </c>
      <c r="AA451" s="153" t="s">
        <v>2833</v>
      </c>
    </row>
    <row r="452" spans="1:27" ht="18.600000000000001" customHeight="1">
      <c r="A452" s="155" t="str">
        <f>IF(priority(Main[[#This Row],[Comments]])&lt;&gt;0, priority(Main[[#This Row],[Comments]]),"")</f>
        <v/>
      </c>
      <c r="B452" s="156" t="s">
        <v>1289</v>
      </c>
      <c r="C452" s="157" t="s">
        <v>361</v>
      </c>
      <c r="D452" s="158" t="s">
        <v>362</v>
      </c>
      <c r="E452" s="160"/>
      <c r="F452" s="160"/>
      <c r="G452" s="162" t="str">
        <f>IF(stdProdLT(Main[[#This Row],[Comments]])=0.1,"N/A",IF(stdProdLT(Main[[#This Row],[Comments]])=0,"",stdProdLT(Main[[#This Row],[Comments]])))</f>
        <v/>
      </c>
      <c r="H452" s="164" t="str">
        <f>IF(AND(Main[[#This Row],[In Stock Date]]&lt;&gt;"",Main[[#This Row],[Revised Due Date]]&lt;&gt;""),Main[[#This Row],[In Stock Date]]-Main[[#This Row],[Revised Due Date]],"")</f>
        <v/>
      </c>
      <c r="I452" s="157" t="s">
        <v>4</v>
      </c>
      <c r="J452" s="157" t="s">
        <v>4</v>
      </c>
      <c r="K452" s="157" t="s">
        <v>4</v>
      </c>
      <c r="L452" s="160"/>
      <c r="M452" s="167" t="str">
        <f>IF(Main[[#This Row],[Tech Start Date]]&lt;1/1/1990,"",IF(Main[[#This Row],[Class]]="C",WORKDAY(Main[[#This Row],[Tech Start Date]],9),IF(Main[[#This Row],[Class]]="B", WORKDAY(Main[[#This Row],[Tech Start Date]],6),IF(Main[[#This Row],[Class]]="A",WORKDAY(Main[[#This Row],[Tech Start Date]],2),""))))</f>
        <v/>
      </c>
      <c r="N452" s="167" t="str">
        <f>IF(Main[[#This Row],[Tech Start Date]]&lt;1/1/1990,"",IF(Main[[#This Row],[Class]]="C",WORKDAY(Main[[#This Row],[Tech Start Date]],19),IF(Main[[#This Row],[Class]]="B", WORKDAY(Main[[#This Row],[Tech Start Date]],12),IF(Main[[#This Row],[Class]]="A",WORKDAY(Main[[#This Row],[Tech Start Date]],4),""))))</f>
        <v/>
      </c>
      <c r="O452" s="167" t="str">
        <f>IF(Main[[#This Row],[Tech Start Date]]&lt;1/1/1990,"",IF(Main[[#This Row],[Class]]="C",WORKDAY(Main[[#This Row],[Tech Start Date]],23),IF(Main[[#This Row],[Class]]="B", WORKDAY(Main[[#This Row],[Tech Start Date]],15),IF(Main[[#This Row],[Class]]="A",WORKDAY(Main[[#This Row],[Tech Start Date]],5),""))))</f>
        <v/>
      </c>
      <c r="P452" s="167" t="str">
        <f>IF(Main[[#This Row],[Tech Start Date]]&lt;1/1/1990,"",IF(Main[[#This Row],[Class]]="C",WORKDAY(Main[[#This Row],[Tech Start Date]],28),IF(Main[[#This Row],[Class]]="B", WORKDAY(Main[[#This Row],[Tech Start Date]],19),IF(Main[[#This Row],[Class]]="A",WORKDAY(Main[[#This Row],[Tech Start Date]],9),""))))</f>
        <v/>
      </c>
      <c r="Q452" s="160"/>
      <c r="R452" s="160"/>
      <c r="S452" s="157" t="s">
        <v>11</v>
      </c>
      <c r="T452" s="171" t="s">
        <v>4</v>
      </c>
      <c r="U452" s="157" t="s">
        <v>14</v>
      </c>
      <c r="V452" s="157" t="s">
        <v>1918</v>
      </c>
      <c r="W452" s="157" t="s">
        <v>1925</v>
      </c>
      <c r="X452" s="157" t="s">
        <v>2833</v>
      </c>
      <c r="Y452" s="157" t="s">
        <v>2954</v>
      </c>
      <c r="Z452" s="157" t="s">
        <v>4</v>
      </c>
      <c r="AA452" s="153" t="s">
        <v>2833</v>
      </c>
    </row>
    <row r="453" spans="1:27" ht="18.600000000000001" customHeight="1">
      <c r="A453" s="155" t="str">
        <f>IF(priority(Main[[#This Row],[Comments]])&lt;&gt;0, priority(Main[[#This Row],[Comments]]),"")</f>
        <v/>
      </c>
      <c r="B453" s="156" t="s">
        <v>1290</v>
      </c>
      <c r="C453" s="157" t="s">
        <v>363</v>
      </c>
      <c r="D453" s="158" t="s">
        <v>364</v>
      </c>
      <c r="E453" s="160"/>
      <c r="F453" s="160"/>
      <c r="G453" s="162" t="str">
        <f>IF(stdProdLT(Main[[#This Row],[Comments]])=0.1,"N/A",IF(stdProdLT(Main[[#This Row],[Comments]])=0,"",stdProdLT(Main[[#This Row],[Comments]])))</f>
        <v/>
      </c>
      <c r="H453" s="164" t="str">
        <f>IF(AND(Main[[#This Row],[In Stock Date]]&lt;&gt;"",Main[[#This Row],[Revised Due Date]]&lt;&gt;""),Main[[#This Row],[In Stock Date]]-Main[[#This Row],[Revised Due Date]],"")</f>
        <v/>
      </c>
      <c r="I453" s="157" t="s">
        <v>4</v>
      </c>
      <c r="J453" s="157" t="s">
        <v>4</v>
      </c>
      <c r="K453" s="157" t="s">
        <v>4</v>
      </c>
      <c r="L453" s="160"/>
      <c r="M453" s="167" t="str">
        <f>IF(Main[[#This Row],[Tech Start Date]]&lt;1/1/1990,"",IF(Main[[#This Row],[Class]]="C",WORKDAY(Main[[#This Row],[Tech Start Date]],9),IF(Main[[#This Row],[Class]]="B", WORKDAY(Main[[#This Row],[Tech Start Date]],6),IF(Main[[#This Row],[Class]]="A",WORKDAY(Main[[#This Row],[Tech Start Date]],2),""))))</f>
        <v/>
      </c>
      <c r="N453" s="167" t="str">
        <f>IF(Main[[#This Row],[Tech Start Date]]&lt;1/1/1990,"",IF(Main[[#This Row],[Class]]="C",WORKDAY(Main[[#This Row],[Tech Start Date]],19),IF(Main[[#This Row],[Class]]="B", WORKDAY(Main[[#This Row],[Tech Start Date]],12),IF(Main[[#This Row],[Class]]="A",WORKDAY(Main[[#This Row],[Tech Start Date]],4),""))))</f>
        <v/>
      </c>
      <c r="O453" s="167" t="str">
        <f>IF(Main[[#This Row],[Tech Start Date]]&lt;1/1/1990,"",IF(Main[[#This Row],[Class]]="C",WORKDAY(Main[[#This Row],[Tech Start Date]],23),IF(Main[[#This Row],[Class]]="B", WORKDAY(Main[[#This Row],[Tech Start Date]],15),IF(Main[[#This Row],[Class]]="A",WORKDAY(Main[[#This Row],[Tech Start Date]],5),""))))</f>
        <v/>
      </c>
      <c r="P453" s="167" t="str">
        <f>IF(Main[[#This Row],[Tech Start Date]]&lt;1/1/1990,"",IF(Main[[#This Row],[Class]]="C",WORKDAY(Main[[#This Row],[Tech Start Date]],28),IF(Main[[#This Row],[Class]]="B", WORKDAY(Main[[#This Row],[Tech Start Date]],19),IF(Main[[#This Row],[Class]]="A",WORKDAY(Main[[#This Row],[Tech Start Date]],9),""))))</f>
        <v/>
      </c>
      <c r="Q453" s="160"/>
      <c r="R453" s="160"/>
      <c r="S453" s="157" t="s">
        <v>11</v>
      </c>
      <c r="T453" s="171" t="s">
        <v>4</v>
      </c>
      <c r="U453" s="157" t="s">
        <v>14</v>
      </c>
      <c r="V453" s="157" t="s">
        <v>1918</v>
      </c>
      <c r="W453" s="157" t="s">
        <v>1925</v>
      </c>
      <c r="X453" s="157" t="s">
        <v>2833</v>
      </c>
      <c r="Y453" s="157" t="s">
        <v>2954</v>
      </c>
      <c r="Z453" s="157" t="s">
        <v>4</v>
      </c>
      <c r="AA453" s="153" t="s">
        <v>2833</v>
      </c>
    </row>
    <row r="454" spans="1:27" ht="18.600000000000001" customHeight="1">
      <c r="A454" s="155" t="str">
        <f>IF(priority(Main[[#This Row],[Comments]])&lt;&gt;0, priority(Main[[#This Row],[Comments]]),"")</f>
        <v/>
      </c>
      <c r="B454" s="156" t="s">
        <v>1291</v>
      </c>
      <c r="C454" s="157" t="s">
        <v>365</v>
      </c>
      <c r="D454" s="158" t="s">
        <v>366</v>
      </c>
      <c r="E454" s="160"/>
      <c r="F454" s="160"/>
      <c r="G454" s="162" t="str">
        <f>IF(stdProdLT(Main[[#This Row],[Comments]])=0.1,"N/A",IF(stdProdLT(Main[[#This Row],[Comments]])=0,"",stdProdLT(Main[[#This Row],[Comments]])))</f>
        <v/>
      </c>
      <c r="H454" s="164" t="str">
        <f>IF(AND(Main[[#This Row],[In Stock Date]]&lt;&gt;"",Main[[#This Row],[Revised Due Date]]&lt;&gt;""),Main[[#This Row],[In Stock Date]]-Main[[#This Row],[Revised Due Date]],"")</f>
        <v/>
      </c>
      <c r="I454" s="157" t="s">
        <v>4</v>
      </c>
      <c r="J454" s="157" t="s">
        <v>4</v>
      </c>
      <c r="K454" s="157" t="s">
        <v>4</v>
      </c>
      <c r="L454" s="160"/>
      <c r="M454" s="167" t="str">
        <f>IF(Main[[#This Row],[Tech Start Date]]&lt;1/1/1990,"",IF(Main[[#This Row],[Class]]="C",WORKDAY(Main[[#This Row],[Tech Start Date]],9),IF(Main[[#This Row],[Class]]="B", WORKDAY(Main[[#This Row],[Tech Start Date]],6),IF(Main[[#This Row],[Class]]="A",WORKDAY(Main[[#This Row],[Tech Start Date]],2),""))))</f>
        <v/>
      </c>
      <c r="N454" s="167" t="str">
        <f>IF(Main[[#This Row],[Tech Start Date]]&lt;1/1/1990,"",IF(Main[[#This Row],[Class]]="C",WORKDAY(Main[[#This Row],[Tech Start Date]],19),IF(Main[[#This Row],[Class]]="B", WORKDAY(Main[[#This Row],[Tech Start Date]],12),IF(Main[[#This Row],[Class]]="A",WORKDAY(Main[[#This Row],[Tech Start Date]],4),""))))</f>
        <v/>
      </c>
      <c r="O454" s="167" t="str">
        <f>IF(Main[[#This Row],[Tech Start Date]]&lt;1/1/1990,"",IF(Main[[#This Row],[Class]]="C",WORKDAY(Main[[#This Row],[Tech Start Date]],23),IF(Main[[#This Row],[Class]]="B", WORKDAY(Main[[#This Row],[Tech Start Date]],15),IF(Main[[#This Row],[Class]]="A",WORKDAY(Main[[#This Row],[Tech Start Date]],5),""))))</f>
        <v/>
      </c>
      <c r="P454" s="167" t="str">
        <f>IF(Main[[#This Row],[Tech Start Date]]&lt;1/1/1990,"",IF(Main[[#This Row],[Class]]="C",WORKDAY(Main[[#This Row],[Tech Start Date]],28),IF(Main[[#This Row],[Class]]="B", WORKDAY(Main[[#This Row],[Tech Start Date]],19),IF(Main[[#This Row],[Class]]="A",WORKDAY(Main[[#This Row],[Tech Start Date]],9),""))))</f>
        <v/>
      </c>
      <c r="Q454" s="160"/>
      <c r="R454" s="160"/>
      <c r="S454" s="157" t="s">
        <v>11</v>
      </c>
      <c r="T454" s="171" t="s">
        <v>4</v>
      </c>
      <c r="U454" s="157" t="s">
        <v>14</v>
      </c>
      <c r="V454" s="157" t="s">
        <v>1918</v>
      </c>
      <c r="W454" s="157" t="s">
        <v>1925</v>
      </c>
      <c r="X454" s="157" t="s">
        <v>2833</v>
      </c>
      <c r="Y454" s="157" t="s">
        <v>2954</v>
      </c>
      <c r="Z454" s="157" t="s">
        <v>4</v>
      </c>
      <c r="AA454" s="153" t="s">
        <v>2833</v>
      </c>
    </row>
    <row r="455" spans="1:27" ht="18.600000000000001" customHeight="1">
      <c r="A455" s="155" t="str">
        <f>IF(priority(Main[[#This Row],[Comments]])&lt;&gt;0, priority(Main[[#This Row],[Comments]]),"")</f>
        <v/>
      </c>
      <c r="B455" s="156" t="s">
        <v>1292</v>
      </c>
      <c r="C455" s="157" t="s">
        <v>367</v>
      </c>
      <c r="D455" s="158" t="s">
        <v>368</v>
      </c>
      <c r="E455" s="160">
        <v>40210.419814814813</v>
      </c>
      <c r="F455" s="160">
        <v>40405</v>
      </c>
      <c r="G455" s="162" t="str">
        <f>IF(stdProdLT(Main[[#This Row],[Comments]])=0.1,"N/A",IF(stdProdLT(Main[[#This Row],[Comments]])=0,"",stdProdLT(Main[[#This Row],[Comments]])))</f>
        <v/>
      </c>
      <c r="H455" s="164" t="str">
        <f>IF(AND(Main[[#This Row],[In Stock Date]]&lt;&gt;"",Main[[#This Row],[Revised Due Date]]&lt;&gt;""),Main[[#This Row],[In Stock Date]]-Main[[#This Row],[Revised Due Date]],"")</f>
        <v/>
      </c>
      <c r="I455" s="157" t="s">
        <v>163</v>
      </c>
      <c r="J455" s="157" t="s">
        <v>4</v>
      </c>
      <c r="K455" s="157" t="s">
        <v>1929</v>
      </c>
      <c r="L455" s="160"/>
      <c r="M455" s="167" t="str">
        <f>IF(Main[[#This Row],[Tech Start Date]]&lt;1/1/1990,"",IF(Main[[#This Row],[Class]]="C",WORKDAY(Main[[#This Row],[Tech Start Date]],9),IF(Main[[#This Row],[Class]]="B", WORKDAY(Main[[#This Row],[Tech Start Date]],6),IF(Main[[#This Row],[Class]]="A",WORKDAY(Main[[#This Row],[Tech Start Date]],2),""))))</f>
        <v/>
      </c>
      <c r="N455" s="167" t="str">
        <f>IF(Main[[#This Row],[Tech Start Date]]&lt;1/1/1990,"",IF(Main[[#This Row],[Class]]="C",WORKDAY(Main[[#This Row],[Tech Start Date]],19),IF(Main[[#This Row],[Class]]="B", WORKDAY(Main[[#This Row],[Tech Start Date]],12),IF(Main[[#This Row],[Class]]="A",WORKDAY(Main[[#This Row],[Tech Start Date]],4),""))))</f>
        <v/>
      </c>
      <c r="O455" s="167" t="str">
        <f>IF(Main[[#This Row],[Tech Start Date]]&lt;1/1/1990,"",IF(Main[[#This Row],[Class]]="C",WORKDAY(Main[[#This Row],[Tech Start Date]],23),IF(Main[[#This Row],[Class]]="B", WORKDAY(Main[[#This Row],[Tech Start Date]],15),IF(Main[[#This Row],[Class]]="A",WORKDAY(Main[[#This Row],[Tech Start Date]],5),""))))</f>
        <v/>
      </c>
      <c r="P455" s="167" t="str">
        <f>IF(Main[[#This Row],[Tech Start Date]]&lt;1/1/1990,"",IF(Main[[#This Row],[Class]]="C",WORKDAY(Main[[#This Row],[Tech Start Date]],28),IF(Main[[#This Row],[Class]]="B", WORKDAY(Main[[#This Row],[Tech Start Date]],19),IF(Main[[#This Row],[Class]]="A",WORKDAY(Main[[#This Row],[Tech Start Date]],9),""))))</f>
        <v/>
      </c>
      <c r="Q455" s="160">
        <v>40223</v>
      </c>
      <c r="R455" s="160"/>
      <c r="S455" s="157" t="s">
        <v>17</v>
      </c>
      <c r="T455" s="171" t="s">
        <v>4</v>
      </c>
      <c r="U455" s="157" t="s">
        <v>29</v>
      </c>
      <c r="V455" s="157" t="s">
        <v>1920</v>
      </c>
      <c r="W455" s="157" t="s">
        <v>1922</v>
      </c>
      <c r="X455" s="157" t="s">
        <v>554</v>
      </c>
      <c r="Y455" s="157" t="s">
        <v>4</v>
      </c>
      <c r="Z455" s="157" t="s">
        <v>4</v>
      </c>
      <c r="AA455" s="153" t="s">
        <v>554</v>
      </c>
    </row>
    <row r="456" spans="1:27" ht="18.600000000000001" customHeight="1">
      <c r="A456" s="155" t="str">
        <f>IF(priority(Main[[#This Row],[Comments]])&lt;&gt;0, priority(Main[[#This Row],[Comments]]),"")</f>
        <v/>
      </c>
      <c r="B456" s="156" t="s">
        <v>1296</v>
      </c>
      <c r="C456" s="157" t="s">
        <v>4</v>
      </c>
      <c r="D456" s="158" t="s">
        <v>412</v>
      </c>
      <c r="E456" s="160"/>
      <c r="F456" s="160"/>
      <c r="G456" s="162" t="str">
        <f>IF(stdProdLT(Main[[#This Row],[Comments]])=0.1,"N/A",IF(stdProdLT(Main[[#This Row],[Comments]])=0,"",stdProdLT(Main[[#This Row],[Comments]])))</f>
        <v/>
      </c>
      <c r="H456" s="164" t="str">
        <f>IF(AND(Main[[#This Row],[In Stock Date]]&lt;&gt;"",Main[[#This Row],[Revised Due Date]]&lt;&gt;""),Main[[#This Row],[In Stock Date]]-Main[[#This Row],[Revised Due Date]],"")</f>
        <v/>
      </c>
      <c r="I456" s="157" t="s">
        <v>306</v>
      </c>
      <c r="J456" s="157" t="s">
        <v>75</v>
      </c>
      <c r="K456" s="157" t="s">
        <v>1926</v>
      </c>
      <c r="L456" s="160"/>
      <c r="M456" s="167" t="str">
        <f>IF(Main[[#This Row],[Tech Start Date]]&lt;1/1/1990,"",IF(Main[[#This Row],[Class]]="C",WORKDAY(Main[[#This Row],[Tech Start Date]],9),IF(Main[[#This Row],[Class]]="B", WORKDAY(Main[[#This Row],[Tech Start Date]],6),IF(Main[[#This Row],[Class]]="A",WORKDAY(Main[[#This Row],[Tech Start Date]],2),""))))</f>
        <v/>
      </c>
      <c r="N456" s="167" t="str">
        <f>IF(Main[[#This Row],[Tech Start Date]]&lt;1/1/1990,"",IF(Main[[#This Row],[Class]]="C",WORKDAY(Main[[#This Row],[Tech Start Date]],19),IF(Main[[#This Row],[Class]]="B", WORKDAY(Main[[#This Row],[Tech Start Date]],12),IF(Main[[#This Row],[Class]]="A",WORKDAY(Main[[#This Row],[Tech Start Date]],4),""))))</f>
        <v/>
      </c>
      <c r="O456" s="167" t="str">
        <f>IF(Main[[#This Row],[Tech Start Date]]&lt;1/1/1990,"",IF(Main[[#This Row],[Class]]="C",WORKDAY(Main[[#This Row],[Tech Start Date]],23),IF(Main[[#This Row],[Class]]="B", WORKDAY(Main[[#This Row],[Tech Start Date]],15),IF(Main[[#This Row],[Class]]="A",WORKDAY(Main[[#This Row],[Tech Start Date]],5),""))))</f>
        <v/>
      </c>
      <c r="P456" s="167" t="str">
        <f>IF(Main[[#This Row],[Tech Start Date]]&lt;1/1/1990,"",IF(Main[[#This Row],[Class]]="C",WORKDAY(Main[[#This Row],[Tech Start Date]],28),IF(Main[[#This Row],[Class]]="B", WORKDAY(Main[[#This Row],[Tech Start Date]],19),IF(Main[[#This Row],[Class]]="A",WORKDAY(Main[[#This Row],[Tech Start Date]],9),""))))</f>
        <v/>
      </c>
      <c r="Q456" s="160">
        <v>40655</v>
      </c>
      <c r="R456" s="160"/>
      <c r="S456" s="157" t="s">
        <v>6</v>
      </c>
      <c r="T456" s="171" t="s">
        <v>4</v>
      </c>
      <c r="U456" s="157" t="s">
        <v>14</v>
      </c>
      <c r="V456" s="157" t="s">
        <v>1920</v>
      </c>
      <c r="W456" s="157" t="s">
        <v>1919</v>
      </c>
      <c r="X456" s="157" t="s">
        <v>2825</v>
      </c>
      <c r="Y456" s="157" t="s">
        <v>2938</v>
      </c>
      <c r="Z456" s="157" t="s">
        <v>44</v>
      </c>
      <c r="AA456" s="153" t="s">
        <v>2825</v>
      </c>
    </row>
    <row r="457" spans="1:27" ht="18.600000000000001" customHeight="1">
      <c r="A457" s="155" t="str">
        <f>IF(priority(Main[[#This Row],[Comments]])&lt;&gt;0, priority(Main[[#This Row],[Comments]]),"")</f>
        <v/>
      </c>
      <c r="B457" s="156" t="s">
        <v>1297</v>
      </c>
      <c r="C457" s="157" t="s">
        <v>211</v>
      </c>
      <c r="D457" s="158" t="s">
        <v>413</v>
      </c>
      <c r="E457" s="160"/>
      <c r="F457" s="160">
        <v>40452</v>
      </c>
      <c r="G457" s="162" t="str">
        <f>IF(stdProdLT(Main[[#This Row],[Comments]])=0.1,"N/A",IF(stdProdLT(Main[[#This Row],[Comments]])=0,"",stdProdLT(Main[[#This Row],[Comments]])))</f>
        <v/>
      </c>
      <c r="H457" s="164" t="str">
        <f>IF(AND(Main[[#This Row],[In Stock Date]]&lt;&gt;"",Main[[#This Row],[Revised Due Date]]&lt;&gt;""),Main[[#This Row],[In Stock Date]]-Main[[#This Row],[Revised Due Date]],"")</f>
        <v/>
      </c>
      <c r="I457" s="157" t="s">
        <v>4</v>
      </c>
      <c r="J457" s="157" t="s">
        <v>4</v>
      </c>
      <c r="K457" s="157" t="s">
        <v>4</v>
      </c>
      <c r="L457" s="160"/>
      <c r="M457" s="167" t="str">
        <f>IF(Main[[#This Row],[Tech Start Date]]&lt;1/1/1990,"",IF(Main[[#This Row],[Class]]="C",WORKDAY(Main[[#This Row],[Tech Start Date]],9),IF(Main[[#This Row],[Class]]="B", WORKDAY(Main[[#This Row],[Tech Start Date]],6),IF(Main[[#This Row],[Class]]="A",WORKDAY(Main[[#This Row],[Tech Start Date]],2),""))))</f>
        <v/>
      </c>
      <c r="N457" s="167" t="str">
        <f>IF(Main[[#This Row],[Tech Start Date]]&lt;1/1/1990,"",IF(Main[[#This Row],[Class]]="C",WORKDAY(Main[[#This Row],[Tech Start Date]],19),IF(Main[[#This Row],[Class]]="B", WORKDAY(Main[[#This Row],[Tech Start Date]],12),IF(Main[[#This Row],[Class]]="A",WORKDAY(Main[[#This Row],[Tech Start Date]],4),""))))</f>
        <v/>
      </c>
      <c r="O457" s="167" t="str">
        <f>IF(Main[[#This Row],[Tech Start Date]]&lt;1/1/1990,"",IF(Main[[#This Row],[Class]]="C",WORKDAY(Main[[#This Row],[Tech Start Date]],23),IF(Main[[#This Row],[Class]]="B", WORKDAY(Main[[#This Row],[Tech Start Date]],15),IF(Main[[#This Row],[Class]]="A",WORKDAY(Main[[#This Row],[Tech Start Date]],5),""))))</f>
        <v/>
      </c>
      <c r="P457" s="167" t="str">
        <f>IF(Main[[#This Row],[Tech Start Date]]&lt;1/1/1990,"",IF(Main[[#This Row],[Class]]="C",WORKDAY(Main[[#This Row],[Tech Start Date]],28),IF(Main[[#This Row],[Class]]="B", WORKDAY(Main[[#This Row],[Tech Start Date]],19),IF(Main[[#This Row],[Class]]="A",WORKDAY(Main[[#This Row],[Tech Start Date]],9),""))))</f>
        <v/>
      </c>
      <c r="Q457" s="160">
        <v>40357</v>
      </c>
      <c r="R457" s="160"/>
      <c r="S457" s="157" t="s">
        <v>11</v>
      </c>
      <c r="T457" s="171" t="s">
        <v>4</v>
      </c>
      <c r="U457" s="157" t="s">
        <v>12</v>
      </c>
      <c r="V457" s="157" t="s">
        <v>1917</v>
      </c>
      <c r="W457" s="157" t="s">
        <v>1925</v>
      </c>
      <c r="X457" s="157" t="s">
        <v>2839</v>
      </c>
      <c r="Y457" s="157" t="s">
        <v>4</v>
      </c>
      <c r="Z457" s="157" t="s">
        <v>4</v>
      </c>
      <c r="AA457" s="153" t="s">
        <v>2839</v>
      </c>
    </row>
    <row r="458" spans="1:27" ht="18.600000000000001" customHeight="1">
      <c r="A458" s="155" t="str">
        <f>IF(priority(Main[[#This Row],[Comments]])&lt;&gt;0, priority(Main[[#This Row],[Comments]]),"")</f>
        <v/>
      </c>
      <c r="B458" s="156" t="s">
        <v>1336</v>
      </c>
      <c r="C458" s="157" t="s">
        <v>4</v>
      </c>
      <c r="D458" s="158" t="s">
        <v>414</v>
      </c>
      <c r="E458" s="160"/>
      <c r="F458" s="160">
        <v>40633</v>
      </c>
      <c r="G458" s="162" t="str">
        <f>IF(stdProdLT(Main[[#This Row],[Comments]])=0.1,"N/A",IF(stdProdLT(Main[[#This Row],[Comments]])=0,"",stdProdLT(Main[[#This Row],[Comments]])))</f>
        <v/>
      </c>
      <c r="H458" s="164" t="str">
        <f>IF(AND(Main[[#This Row],[In Stock Date]]&lt;&gt;"",Main[[#This Row],[Revised Due Date]]&lt;&gt;""),Main[[#This Row],[In Stock Date]]-Main[[#This Row],[Revised Due Date]],"")</f>
        <v/>
      </c>
      <c r="I458" s="157" t="s">
        <v>415</v>
      </c>
      <c r="J458" s="157" t="s">
        <v>28</v>
      </c>
      <c r="K458" s="157" t="s">
        <v>1926</v>
      </c>
      <c r="L458" s="160"/>
      <c r="M458" s="167" t="str">
        <f>IF(Main[[#This Row],[Tech Start Date]]&lt;1/1/1990,"",IF(Main[[#This Row],[Class]]="C",WORKDAY(Main[[#This Row],[Tech Start Date]],9),IF(Main[[#This Row],[Class]]="B", WORKDAY(Main[[#This Row],[Tech Start Date]],6),IF(Main[[#This Row],[Class]]="A",WORKDAY(Main[[#This Row],[Tech Start Date]],2),""))))</f>
        <v/>
      </c>
      <c r="N458" s="167" t="str">
        <f>IF(Main[[#This Row],[Tech Start Date]]&lt;1/1/1990,"",IF(Main[[#This Row],[Class]]="C",WORKDAY(Main[[#This Row],[Tech Start Date]],19),IF(Main[[#This Row],[Class]]="B", WORKDAY(Main[[#This Row],[Tech Start Date]],12),IF(Main[[#This Row],[Class]]="A",WORKDAY(Main[[#This Row],[Tech Start Date]],4),""))))</f>
        <v/>
      </c>
      <c r="O458" s="167" t="str">
        <f>IF(Main[[#This Row],[Tech Start Date]]&lt;1/1/1990,"",IF(Main[[#This Row],[Class]]="C",WORKDAY(Main[[#This Row],[Tech Start Date]],23),IF(Main[[#This Row],[Class]]="B", WORKDAY(Main[[#This Row],[Tech Start Date]],15),IF(Main[[#This Row],[Class]]="A",WORKDAY(Main[[#This Row],[Tech Start Date]],5),""))))</f>
        <v/>
      </c>
      <c r="P458" s="167" t="str">
        <f>IF(Main[[#This Row],[Tech Start Date]]&lt;1/1/1990,"",IF(Main[[#This Row],[Class]]="C",WORKDAY(Main[[#This Row],[Tech Start Date]],28),IF(Main[[#This Row],[Class]]="B", WORKDAY(Main[[#This Row],[Tech Start Date]],19),IF(Main[[#This Row],[Class]]="A",WORKDAY(Main[[#This Row],[Tech Start Date]],9),""))))</f>
        <v/>
      </c>
      <c r="Q458" s="160">
        <v>40633</v>
      </c>
      <c r="R458" s="169"/>
      <c r="S458" s="157" t="s">
        <v>6</v>
      </c>
      <c r="T458" s="171" t="s">
        <v>4</v>
      </c>
      <c r="U458" s="157" t="s">
        <v>14</v>
      </c>
      <c r="V458" s="157" t="s">
        <v>1920</v>
      </c>
      <c r="W458" s="157" t="s">
        <v>1919</v>
      </c>
      <c r="X458" s="157" t="s">
        <v>2825</v>
      </c>
      <c r="Y458" s="157" t="s">
        <v>2938</v>
      </c>
      <c r="Z458" s="157" t="s">
        <v>30</v>
      </c>
      <c r="AA458" s="153" t="s">
        <v>2825</v>
      </c>
    </row>
    <row r="459" spans="1:27" ht="18.600000000000001" customHeight="1">
      <c r="A459" s="155" t="str">
        <f>IF(priority(Main[[#This Row],[Comments]])&lt;&gt;0, priority(Main[[#This Row],[Comments]]),"")</f>
        <v/>
      </c>
      <c r="B459" s="156" t="s">
        <v>1837</v>
      </c>
      <c r="C459" s="157" t="s">
        <v>4</v>
      </c>
      <c r="D459" s="158" t="s">
        <v>890</v>
      </c>
      <c r="E459" s="160">
        <v>40365.442546296297</v>
      </c>
      <c r="F459" s="160"/>
      <c r="G459" s="162" t="str">
        <f>IF(stdProdLT(Main[[#This Row],[Comments]])=0.1,"N/A",IF(stdProdLT(Main[[#This Row],[Comments]])=0,"",stdProdLT(Main[[#This Row],[Comments]])))</f>
        <v/>
      </c>
      <c r="H459" s="164" t="str">
        <f>IF(AND(Main[[#This Row],[In Stock Date]]&lt;&gt;"",Main[[#This Row],[Revised Due Date]]&lt;&gt;""),Main[[#This Row],[In Stock Date]]-Main[[#This Row],[Revised Due Date]],"")</f>
        <v/>
      </c>
      <c r="I459" s="157" t="s">
        <v>891</v>
      </c>
      <c r="J459" s="157" t="s">
        <v>28</v>
      </c>
      <c r="K459" s="157" t="s">
        <v>1929</v>
      </c>
      <c r="L459" s="160"/>
      <c r="M459" s="167" t="str">
        <f>IF(Main[[#This Row],[Tech Start Date]]&lt;1/1/1990,"",IF(Main[[#This Row],[Class]]="C",WORKDAY(Main[[#This Row],[Tech Start Date]],9),IF(Main[[#This Row],[Class]]="B", WORKDAY(Main[[#This Row],[Tech Start Date]],6),IF(Main[[#This Row],[Class]]="A",WORKDAY(Main[[#This Row],[Tech Start Date]],2),""))))</f>
        <v/>
      </c>
      <c r="N459" s="167" t="str">
        <f>IF(Main[[#This Row],[Tech Start Date]]&lt;1/1/1990,"",IF(Main[[#This Row],[Class]]="C",WORKDAY(Main[[#This Row],[Tech Start Date]],19),IF(Main[[#This Row],[Class]]="B", WORKDAY(Main[[#This Row],[Tech Start Date]],12),IF(Main[[#This Row],[Class]]="A",WORKDAY(Main[[#This Row],[Tech Start Date]],4),""))))</f>
        <v/>
      </c>
      <c r="O459" s="167" t="str">
        <f>IF(Main[[#This Row],[Tech Start Date]]&lt;1/1/1990,"",IF(Main[[#This Row],[Class]]="C",WORKDAY(Main[[#This Row],[Tech Start Date]],23),IF(Main[[#This Row],[Class]]="B", WORKDAY(Main[[#This Row],[Tech Start Date]],15),IF(Main[[#This Row],[Class]]="A",WORKDAY(Main[[#This Row],[Tech Start Date]],5),""))))</f>
        <v/>
      </c>
      <c r="P459" s="167" t="str">
        <f>IF(Main[[#This Row],[Tech Start Date]]&lt;1/1/1990,"",IF(Main[[#This Row],[Class]]="C",WORKDAY(Main[[#This Row],[Tech Start Date]],28),IF(Main[[#This Row],[Class]]="B", WORKDAY(Main[[#This Row],[Tech Start Date]],19),IF(Main[[#This Row],[Class]]="A",WORKDAY(Main[[#This Row],[Tech Start Date]],9),""))))</f>
        <v/>
      </c>
      <c r="Q459" s="160">
        <v>40420</v>
      </c>
      <c r="R459" s="160">
        <v>40420</v>
      </c>
      <c r="S459" s="157" t="s">
        <v>318</v>
      </c>
      <c r="T459" s="171" t="s">
        <v>4</v>
      </c>
      <c r="U459" s="157" t="s">
        <v>29</v>
      </c>
      <c r="V459" s="157" t="s">
        <v>1917</v>
      </c>
      <c r="W459" s="157" t="s">
        <v>1921</v>
      </c>
      <c r="X459" s="157" t="s">
        <v>129</v>
      </c>
      <c r="Y459" s="157" t="s">
        <v>2939</v>
      </c>
      <c r="Z459" s="157" t="s">
        <v>129</v>
      </c>
      <c r="AA459" s="153" t="s">
        <v>129</v>
      </c>
    </row>
    <row r="460" spans="1:27" ht="18.600000000000001" customHeight="1">
      <c r="A460" s="155" t="str">
        <f>IF(priority(Main[[#This Row],[Comments]])&lt;&gt;0, priority(Main[[#This Row],[Comments]]),"")</f>
        <v/>
      </c>
      <c r="B460" s="156" t="s">
        <v>1337</v>
      </c>
      <c r="C460" s="157" t="s">
        <v>31</v>
      </c>
      <c r="D460" s="158" t="s">
        <v>416</v>
      </c>
      <c r="E460" s="160"/>
      <c r="F460" s="160">
        <v>40330</v>
      </c>
      <c r="G460" s="162" t="str">
        <f>IF(stdProdLT(Main[[#This Row],[Comments]])=0.1,"N/A",IF(stdProdLT(Main[[#This Row],[Comments]])=0,"",stdProdLT(Main[[#This Row],[Comments]])))</f>
        <v/>
      </c>
      <c r="H460" s="164" t="str">
        <f>IF(AND(Main[[#This Row],[In Stock Date]]&lt;&gt;"",Main[[#This Row],[Revised Due Date]]&lt;&gt;""),Main[[#This Row],[In Stock Date]]-Main[[#This Row],[Revised Due Date]],"")</f>
        <v/>
      </c>
      <c r="I460" s="157" t="s">
        <v>417</v>
      </c>
      <c r="J460" s="157" t="s">
        <v>4</v>
      </c>
      <c r="K460" s="157" t="s">
        <v>4</v>
      </c>
      <c r="L460" s="160"/>
      <c r="M460" s="167" t="str">
        <f>IF(Main[[#This Row],[Tech Start Date]]&lt;1/1/1990,"",IF(Main[[#This Row],[Class]]="C",WORKDAY(Main[[#This Row],[Tech Start Date]],9),IF(Main[[#This Row],[Class]]="B", WORKDAY(Main[[#This Row],[Tech Start Date]],6),IF(Main[[#This Row],[Class]]="A",WORKDAY(Main[[#This Row],[Tech Start Date]],2),""))))</f>
        <v/>
      </c>
      <c r="N460" s="167" t="str">
        <f>IF(Main[[#This Row],[Tech Start Date]]&lt;1/1/1990,"",IF(Main[[#This Row],[Class]]="C",WORKDAY(Main[[#This Row],[Tech Start Date]],19),IF(Main[[#This Row],[Class]]="B", WORKDAY(Main[[#This Row],[Tech Start Date]],12),IF(Main[[#This Row],[Class]]="A",WORKDAY(Main[[#This Row],[Tech Start Date]],4),""))))</f>
        <v/>
      </c>
      <c r="O460" s="167" t="str">
        <f>IF(Main[[#This Row],[Tech Start Date]]&lt;1/1/1990,"",IF(Main[[#This Row],[Class]]="C",WORKDAY(Main[[#This Row],[Tech Start Date]],23),IF(Main[[#This Row],[Class]]="B", WORKDAY(Main[[#This Row],[Tech Start Date]],15),IF(Main[[#This Row],[Class]]="A",WORKDAY(Main[[#This Row],[Tech Start Date]],5),""))))</f>
        <v/>
      </c>
      <c r="P460" s="167" t="str">
        <f>IF(Main[[#This Row],[Tech Start Date]]&lt;1/1/1990,"",IF(Main[[#This Row],[Class]]="C",WORKDAY(Main[[#This Row],[Tech Start Date]],28),IF(Main[[#This Row],[Class]]="B", WORKDAY(Main[[#This Row],[Tech Start Date]],19),IF(Main[[#This Row],[Class]]="A",WORKDAY(Main[[#This Row],[Tech Start Date]],9),""))))</f>
        <v/>
      </c>
      <c r="Q460" s="160">
        <v>40210</v>
      </c>
      <c r="R460" s="160"/>
      <c r="S460" s="157" t="s">
        <v>11</v>
      </c>
      <c r="T460" s="171" t="s">
        <v>4</v>
      </c>
      <c r="U460" s="157" t="s">
        <v>14</v>
      </c>
      <c r="V460" s="157" t="s">
        <v>1920</v>
      </c>
      <c r="W460" s="157" t="s">
        <v>1923</v>
      </c>
      <c r="X460" s="157" t="s">
        <v>2830</v>
      </c>
      <c r="Y460" s="157" t="s">
        <v>2949</v>
      </c>
      <c r="Z460" s="157" t="s">
        <v>4</v>
      </c>
      <c r="AA460" s="153" t="s">
        <v>2830</v>
      </c>
    </row>
    <row r="461" spans="1:27" ht="18.600000000000001" customHeight="1">
      <c r="A461" s="155" t="str">
        <f>IF(priority(Main[[#This Row],[Comments]])&lt;&gt;0, priority(Main[[#This Row],[Comments]]),"")</f>
        <v/>
      </c>
      <c r="B461" s="156" t="s">
        <v>1338</v>
      </c>
      <c r="C461" s="157" t="s">
        <v>4</v>
      </c>
      <c r="D461" s="158" t="s">
        <v>418</v>
      </c>
      <c r="E461" s="160">
        <v>40305.512083333335</v>
      </c>
      <c r="F461" s="160"/>
      <c r="G461" s="162" t="str">
        <f>IF(stdProdLT(Main[[#This Row],[Comments]])=0.1,"N/A",IF(stdProdLT(Main[[#This Row],[Comments]])=0,"",stdProdLT(Main[[#This Row],[Comments]])))</f>
        <v/>
      </c>
      <c r="H461" s="164" t="str">
        <f>IF(AND(Main[[#This Row],[In Stock Date]]&lt;&gt;"",Main[[#This Row],[Revised Due Date]]&lt;&gt;""),Main[[#This Row],[In Stock Date]]-Main[[#This Row],[Revised Due Date]],"")</f>
        <v/>
      </c>
      <c r="I461" s="157" t="s">
        <v>4</v>
      </c>
      <c r="J461" s="157" t="s">
        <v>4</v>
      </c>
      <c r="K461" s="157" t="s">
        <v>4</v>
      </c>
      <c r="L461" s="160"/>
      <c r="M461" s="167" t="str">
        <f>IF(Main[[#This Row],[Tech Start Date]]&lt;1/1/1990,"",IF(Main[[#This Row],[Class]]="C",WORKDAY(Main[[#This Row],[Tech Start Date]],9),IF(Main[[#This Row],[Class]]="B", WORKDAY(Main[[#This Row],[Tech Start Date]],6),IF(Main[[#This Row],[Class]]="A",WORKDAY(Main[[#This Row],[Tech Start Date]],2),""))))</f>
        <v/>
      </c>
      <c r="N461" s="167" t="str">
        <f>IF(Main[[#This Row],[Tech Start Date]]&lt;1/1/1990,"",IF(Main[[#This Row],[Class]]="C",WORKDAY(Main[[#This Row],[Tech Start Date]],19),IF(Main[[#This Row],[Class]]="B", WORKDAY(Main[[#This Row],[Tech Start Date]],12),IF(Main[[#This Row],[Class]]="A",WORKDAY(Main[[#This Row],[Tech Start Date]],4),""))))</f>
        <v/>
      </c>
      <c r="O461" s="167" t="str">
        <f>IF(Main[[#This Row],[Tech Start Date]]&lt;1/1/1990,"",IF(Main[[#This Row],[Class]]="C",WORKDAY(Main[[#This Row],[Tech Start Date]],23),IF(Main[[#This Row],[Class]]="B", WORKDAY(Main[[#This Row],[Tech Start Date]],15),IF(Main[[#This Row],[Class]]="A",WORKDAY(Main[[#This Row],[Tech Start Date]],5),""))))</f>
        <v/>
      </c>
      <c r="P461" s="167" t="str">
        <f>IF(Main[[#This Row],[Tech Start Date]]&lt;1/1/1990,"",IF(Main[[#This Row],[Class]]="C",WORKDAY(Main[[#This Row],[Tech Start Date]],28),IF(Main[[#This Row],[Class]]="B", WORKDAY(Main[[#This Row],[Tech Start Date]],19),IF(Main[[#This Row],[Class]]="A",WORKDAY(Main[[#This Row],[Tech Start Date]],9),""))))</f>
        <v/>
      </c>
      <c r="Q461" s="160">
        <v>40312</v>
      </c>
      <c r="R461" s="160"/>
      <c r="S461" s="157" t="s">
        <v>6</v>
      </c>
      <c r="T461" s="171" t="s">
        <v>4</v>
      </c>
      <c r="U461" s="157" t="s">
        <v>7</v>
      </c>
      <c r="V461" s="157" t="s">
        <v>1917</v>
      </c>
      <c r="W461" s="157" t="s">
        <v>4</v>
      </c>
      <c r="X461" s="157" t="s">
        <v>102</v>
      </c>
      <c r="Y461" s="157" t="s">
        <v>3017</v>
      </c>
      <c r="Z461" s="157" t="s">
        <v>4</v>
      </c>
      <c r="AA461" s="153" t="s">
        <v>3420</v>
      </c>
    </row>
    <row r="462" spans="1:27" ht="18.600000000000001" customHeight="1">
      <c r="A462" s="155" t="str">
        <f>IF(priority(Main[[#This Row],[Comments]])&lt;&gt;0, priority(Main[[#This Row],[Comments]]),"")</f>
        <v/>
      </c>
      <c r="B462" s="156" t="s">
        <v>1299</v>
      </c>
      <c r="C462" s="157" t="s">
        <v>31</v>
      </c>
      <c r="D462" s="158" t="s">
        <v>371</v>
      </c>
      <c r="E462" s="160"/>
      <c r="F462" s="160"/>
      <c r="G462" s="162" t="str">
        <f>IF(stdProdLT(Main[[#This Row],[Comments]])=0.1,"N/A",IF(stdProdLT(Main[[#This Row],[Comments]])=0,"",stdProdLT(Main[[#This Row],[Comments]])))</f>
        <v/>
      </c>
      <c r="H462" s="164" t="str">
        <f>IF(AND(Main[[#This Row],[In Stock Date]]&lt;&gt;"",Main[[#This Row],[Revised Due Date]]&lt;&gt;""),Main[[#This Row],[In Stock Date]]-Main[[#This Row],[Revised Due Date]],"")</f>
        <v/>
      </c>
      <c r="I462" s="157" t="s">
        <v>4</v>
      </c>
      <c r="J462" s="157" t="s">
        <v>4</v>
      </c>
      <c r="K462" s="157" t="s">
        <v>4</v>
      </c>
      <c r="L462" s="160"/>
      <c r="M462" s="167" t="str">
        <f>IF(Main[[#This Row],[Tech Start Date]]&lt;1/1/1990,"",IF(Main[[#This Row],[Class]]="C",WORKDAY(Main[[#This Row],[Tech Start Date]],9),IF(Main[[#This Row],[Class]]="B", WORKDAY(Main[[#This Row],[Tech Start Date]],6),IF(Main[[#This Row],[Class]]="A",WORKDAY(Main[[#This Row],[Tech Start Date]],2),""))))</f>
        <v/>
      </c>
      <c r="N462" s="167" t="str">
        <f>IF(Main[[#This Row],[Tech Start Date]]&lt;1/1/1990,"",IF(Main[[#This Row],[Class]]="C",WORKDAY(Main[[#This Row],[Tech Start Date]],19),IF(Main[[#This Row],[Class]]="B", WORKDAY(Main[[#This Row],[Tech Start Date]],12),IF(Main[[#This Row],[Class]]="A",WORKDAY(Main[[#This Row],[Tech Start Date]],4),""))))</f>
        <v/>
      </c>
      <c r="O462" s="167" t="str">
        <f>IF(Main[[#This Row],[Tech Start Date]]&lt;1/1/1990,"",IF(Main[[#This Row],[Class]]="C",WORKDAY(Main[[#This Row],[Tech Start Date]],23),IF(Main[[#This Row],[Class]]="B", WORKDAY(Main[[#This Row],[Tech Start Date]],15),IF(Main[[#This Row],[Class]]="A",WORKDAY(Main[[#This Row],[Tech Start Date]],5),""))))</f>
        <v/>
      </c>
      <c r="P462" s="167" t="str">
        <f>IF(Main[[#This Row],[Tech Start Date]]&lt;1/1/1990,"",IF(Main[[#This Row],[Class]]="C",WORKDAY(Main[[#This Row],[Tech Start Date]],28),IF(Main[[#This Row],[Class]]="B", WORKDAY(Main[[#This Row],[Tech Start Date]],19),IF(Main[[#This Row],[Class]]="A",WORKDAY(Main[[#This Row],[Tech Start Date]],9),""))))</f>
        <v/>
      </c>
      <c r="Q462" s="160">
        <v>40318</v>
      </c>
      <c r="R462" s="160"/>
      <c r="S462" s="157" t="s">
        <v>11</v>
      </c>
      <c r="T462" s="171" t="s">
        <v>4</v>
      </c>
      <c r="U462" s="157" t="s">
        <v>14</v>
      </c>
      <c r="V462" s="157" t="s">
        <v>1920</v>
      </c>
      <c r="W462" s="157" t="s">
        <v>1919</v>
      </c>
      <c r="X462" s="157" t="s">
        <v>2836</v>
      </c>
      <c r="Y462" s="157" t="s">
        <v>4</v>
      </c>
      <c r="Z462" s="157" t="s">
        <v>4</v>
      </c>
      <c r="AA462" s="153" t="s">
        <v>2836</v>
      </c>
    </row>
    <row r="463" spans="1:27" ht="18.600000000000001" customHeight="1">
      <c r="A463" s="155" t="str">
        <f>IF(priority(Main[[#This Row],[Comments]])&lt;&gt;0, priority(Main[[#This Row],[Comments]]),"")</f>
        <v/>
      </c>
      <c r="B463" s="156" t="s">
        <v>1300</v>
      </c>
      <c r="C463" s="157" t="s">
        <v>4</v>
      </c>
      <c r="D463" s="158" t="s">
        <v>372</v>
      </c>
      <c r="E463" s="160">
        <v>40679.255486111113</v>
      </c>
      <c r="F463" s="160"/>
      <c r="G463" s="162" t="str">
        <f>IF(stdProdLT(Main[[#This Row],[Comments]])=0.1,"N/A",IF(stdProdLT(Main[[#This Row],[Comments]])=0,"",stdProdLT(Main[[#This Row],[Comments]])))</f>
        <v/>
      </c>
      <c r="H463" s="164" t="str">
        <f>IF(AND(Main[[#This Row],[In Stock Date]]&lt;&gt;"",Main[[#This Row],[Revised Due Date]]&lt;&gt;""),Main[[#This Row],[In Stock Date]]-Main[[#This Row],[Revised Due Date]],"")</f>
        <v/>
      </c>
      <c r="I463" s="157" t="s">
        <v>4</v>
      </c>
      <c r="J463" s="157" t="s">
        <v>4</v>
      </c>
      <c r="K463" s="157" t="s">
        <v>4</v>
      </c>
      <c r="L463" s="160"/>
      <c r="M463" s="167" t="str">
        <f>IF(Main[[#This Row],[Tech Start Date]]&lt;1/1/1990,"",IF(Main[[#This Row],[Class]]="C",WORKDAY(Main[[#This Row],[Tech Start Date]],9),IF(Main[[#This Row],[Class]]="B", WORKDAY(Main[[#This Row],[Tech Start Date]],6),IF(Main[[#This Row],[Class]]="A",WORKDAY(Main[[#This Row],[Tech Start Date]],2),""))))</f>
        <v/>
      </c>
      <c r="N463" s="167" t="str">
        <f>IF(Main[[#This Row],[Tech Start Date]]&lt;1/1/1990,"",IF(Main[[#This Row],[Class]]="C",WORKDAY(Main[[#This Row],[Tech Start Date]],19),IF(Main[[#This Row],[Class]]="B", WORKDAY(Main[[#This Row],[Tech Start Date]],12),IF(Main[[#This Row],[Class]]="A",WORKDAY(Main[[#This Row],[Tech Start Date]],4),""))))</f>
        <v/>
      </c>
      <c r="O463" s="167" t="str">
        <f>IF(Main[[#This Row],[Tech Start Date]]&lt;1/1/1990,"",IF(Main[[#This Row],[Class]]="C",WORKDAY(Main[[#This Row],[Tech Start Date]],23),IF(Main[[#This Row],[Class]]="B", WORKDAY(Main[[#This Row],[Tech Start Date]],15),IF(Main[[#This Row],[Class]]="A",WORKDAY(Main[[#This Row],[Tech Start Date]],5),""))))</f>
        <v/>
      </c>
      <c r="P463" s="167" t="str">
        <f>IF(Main[[#This Row],[Tech Start Date]]&lt;1/1/1990,"",IF(Main[[#This Row],[Class]]="C",WORKDAY(Main[[#This Row],[Tech Start Date]],28),IF(Main[[#This Row],[Class]]="B", WORKDAY(Main[[#This Row],[Tech Start Date]],19),IF(Main[[#This Row],[Class]]="A",WORKDAY(Main[[#This Row],[Tech Start Date]],9),""))))</f>
        <v/>
      </c>
      <c r="Q463" s="160">
        <v>40724</v>
      </c>
      <c r="R463" s="160"/>
      <c r="S463" s="157" t="s">
        <v>6</v>
      </c>
      <c r="T463" s="171" t="s">
        <v>4</v>
      </c>
      <c r="U463" s="157" t="s">
        <v>7</v>
      </c>
      <c r="V463" s="157" t="s">
        <v>1917</v>
      </c>
      <c r="W463" s="157" t="s">
        <v>4</v>
      </c>
      <c r="X463" s="157" t="s">
        <v>2828</v>
      </c>
      <c r="Y463" s="157" t="s">
        <v>2944</v>
      </c>
      <c r="Z463" s="157" t="s">
        <v>4</v>
      </c>
      <c r="AA463" s="153" t="s">
        <v>2828</v>
      </c>
    </row>
    <row r="464" spans="1:27" ht="18.600000000000001" customHeight="1">
      <c r="A464" s="155" t="str">
        <f>IF(priority(Main[[#This Row],[Comments]])&lt;&gt;0, priority(Main[[#This Row],[Comments]]),"")</f>
        <v/>
      </c>
      <c r="B464" s="156" t="s">
        <v>1301</v>
      </c>
      <c r="C464" s="157" t="s">
        <v>4</v>
      </c>
      <c r="D464" s="158" t="s">
        <v>373</v>
      </c>
      <c r="E464" s="160"/>
      <c r="F464" s="160"/>
      <c r="G464" s="162" t="str">
        <f>IF(stdProdLT(Main[[#This Row],[Comments]])=0.1,"N/A",IF(stdProdLT(Main[[#This Row],[Comments]])=0,"",stdProdLT(Main[[#This Row],[Comments]])))</f>
        <v/>
      </c>
      <c r="H464" s="164" t="str">
        <f>IF(AND(Main[[#This Row],[In Stock Date]]&lt;&gt;"",Main[[#This Row],[Revised Due Date]]&lt;&gt;""),Main[[#This Row],[In Stock Date]]-Main[[#This Row],[Revised Due Date]],"")</f>
        <v/>
      </c>
      <c r="I464" s="157" t="s">
        <v>4</v>
      </c>
      <c r="J464" s="157" t="s">
        <v>4</v>
      </c>
      <c r="K464" s="157" t="s">
        <v>4</v>
      </c>
      <c r="L464" s="160"/>
      <c r="M464" s="167" t="str">
        <f>IF(Main[[#This Row],[Tech Start Date]]&lt;1/1/1990,"",IF(Main[[#This Row],[Class]]="C",WORKDAY(Main[[#This Row],[Tech Start Date]],9),IF(Main[[#This Row],[Class]]="B", WORKDAY(Main[[#This Row],[Tech Start Date]],6),IF(Main[[#This Row],[Class]]="A",WORKDAY(Main[[#This Row],[Tech Start Date]],2),""))))</f>
        <v/>
      </c>
      <c r="N464" s="167" t="str">
        <f>IF(Main[[#This Row],[Tech Start Date]]&lt;1/1/1990,"",IF(Main[[#This Row],[Class]]="C",WORKDAY(Main[[#This Row],[Tech Start Date]],19),IF(Main[[#This Row],[Class]]="B", WORKDAY(Main[[#This Row],[Tech Start Date]],12),IF(Main[[#This Row],[Class]]="A",WORKDAY(Main[[#This Row],[Tech Start Date]],4),""))))</f>
        <v/>
      </c>
      <c r="O464" s="167" t="str">
        <f>IF(Main[[#This Row],[Tech Start Date]]&lt;1/1/1990,"",IF(Main[[#This Row],[Class]]="C",WORKDAY(Main[[#This Row],[Tech Start Date]],23),IF(Main[[#This Row],[Class]]="B", WORKDAY(Main[[#This Row],[Tech Start Date]],15),IF(Main[[#This Row],[Class]]="A",WORKDAY(Main[[#This Row],[Tech Start Date]],5),""))))</f>
        <v/>
      </c>
      <c r="P464" s="167" t="str">
        <f>IF(Main[[#This Row],[Tech Start Date]]&lt;1/1/1990,"",IF(Main[[#This Row],[Class]]="C",WORKDAY(Main[[#This Row],[Tech Start Date]],28),IF(Main[[#This Row],[Class]]="B", WORKDAY(Main[[#This Row],[Tech Start Date]],19),IF(Main[[#This Row],[Class]]="A",WORKDAY(Main[[#This Row],[Tech Start Date]],9),""))))</f>
        <v/>
      </c>
      <c r="Q464" s="160"/>
      <c r="R464" s="160"/>
      <c r="S464" s="157" t="s">
        <v>11</v>
      </c>
      <c r="T464" s="171" t="s">
        <v>4</v>
      </c>
      <c r="U464" s="157" t="s">
        <v>14</v>
      </c>
      <c r="V464" s="157" t="s">
        <v>1920</v>
      </c>
      <c r="W464" s="157" t="s">
        <v>1928</v>
      </c>
      <c r="X464" s="157" t="s">
        <v>306</v>
      </c>
      <c r="Y464" s="157" t="s">
        <v>4</v>
      </c>
      <c r="Z464" s="157" t="s">
        <v>4</v>
      </c>
      <c r="AA464" s="153" t="s">
        <v>3408</v>
      </c>
    </row>
    <row r="465" spans="1:27" ht="18.600000000000001" customHeight="1">
      <c r="A465" s="139" t="str">
        <f>IF(priority(Main[[#This Row],[Comments]])&lt;&gt;0, priority(Main[[#This Row],[Comments]]),"")</f>
        <v/>
      </c>
      <c r="B465" s="89" t="s">
        <v>1986</v>
      </c>
      <c r="C465" s="72" t="s">
        <v>4</v>
      </c>
      <c r="D465" s="73" t="s">
        <v>1987</v>
      </c>
      <c r="E465" s="74"/>
      <c r="F465" s="74"/>
      <c r="G465" s="75" t="str">
        <f>IF(stdProdLT(Main[[#This Row],[Comments]])=0.1,"N/A",IF(stdProdLT(Main[[#This Row],[Comments]])=0,"",stdProdLT(Main[[#This Row],[Comments]])))</f>
        <v/>
      </c>
      <c r="H465" s="76" t="str">
        <f>IF(AND(Main[[#This Row],[In Stock Date]]&lt;&gt;"",Main[[#This Row],[Revised Due Date]]&lt;&gt;""),Main[[#This Row],[In Stock Date]]-Main[[#This Row],[Revised Due Date]],"")</f>
        <v/>
      </c>
      <c r="I465" s="72" t="s">
        <v>4</v>
      </c>
      <c r="J465" s="72" t="s">
        <v>4</v>
      </c>
      <c r="K465" s="72" t="s">
        <v>4</v>
      </c>
      <c r="L465" s="74"/>
      <c r="M465" s="77" t="str">
        <f>IF(Main[[#This Row],[Tech Start Date]]&lt;1/1/1990,"",IF(Main[[#This Row],[Class]]="C",WORKDAY(Main[[#This Row],[Tech Start Date]],9),IF(Main[[#This Row],[Class]]="B", WORKDAY(Main[[#This Row],[Tech Start Date]],6),IF(Main[[#This Row],[Class]]="A",WORKDAY(Main[[#This Row],[Tech Start Date]],2),""))))</f>
        <v/>
      </c>
      <c r="N465" s="77" t="str">
        <f>IF(Main[[#This Row],[Tech Start Date]]&lt;1/1/1990,"",IF(Main[[#This Row],[Class]]="C",WORKDAY(Main[[#This Row],[Tech Start Date]],19),IF(Main[[#This Row],[Class]]="B", WORKDAY(Main[[#This Row],[Tech Start Date]],12),IF(Main[[#This Row],[Class]]="A",WORKDAY(Main[[#This Row],[Tech Start Date]],4),""))))</f>
        <v/>
      </c>
      <c r="O465" s="77" t="str">
        <f>IF(Main[[#This Row],[Tech Start Date]]&lt;1/1/1990,"",IF(Main[[#This Row],[Class]]="C",WORKDAY(Main[[#This Row],[Tech Start Date]],23),IF(Main[[#This Row],[Class]]="B", WORKDAY(Main[[#This Row],[Tech Start Date]],15),IF(Main[[#This Row],[Class]]="A",WORKDAY(Main[[#This Row],[Tech Start Date]],5),""))))</f>
        <v/>
      </c>
      <c r="P465" s="77" t="str">
        <f>IF(Main[[#This Row],[Tech Start Date]]&lt;1/1/1990,"",IF(Main[[#This Row],[Class]]="C",WORKDAY(Main[[#This Row],[Tech Start Date]],28),IF(Main[[#This Row],[Class]]="B", WORKDAY(Main[[#This Row],[Tech Start Date]],19),IF(Main[[#This Row],[Class]]="A",WORKDAY(Main[[#This Row],[Tech Start Date]],9),""))))</f>
        <v/>
      </c>
      <c r="Q465" s="74"/>
      <c r="R465" s="74"/>
      <c r="S465" s="72" t="s">
        <v>11</v>
      </c>
      <c r="T465" s="80" t="s">
        <v>4</v>
      </c>
      <c r="U465" s="72" t="s">
        <v>12</v>
      </c>
      <c r="V465" s="72" t="s">
        <v>1917</v>
      </c>
      <c r="W465" s="72" t="s">
        <v>1921</v>
      </c>
      <c r="X465" s="72" t="s">
        <v>939</v>
      </c>
      <c r="Y465" s="72" t="s">
        <v>2990</v>
      </c>
      <c r="Z465" s="72" t="s">
        <v>4</v>
      </c>
      <c r="AA465" s="146" t="s">
        <v>939</v>
      </c>
    </row>
    <row r="466" spans="1:27" ht="18.600000000000001" customHeight="1">
      <c r="A466" s="139" t="str">
        <f>IF(priority(Main[[#This Row],[Comments]])&lt;&gt;0, priority(Main[[#This Row],[Comments]]),"")</f>
        <v/>
      </c>
      <c r="B466" s="89" t="s">
        <v>1303</v>
      </c>
      <c r="C466" s="72" t="s">
        <v>4</v>
      </c>
      <c r="D466" s="73" t="s">
        <v>97</v>
      </c>
      <c r="E466" s="74"/>
      <c r="F466" s="74"/>
      <c r="G466" s="75" t="str">
        <f>IF(stdProdLT(Main[[#This Row],[Comments]])=0.1,"N/A",IF(stdProdLT(Main[[#This Row],[Comments]])=0,"",stdProdLT(Main[[#This Row],[Comments]])))</f>
        <v/>
      </c>
      <c r="H466" s="76" t="str">
        <f>IF(AND(Main[[#This Row],[In Stock Date]]&lt;&gt;"",Main[[#This Row],[Revised Due Date]]&lt;&gt;""),Main[[#This Row],[In Stock Date]]-Main[[#This Row],[Revised Due Date]],"")</f>
        <v/>
      </c>
      <c r="I466" s="72" t="s">
        <v>4</v>
      </c>
      <c r="J466" s="72" t="s">
        <v>4</v>
      </c>
      <c r="K466" s="72" t="s">
        <v>4</v>
      </c>
      <c r="L466" s="74"/>
      <c r="M466" s="77" t="str">
        <f>IF(Main[[#This Row],[Tech Start Date]]&lt;1/1/1990,"",IF(Main[[#This Row],[Class]]="C",WORKDAY(Main[[#This Row],[Tech Start Date]],9),IF(Main[[#This Row],[Class]]="B", WORKDAY(Main[[#This Row],[Tech Start Date]],6),IF(Main[[#This Row],[Class]]="A",WORKDAY(Main[[#This Row],[Tech Start Date]],2),""))))</f>
        <v/>
      </c>
      <c r="N466" s="77" t="str">
        <f>IF(Main[[#This Row],[Tech Start Date]]&lt;1/1/1990,"",IF(Main[[#This Row],[Class]]="C",WORKDAY(Main[[#This Row],[Tech Start Date]],19),IF(Main[[#This Row],[Class]]="B", WORKDAY(Main[[#This Row],[Tech Start Date]],12),IF(Main[[#This Row],[Class]]="A",WORKDAY(Main[[#This Row],[Tech Start Date]],4),""))))</f>
        <v/>
      </c>
      <c r="O466" s="77" t="str">
        <f>IF(Main[[#This Row],[Tech Start Date]]&lt;1/1/1990,"",IF(Main[[#This Row],[Class]]="C",WORKDAY(Main[[#This Row],[Tech Start Date]],23),IF(Main[[#This Row],[Class]]="B", WORKDAY(Main[[#This Row],[Tech Start Date]],15),IF(Main[[#This Row],[Class]]="A",WORKDAY(Main[[#This Row],[Tech Start Date]],5),""))))</f>
        <v/>
      </c>
      <c r="P466" s="77" t="str">
        <f>IF(Main[[#This Row],[Tech Start Date]]&lt;1/1/1990,"",IF(Main[[#This Row],[Class]]="C",WORKDAY(Main[[#This Row],[Tech Start Date]],28),IF(Main[[#This Row],[Class]]="B", WORKDAY(Main[[#This Row],[Tech Start Date]],19),IF(Main[[#This Row],[Class]]="A",WORKDAY(Main[[#This Row],[Tech Start Date]],9),""))))</f>
        <v/>
      </c>
      <c r="Q466" s="74">
        <v>40858</v>
      </c>
      <c r="R466" s="74"/>
      <c r="S466" s="72" t="s">
        <v>17</v>
      </c>
      <c r="T466" s="80" t="s">
        <v>4</v>
      </c>
      <c r="U466" s="72" t="s">
        <v>14</v>
      </c>
      <c r="V466" s="72" t="s">
        <v>1917</v>
      </c>
      <c r="W466" s="72" t="s">
        <v>1922</v>
      </c>
      <c r="X466" s="72" t="s">
        <v>50</v>
      </c>
      <c r="Y466" s="72" t="s">
        <v>2965</v>
      </c>
      <c r="Z466" s="72" t="s">
        <v>4</v>
      </c>
      <c r="AA466" s="146" t="s">
        <v>2834</v>
      </c>
    </row>
    <row r="467" spans="1:27" ht="18.600000000000001" customHeight="1">
      <c r="A467" s="139" t="str">
        <f>IF(priority(Main[[#This Row],[Comments]])&lt;&gt;0, priority(Main[[#This Row],[Comments]]),"")</f>
        <v/>
      </c>
      <c r="B467" s="89" t="s">
        <v>1304</v>
      </c>
      <c r="C467" s="72" t="s">
        <v>95</v>
      </c>
      <c r="D467" s="73" t="s">
        <v>375</v>
      </c>
      <c r="E467" s="74"/>
      <c r="F467" s="74">
        <v>40195</v>
      </c>
      <c r="G467" s="75" t="str">
        <f>IF(stdProdLT(Main[[#This Row],[Comments]])=0.1,"N/A",IF(stdProdLT(Main[[#This Row],[Comments]])=0,"",stdProdLT(Main[[#This Row],[Comments]])))</f>
        <v/>
      </c>
      <c r="H467" s="76" t="str">
        <f>IF(AND(Main[[#This Row],[In Stock Date]]&lt;&gt;"",Main[[#This Row],[Revised Due Date]]&lt;&gt;""),Main[[#This Row],[In Stock Date]]-Main[[#This Row],[Revised Due Date]],"")</f>
        <v/>
      </c>
      <c r="I467" s="72" t="s">
        <v>4</v>
      </c>
      <c r="J467" s="72" t="s">
        <v>4</v>
      </c>
      <c r="K467" s="72" t="s">
        <v>4</v>
      </c>
      <c r="L467" s="74"/>
      <c r="M467" s="77" t="str">
        <f>IF(Main[[#This Row],[Tech Start Date]]&lt;1/1/1990,"",IF(Main[[#This Row],[Class]]="C",WORKDAY(Main[[#This Row],[Tech Start Date]],9),IF(Main[[#This Row],[Class]]="B", WORKDAY(Main[[#This Row],[Tech Start Date]],6),IF(Main[[#This Row],[Class]]="A",WORKDAY(Main[[#This Row],[Tech Start Date]],2),""))))</f>
        <v/>
      </c>
      <c r="N467" s="77" t="str">
        <f>IF(Main[[#This Row],[Tech Start Date]]&lt;1/1/1990,"",IF(Main[[#This Row],[Class]]="C",WORKDAY(Main[[#This Row],[Tech Start Date]],19),IF(Main[[#This Row],[Class]]="B", WORKDAY(Main[[#This Row],[Tech Start Date]],12),IF(Main[[#This Row],[Class]]="A",WORKDAY(Main[[#This Row],[Tech Start Date]],4),""))))</f>
        <v/>
      </c>
      <c r="O467" s="77" t="str">
        <f>IF(Main[[#This Row],[Tech Start Date]]&lt;1/1/1990,"",IF(Main[[#This Row],[Class]]="C",WORKDAY(Main[[#This Row],[Tech Start Date]],23),IF(Main[[#This Row],[Class]]="B", WORKDAY(Main[[#This Row],[Tech Start Date]],15),IF(Main[[#This Row],[Class]]="A",WORKDAY(Main[[#This Row],[Tech Start Date]],5),""))))</f>
        <v/>
      </c>
      <c r="P467" s="77" t="str">
        <f>IF(Main[[#This Row],[Tech Start Date]]&lt;1/1/1990,"",IF(Main[[#This Row],[Class]]="C",WORKDAY(Main[[#This Row],[Tech Start Date]],28),IF(Main[[#This Row],[Class]]="B", WORKDAY(Main[[#This Row],[Tech Start Date]],19),IF(Main[[#This Row],[Class]]="A",WORKDAY(Main[[#This Row],[Tech Start Date]],9),""))))</f>
        <v/>
      </c>
      <c r="Q467" s="74">
        <v>40070</v>
      </c>
      <c r="R467" s="74"/>
      <c r="S467" s="72" t="s">
        <v>11</v>
      </c>
      <c r="T467" s="80" t="s">
        <v>4</v>
      </c>
      <c r="U467" s="72" t="s">
        <v>14</v>
      </c>
      <c r="V467" s="72" t="s">
        <v>1920</v>
      </c>
      <c r="W467" s="72" t="s">
        <v>1923</v>
      </c>
      <c r="X467" s="72" t="s">
        <v>2882</v>
      </c>
      <c r="Y467" s="72" t="s">
        <v>4</v>
      </c>
      <c r="Z467" s="72" t="s">
        <v>4</v>
      </c>
      <c r="AA467" s="146" t="s">
        <v>3418</v>
      </c>
    </row>
    <row r="468" spans="1:27" ht="18.600000000000001" customHeight="1">
      <c r="A468" s="139" t="str">
        <f>IF(priority(Main[[#This Row],[Comments]])&lt;&gt;0, priority(Main[[#This Row],[Comments]]),"")</f>
        <v/>
      </c>
      <c r="B468" s="89" t="s">
        <v>1829</v>
      </c>
      <c r="C468" s="72" t="s">
        <v>4</v>
      </c>
      <c r="D468" s="73" t="s">
        <v>880</v>
      </c>
      <c r="E468" s="74">
        <v>40122.528101851851</v>
      </c>
      <c r="F468" s="74"/>
      <c r="G468" s="75" t="str">
        <f>IF(stdProdLT(Main[[#This Row],[Comments]])=0.1,"N/A",IF(stdProdLT(Main[[#This Row],[Comments]])=0,"",stdProdLT(Main[[#This Row],[Comments]])))</f>
        <v/>
      </c>
      <c r="H468" s="76" t="str">
        <f>IF(AND(Main[[#This Row],[In Stock Date]]&lt;&gt;"",Main[[#This Row],[Revised Due Date]]&lt;&gt;""),Main[[#This Row],[In Stock Date]]-Main[[#This Row],[Revised Due Date]],"")</f>
        <v/>
      </c>
      <c r="I468" s="72" t="s">
        <v>4</v>
      </c>
      <c r="J468" s="72" t="s">
        <v>4</v>
      </c>
      <c r="K468" s="72" t="s">
        <v>4</v>
      </c>
      <c r="L468" s="74"/>
      <c r="M468" s="77" t="str">
        <f>IF(Main[[#This Row],[Tech Start Date]]&lt;1/1/1990,"",IF(Main[[#This Row],[Class]]="C",WORKDAY(Main[[#This Row],[Tech Start Date]],9),IF(Main[[#This Row],[Class]]="B", WORKDAY(Main[[#This Row],[Tech Start Date]],6),IF(Main[[#This Row],[Class]]="A",WORKDAY(Main[[#This Row],[Tech Start Date]],2),""))))</f>
        <v/>
      </c>
      <c r="N468" s="77" t="str">
        <f>IF(Main[[#This Row],[Tech Start Date]]&lt;1/1/1990,"",IF(Main[[#This Row],[Class]]="C",WORKDAY(Main[[#This Row],[Tech Start Date]],19),IF(Main[[#This Row],[Class]]="B", WORKDAY(Main[[#This Row],[Tech Start Date]],12),IF(Main[[#This Row],[Class]]="A",WORKDAY(Main[[#This Row],[Tech Start Date]],4),""))))</f>
        <v/>
      </c>
      <c r="O468" s="77" t="str">
        <f>IF(Main[[#This Row],[Tech Start Date]]&lt;1/1/1990,"",IF(Main[[#This Row],[Class]]="C",WORKDAY(Main[[#This Row],[Tech Start Date]],23),IF(Main[[#This Row],[Class]]="B", WORKDAY(Main[[#This Row],[Tech Start Date]],15),IF(Main[[#This Row],[Class]]="A",WORKDAY(Main[[#This Row],[Tech Start Date]],5),""))))</f>
        <v/>
      </c>
      <c r="P468" s="77" t="str">
        <f>IF(Main[[#This Row],[Tech Start Date]]&lt;1/1/1990,"",IF(Main[[#This Row],[Class]]="C",WORKDAY(Main[[#This Row],[Tech Start Date]],28),IF(Main[[#This Row],[Class]]="B", WORKDAY(Main[[#This Row],[Tech Start Date]],19),IF(Main[[#This Row],[Class]]="A",WORKDAY(Main[[#This Row],[Tech Start Date]],9),""))))</f>
        <v/>
      </c>
      <c r="Q468" s="74"/>
      <c r="R468" s="74">
        <v>40368</v>
      </c>
      <c r="S468" s="72" t="s">
        <v>17</v>
      </c>
      <c r="T468" s="80" t="s">
        <v>4</v>
      </c>
      <c r="U468" s="72" t="s">
        <v>29</v>
      </c>
      <c r="V468" s="72" t="s">
        <v>1918</v>
      </c>
      <c r="W468" s="72" t="s">
        <v>1922</v>
      </c>
      <c r="X468" s="72" t="s">
        <v>2868</v>
      </c>
      <c r="Y468" s="72" t="s">
        <v>3012</v>
      </c>
      <c r="Z468" s="72" t="s">
        <v>4</v>
      </c>
      <c r="AA468" s="146" t="s">
        <v>2868</v>
      </c>
    </row>
    <row r="469" spans="1:27" ht="18.600000000000001" customHeight="1">
      <c r="A469" s="139" t="str">
        <f>IF(priority(Main[[#This Row],[Comments]])&lt;&gt;0, priority(Main[[#This Row],[Comments]]),"")</f>
        <v/>
      </c>
      <c r="B469" s="89" t="s">
        <v>1855</v>
      </c>
      <c r="C469" s="72" t="s">
        <v>67</v>
      </c>
      <c r="D469" s="73" t="s">
        <v>910</v>
      </c>
      <c r="E469" s="74">
        <v>39981.49927083333</v>
      </c>
      <c r="F469" s="74"/>
      <c r="G469" s="75" t="str">
        <f>IF(stdProdLT(Main[[#This Row],[Comments]])=0.1,"N/A",IF(stdProdLT(Main[[#This Row],[Comments]])=0,"",stdProdLT(Main[[#This Row],[Comments]])))</f>
        <v/>
      </c>
      <c r="H469" s="76" t="str">
        <f>IF(AND(Main[[#This Row],[In Stock Date]]&lt;&gt;"",Main[[#This Row],[Revised Due Date]]&lt;&gt;""),Main[[#This Row],[In Stock Date]]-Main[[#This Row],[Revised Due Date]],"")</f>
        <v/>
      </c>
      <c r="I469" s="72" t="s">
        <v>976</v>
      </c>
      <c r="J469" s="72" t="s">
        <v>4</v>
      </c>
      <c r="K469" s="72" t="s">
        <v>1929</v>
      </c>
      <c r="L469" s="74"/>
      <c r="M469" s="77" t="str">
        <f>IF(Main[[#This Row],[Tech Start Date]]&lt;1/1/1990,"",IF(Main[[#This Row],[Class]]="C",WORKDAY(Main[[#This Row],[Tech Start Date]],9),IF(Main[[#This Row],[Class]]="B", WORKDAY(Main[[#This Row],[Tech Start Date]],6),IF(Main[[#This Row],[Class]]="A",WORKDAY(Main[[#This Row],[Tech Start Date]],2),""))))</f>
        <v/>
      </c>
      <c r="N469" s="77" t="str">
        <f>IF(Main[[#This Row],[Tech Start Date]]&lt;1/1/1990,"",IF(Main[[#This Row],[Class]]="C",WORKDAY(Main[[#This Row],[Tech Start Date]],19),IF(Main[[#This Row],[Class]]="B", WORKDAY(Main[[#This Row],[Tech Start Date]],12),IF(Main[[#This Row],[Class]]="A",WORKDAY(Main[[#This Row],[Tech Start Date]],4),""))))</f>
        <v/>
      </c>
      <c r="O469" s="77" t="str">
        <f>IF(Main[[#This Row],[Tech Start Date]]&lt;1/1/1990,"",IF(Main[[#This Row],[Class]]="C",WORKDAY(Main[[#This Row],[Tech Start Date]],23),IF(Main[[#This Row],[Class]]="B", WORKDAY(Main[[#This Row],[Tech Start Date]],15),IF(Main[[#This Row],[Class]]="A",WORKDAY(Main[[#This Row],[Tech Start Date]],5),""))))</f>
        <v/>
      </c>
      <c r="P469" s="77" t="str">
        <f>IF(Main[[#This Row],[Tech Start Date]]&lt;1/1/1990,"",IF(Main[[#This Row],[Class]]="C",WORKDAY(Main[[#This Row],[Tech Start Date]],28),IF(Main[[#This Row],[Class]]="B", WORKDAY(Main[[#This Row],[Tech Start Date]],19),IF(Main[[#This Row],[Class]]="A",WORKDAY(Main[[#This Row],[Tech Start Date]],9),""))))</f>
        <v/>
      </c>
      <c r="Q469" s="74">
        <v>40057</v>
      </c>
      <c r="R469" s="74">
        <v>40908</v>
      </c>
      <c r="S469" s="72" t="s">
        <v>17</v>
      </c>
      <c r="T469" s="80" t="s">
        <v>4</v>
      </c>
      <c r="U469" s="72" t="s">
        <v>29</v>
      </c>
      <c r="V469" s="72" t="s">
        <v>1920</v>
      </c>
      <c r="W469" s="72" t="s">
        <v>1922</v>
      </c>
      <c r="X469" s="72" t="s">
        <v>2826</v>
      </c>
      <c r="Y469" s="72" t="s">
        <v>3034</v>
      </c>
      <c r="Z469" s="72" t="s">
        <v>415</v>
      </c>
      <c r="AA469" s="146" t="s">
        <v>3421</v>
      </c>
    </row>
    <row r="470" spans="1:27" ht="18.600000000000001" customHeight="1">
      <c r="A470" s="139" t="str">
        <f>IF(priority(Main[[#This Row],[Comments]])&lt;&gt;0, priority(Main[[#This Row],[Comments]]),"")</f>
        <v/>
      </c>
      <c r="B470" s="89" t="s">
        <v>2082</v>
      </c>
      <c r="C470" s="72" t="s">
        <v>953</v>
      </c>
      <c r="D470" s="73" t="s">
        <v>2083</v>
      </c>
      <c r="E470" s="74"/>
      <c r="F470" s="74">
        <v>40871</v>
      </c>
      <c r="G470" s="75" t="str">
        <f>IF(stdProdLT(Main[[#This Row],[Comments]])=0.1,"N/A",IF(stdProdLT(Main[[#This Row],[Comments]])=0,"",stdProdLT(Main[[#This Row],[Comments]])))</f>
        <v/>
      </c>
      <c r="H470" s="76" t="str">
        <f>IF(AND(Main[[#This Row],[In Stock Date]]&lt;&gt;"",Main[[#This Row],[Revised Due Date]]&lt;&gt;""),Main[[#This Row],[In Stock Date]]-Main[[#This Row],[Revised Due Date]],"")</f>
        <v/>
      </c>
      <c r="I470" s="72" t="s">
        <v>4</v>
      </c>
      <c r="J470" s="72" t="s">
        <v>4</v>
      </c>
      <c r="K470" s="72" t="s">
        <v>4</v>
      </c>
      <c r="L470" s="74"/>
      <c r="M470" s="77" t="str">
        <f>IF(Main[[#This Row],[Tech Start Date]]&lt;1/1/1990,"",IF(Main[[#This Row],[Class]]="C",WORKDAY(Main[[#This Row],[Tech Start Date]],9),IF(Main[[#This Row],[Class]]="B", WORKDAY(Main[[#This Row],[Tech Start Date]],6),IF(Main[[#This Row],[Class]]="A",WORKDAY(Main[[#This Row],[Tech Start Date]],2),""))))</f>
        <v/>
      </c>
      <c r="N470" s="77" t="str">
        <f>IF(Main[[#This Row],[Tech Start Date]]&lt;1/1/1990,"",IF(Main[[#This Row],[Class]]="C",WORKDAY(Main[[#This Row],[Tech Start Date]],19),IF(Main[[#This Row],[Class]]="B", WORKDAY(Main[[#This Row],[Tech Start Date]],12),IF(Main[[#This Row],[Class]]="A",WORKDAY(Main[[#This Row],[Tech Start Date]],4),""))))</f>
        <v/>
      </c>
      <c r="O470" s="77" t="str">
        <f>IF(Main[[#This Row],[Tech Start Date]]&lt;1/1/1990,"",IF(Main[[#This Row],[Class]]="C",WORKDAY(Main[[#This Row],[Tech Start Date]],23),IF(Main[[#This Row],[Class]]="B", WORKDAY(Main[[#This Row],[Tech Start Date]],15),IF(Main[[#This Row],[Class]]="A",WORKDAY(Main[[#This Row],[Tech Start Date]],5),""))))</f>
        <v/>
      </c>
      <c r="P470" s="77" t="str">
        <f>IF(Main[[#This Row],[Tech Start Date]]&lt;1/1/1990,"",IF(Main[[#This Row],[Class]]="C",WORKDAY(Main[[#This Row],[Tech Start Date]],28),IF(Main[[#This Row],[Class]]="B", WORKDAY(Main[[#This Row],[Tech Start Date]],19),IF(Main[[#This Row],[Class]]="A",WORKDAY(Main[[#This Row],[Tech Start Date]],9),""))))</f>
        <v/>
      </c>
      <c r="Q470" s="74"/>
      <c r="R470" s="74"/>
      <c r="S470" s="72" t="s">
        <v>11</v>
      </c>
      <c r="T470" s="80" t="s">
        <v>4</v>
      </c>
      <c r="U470" s="72" t="s">
        <v>14</v>
      </c>
      <c r="V470" s="72" t="s">
        <v>1920</v>
      </c>
      <c r="W470" s="72" t="s">
        <v>1925</v>
      </c>
      <c r="X470" s="72" t="s">
        <v>50</v>
      </c>
      <c r="Y470" s="72" t="s">
        <v>2967</v>
      </c>
      <c r="Z470" s="72" t="s">
        <v>4</v>
      </c>
      <c r="AA470" s="146" t="s">
        <v>50</v>
      </c>
    </row>
    <row r="471" spans="1:27" ht="18.600000000000001" customHeight="1">
      <c r="A471" s="139" t="str">
        <f>IF(priority(Main[[#This Row],[Comments]])&lt;&gt;0, priority(Main[[#This Row],[Comments]]),"")</f>
        <v/>
      </c>
      <c r="B471" s="89" t="s">
        <v>1305</v>
      </c>
      <c r="C471" s="72" t="s">
        <v>376</v>
      </c>
      <c r="D471" s="73" t="s">
        <v>377</v>
      </c>
      <c r="E471" s="74">
        <v>39952.325474537036</v>
      </c>
      <c r="F471" s="74"/>
      <c r="G471" s="75" t="str">
        <f>IF(stdProdLT(Main[[#This Row],[Comments]])=0.1,"N/A",IF(stdProdLT(Main[[#This Row],[Comments]])=0,"",stdProdLT(Main[[#This Row],[Comments]])))</f>
        <v/>
      </c>
      <c r="H471" s="76" t="str">
        <f>IF(AND(Main[[#This Row],[In Stock Date]]&lt;&gt;"",Main[[#This Row],[Revised Due Date]]&lt;&gt;""),Main[[#This Row],[In Stock Date]]-Main[[#This Row],[Revised Due Date]],"")</f>
        <v/>
      </c>
      <c r="I471" s="72" t="s">
        <v>4</v>
      </c>
      <c r="J471" s="72" t="s">
        <v>4</v>
      </c>
      <c r="K471" s="72" t="s">
        <v>4</v>
      </c>
      <c r="L471" s="74"/>
      <c r="M471" s="77" t="str">
        <f>IF(Main[[#This Row],[Tech Start Date]]&lt;1/1/1990,"",IF(Main[[#This Row],[Class]]="C",WORKDAY(Main[[#This Row],[Tech Start Date]],9),IF(Main[[#This Row],[Class]]="B", WORKDAY(Main[[#This Row],[Tech Start Date]],6),IF(Main[[#This Row],[Class]]="A",WORKDAY(Main[[#This Row],[Tech Start Date]],2),""))))</f>
        <v/>
      </c>
      <c r="N471" s="77" t="str">
        <f>IF(Main[[#This Row],[Tech Start Date]]&lt;1/1/1990,"",IF(Main[[#This Row],[Class]]="C",WORKDAY(Main[[#This Row],[Tech Start Date]],19),IF(Main[[#This Row],[Class]]="B", WORKDAY(Main[[#This Row],[Tech Start Date]],12),IF(Main[[#This Row],[Class]]="A",WORKDAY(Main[[#This Row],[Tech Start Date]],4),""))))</f>
        <v/>
      </c>
      <c r="O471" s="77" t="str">
        <f>IF(Main[[#This Row],[Tech Start Date]]&lt;1/1/1990,"",IF(Main[[#This Row],[Class]]="C",WORKDAY(Main[[#This Row],[Tech Start Date]],23),IF(Main[[#This Row],[Class]]="B", WORKDAY(Main[[#This Row],[Tech Start Date]],15),IF(Main[[#This Row],[Class]]="A",WORKDAY(Main[[#This Row],[Tech Start Date]],5),""))))</f>
        <v/>
      </c>
      <c r="P471" s="77" t="str">
        <f>IF(Main[[#This Row],[Tech Start Date]]&lt;1/1/1990,"",IF(Main[[#This Row],[Class]]="C",WORKDAY(Main[[#This Row],[Tech Start Date]],28),IF(Main[[#This Row],[Class]]="B", WORKDAY(Main[[#This Row],[Tech Start Date]],19),IF(Main[[#This Row],[Class]]="A",WORKDAY(Main[[#This Row],[Tech Start Date]],9),""))))</f>
        <v/>
      </c>
      <c r="Q471" s="74"/>
      <c r="R471" s="154"/>
      <c r="S471" s="72" t="s">
        <v>17</v>
      </c>
      <c r="T471" s="80" t="s">
        <v>4</v>
      </c>
      <c r="U471" s="72" t="s">
        <v>7</v>
      </c>
      <c r="V471" s="72" t="s">
        <v>1920</v>
      </c>
      <c r="W471" s="72" t="s">
        <v>4</v>
      </c>
      <c r="X471" s="72" t="s">
        <v>2886</v>
      </c>
      <c r="Y471" s="72" t="s">
        <v>4</v>
      </c>
      <c r="Z471" s="72" t="s">
        <v>4</v>
      </c>
      <c r="AA471" s="146" t="s">
        <v>2886</v>
      </c>
    </row>
    <row r="472" spans="1:27" ht="18.600000000000001" customHeight="1">
      <c r="A472" s="155" t="str">
        <f>IF(priority(Main[[#This Row],[Comments]])&lt;&gt;0, priority(Main[[#This Row],[Comments]]),"")</f>
        <v/>
      </c>
      <c r="B472" s="156" t="s">
        <v>1306</v>
      </c>
      <c r="C472" s="157" t="s">
        <v>378</v>
      </c>
      <c r="D472" s="158" t="s">
        <v>379</v>
      </c>
      <c r="E472" s="160"/>
      <c r="F472" s="160">
        <v>40228</v>
      </c>
      <c r="G472" s="162" t="str">
        <f>IF(stdProdLT(Main[[#This Row],[Comments]])=0.1,"N/A",IF(stdProdLT(Main[[#This Row],[Comments]])=0,"",stdProdLT(Main[[#This Row],[Comments]])))</f>
        <v/>
      </c>
      <c r="H472" s="164" t="str">
        <f>IF(AND(Main[[#This Row],[In Stock Date]]&lt;&gt;"",Main[[#This Row],[Revised Due Date]]&lt;&gt;""),Main[[#This Row],[In Stock Date]]-Main[[#This Row],[Revised Due Date]],"")</f>
        <v/>
      </c>
      <c r="I472" s="157" t="s">
        <v>4</v>
      </c>
      <c r="J472" s="157" t="s">
        <v>4</v>
      </c>
      <c r="K472" s="157" t="s">
        <v>4</v>
      </c>
      <c r="L472" s="160"/>
      <c r="M472" s="167" t="str">
        <f>IF(Main[[#This Row],[Tech Start Date]]&lt;1/1/1990,"",IF(Main[[#This Row],[Class]]="C",WORKDAY(Main[[#This Row],[Tech Start Date]],9),IF(Main[[#This Row],[Class]]="B", WORKDAY(Main[[#This Row],[Tech Start Date]],6),IF(Main[[#This Row],[Class]]="A",WORKDAY(Main[[#This Row],[Tech Start Date]],2),""))))</f>
        <v/>
      </c>
      <c r="N472" s="167" t="str">
        <f>IF(Main[[#This Row],[Tech Start Date]]&lt;1/1/1990,"",IF(Main[[#This Row],[Class]]="C",WORKDAY(Main[[#This Row],[Tech Start Date]],19),IF(Main[[#This Row],[Class]]="B", WORKDAY(Main[[#This Row],[Tech Start Date]],12),IF(Main[[#This Row],[Class]]="A",WORKDAY(Main[[#This Row],[Tech Start Date]],4),""))))</f>
        <v/>
      </c>
      <c r="O472" s="167" t="str">
        <f>IF(Main[[#This Row],[Tech Start Date]]&lt;1/1/1990,"",IF(Main[[#This Row],[Class]]="C",WORKDAY(Main[[#This Row],[Tech Start Date]],23),IF(Main[[#This Row],[Class]]="B", WORKDAY(Main[[#This Row],[Tech Start Date]],15),IF(Main[[#This Row],[Class]]="A",WORKDAY(Main[[#This Row],[Tech Start Date]],5),""))))</f>
        <v/>
      </c>
      <c r="P472" s="167" t="str">
        <f>IF(Main[[#This Row],[Tech Start Date]]&lt;1/1/1990,"",IF(Main[[#This Row],[Class]]="C",WORKDAY(Main[[#This Row],[Tech Start Date]],28),IF(Main[[#This Row],[Class]]="B", WORKDAY(Main[[#This Row],[Tech Start Date]],19),IF(Main[[#This Row],[Class]]="A",WORKDAY(Main[[#This Row],[Tech Start Date]],9),""))))</f>
        <v/>
      </c>
      <c r="Q472" s="160">
        <v>40153</v>
      </c>
      <c r="R472" s="160"/>
      <c r="S472" s="157" t="s">
        <v>11</v>
      </c>
      <c r="T472" s="171" t="s">
        <v>4</v>
      </c>
      <c r="U472" s="157" t="s">
        <v>14</v>
      </c>
      <c r="V472" s="157" t="s">
        <v>1920</v>
      </c>
      <c r="W472" s="157" t="s">
        <v>1925</v>
      </c>
      <c r="X472" s="157" t="s">
        <v>2869</v>
      </c>
      <c r="Y472" s="157" t="s">
        <v>4</v>
      </c>
      <c r="Z472" s="157" t="s">
        <v>4</v>
      </c>
      <c r="AA472" s="153" t="s">
        <v>2869</v>
      </c>
    </row>
    <row r="473" spans="1:27" ht="18.600000000000001" customHeight="1">
      <c r="A473" s="155" t="str">
        <f>IF(priority(Main[[#This Row],[Comments]])&lt;&gt;0, priority(Main[[#This Row],[Comments]]),"")</f>
        <v/>
      </c>
      <c r="B473" s="156" t="s">
        <v>1308</v>
      </c>
      <c r="C473" s="157" t="s">
        <v>380</v>
      </c>
      <c r="D473" s="158" t="s">
        <v>381</v>
      </c>
      <c r="E473" s="160"/>
      <c r="F473" s="160"/>
      <c r="G473" s="162" t="str">
        <f>IF(stdProdLT(Main[[#This Row],[Comments]])=0.1,"N/A",IF(stdProdLT(Main[[#This Row],[Comments]])=0,"",stdProdLT(Main[[#This Row],[Comments]])))</f>
        <v/>
      </c>
      <c r="H473" s="164" t="str">
        <f>IF(AND(Main[[#This Row],[In Stock Date]]&lt;&gt;"",Main[[#This Row],[Revised Due Date]]&lt;&gt;""),Main[[#This Row],[In Stock Date]]-Main[[#This Row],[Revised Due Date]],"")</f>
        <v/>
      </c>
      <c r="I473" s="157" t="s">
        <v>4</v>
      </c>
      <c r="J473" s="157" t="s">
        <v>4</v>
      </c>
      <c r="K473" s="157" t="s">
        <v>4</v>
      </c>
      <c r="L473" s="160"/>
      <c r="M473" s="167" t="str">
        <f>IF(Main[[#This Row],[Tech Start Date]]&lt;1/1/1990,"",IF(Main[[#This Row],[Class]]="C",WORKDAY(Main[[#This Row],[Tech Start Date]],9),IF(Main[[#This Row],[Class]]="B", WORKDAY(Main[[#This Row],[Tech Start Date]],6),IF(Main[[#This Row],[Class]]="A",WORKDAY(Main[[#This Row],[Tech Start Date]],2),""))))</f>
        <v/>
      </c>
      <c r="N473" s="167" t="str">
        <f>IF(Main[[#This Row],[Tech Start Date]]&lt;1/1/1990,"",IF(Main[[#This Row],[Class]]="C",WORKDAY(Main[[#This Row],[Tech Start Date]],19),IF(Main[[#This Row],[Class]]="B", WORKDAY(Main[[#This Row],[Tech Start Date]],12),IF(Main[[#This Row],[Class]]="A",WORKDAY(Main[[#This Row],[Tech Start Date]],4),""))))</f>
        <v/>
      </c>
      <c r="O473" s="167" t="str">
        <f>IF(Main[[#This Row],[Tech Start Date]]&lt;1/1/1990,"",IF(Main[[#This Row],[Class]]="C",WORKDAY(Main[[#This Row],[Tech Start Date]],23),IF(Main[[#This Row],[Class]]="B", WORKDAY(Main[[#This Row],[Tech Start Date]],15),IF(Main[[#This Row],[Class]]="A",WORKDAY(Main[[#This Row],[Tech Start Date]],5),""))))</f>
        <v/>
      </c>
      <c r="P473" s="167" t="str">
        <f>IF(Main[[#This Row],[Tech Start Date]]&lt;1/1/1990,"",IF(Main[[#This Row],[Class]]="C",WORKDAY(Main[[#This Row],[Tech Start Date]],28),IF(Main[[#This Row],[Class]]="B", WORKDAY(Main[[#This Row],[Tech Start Date]],19),IF(Main[[#This Row],[Class]]="A",WORKDAY(Main[[#This Row],[Tech Start Date]],9),""))))</f>
        <v/>
      </c>
      <c r="Q473" s="160"/>
      <c r="R473" s="169"/>
      <c r="S473" s="157" t="s">
        <v>11</v>
      </c>
      <c r="T473" s="171" t="s">
        <v>4</v>
      </c>
      <c r="U473" s="157" t="s">
        <v>14</v>
      </c>
      <c r="V473" s="157" t="s">
        <v>1918</v>
      </c>
      <c r="W473" s="157" t="s">
        <v>1925</v>
      </c>
      <c r="X473" s="157" t="s">
        <v>2833</v>
      </c>
      <c r="Y473" s="157" t="s">
        <v>2954</v>
      </c>
      <c r="Z473" s="157" t="s">
        <v>4</v>
      </c>
      <c r="AA473" s="153" t="s">
        <v>2833</v>
      </c>
    </row>
    <row r="474" spans="1:27" ht="18.600000000000001" customHeight="1">
      <c r="A474" s="139" t="str">
        <f>IF(priority(Main[[#This Row],[Comments]])&lt;&gt;0, priority(Main[[#This Row],[Comments]]),"")</f>
        <v/>
      </c>
      <c r="B474" s="89" t="s">
        <v>1309</v>
      </c>
      <c r="C474" s="72" t="s">
        <v>382</v>
      </c>
      <c r="D474" s="73" t="s">
        <v>383</v>
      </c>
      <c r="E474" s="74"/>
      <c r="F474" s="74"/>
      <c r="G474" s="75" t="str">
        <f>IF(stdProdLT(Main[[#This Row],[Comments]])=0.1,"N/A",IF(stdProdLT(Main[[#This Row],[Comments]])=0,"",stdProdLT(Main[[#This Row],[Comments]])))</f>
        <v/>
      </c>
      <c r="H474" s="76" t="str">
        <f>IF(AND(Main[[#This Row],[In Stock Date]]&lt;&gt;"",Main[[#This Row],[Revised Due Date]]&lt;&gt;""),Main[[#This Row],[In Stock Date]]-Main[[#This Row],[Revised Due Date]],"")</f>
        <v/>
      </c>
      <c r="I474" s="72" t="s">
        <v>4</v>
      </c>
      <c r="J474" s="72" t="s">
        <v>4</v>
      </c>
      <c r="K474" s="81" t="s">
        <v>4</v>
      </c>
      <c r="L474" s="74"/>
      <c r="M474" s="77" t="str">
        <f>IF(Main[[#This Row],[Tech Start Date]]&lt;1/1/1990,"",IF(Main[[#This Row],[Class]]="C",WORKDAY(Main[[#This Row],[Tech Start Date]],9),IF(Main[[#This Row],[Class]]="B", WORKDAY(Main[[#This Row],[Tech Start Date]],6),IF(Main[[#This Row],[Class]]="A",WORKDAY(Main[[#This Row],[Tech Start Date]],2),""))))</f>
        <v/>
      </c>
      <c r="N474" s="77" t="str">
        <f>IF(Main[[#This Row],[Tech Start Date]]&lt;1/1/1990,"",IF(Main[[#This Row],[Class]]="C",WORKDAY(Main[[#This Row],[Tech Start Date]],19),IF(Main[[#This Row],[Class]]="B", WORKDAY(Main[[#This Row],[Tech Start Date]],12),IF(Main[[#This Row],[Class]]="A",WORKDAY(Main[[#This Row],[Tech Start Date]],4),""))))</f>
        <v/>
      </c>
      <c r="O474" s="77" t="str">
        <f>IF(Main[[#This Row],[Tech Start Date]]&lt;1/1/1990,"",IF(Main[[#This Row],[Class]]="C",WORKDAY(Main[[#This Row],[Tech Start Date]],23),IF(Main[[#This Row],[Class]]="B", WORKDAY(Main[[#This Row],[Tech Start Date]],15),IF(Main[[#This Row],[Class]]="A",WORKDAY(Main[[#This Row],[Tech Start Date]],5),""))))</f>
        <v/>
      </c>
      <c r="P474" s="77" t="str">
        <f>IF(Main[[#This Row],[Tech Start Date]]&lt;1/1/1990,"",IF(Main[[#This Row],[Class]]="C",WORKDAY(Main[[#This Row],[Tech Start Date]],28),IF(Main[[#This Row],[Class]]="B", WORKDAY(Main[[#This Row],[Tech Start Date]],19),IF(Main[[#This Row],[Class]]="A",WORKDAY(Main[[#This Row],[Tech Start Date]],9),""))))</f>
        <v/>
      </c>
      <c r="Q474" s="74"/>
      <c r="R474" s="74"/>
      <c r="S474" s="72" t="s">
        <v>11</v>
      </c>
      <c r="T474" s="80" t="s">
        <v>4</v>
      </c>
      <c r="U474" s="72" t="s">
        <v>14</v>
      </c>
      <c r="V474" s="72" t="s">
        <v>1918</v>
      </c>
      <c r="W474" s="72" t="s">
        <v>1925</v>
      </c>
      <c r="X474" s="72" t="s">
        <v>2833</v>
      </c>
      <c r="Y474" s="72" t="s">
        <v>2954</v>
      </c>
      <c r="Z474" s="72" t="s">
        <v>4</v>
      </c>
      <c r="AA474" s="146" t="s">
        <v>2833</v>
      </c>
    </row>
    <row r="475" spans="1:27" ht="18.600000000000001" customHeight="1">
      <c r="A475" s="155" t="str">
        <f>IF(priority(Main[[#This Row],[Comments]])&lt;&gt;0, priority(Main[[#This Row],[Comments]]),"")</f>
        <v/>
      </c>
      <c r="B475" s="156" t="s">
        <v>1331</v>
      </c>
      <c r="C475" s="157" t="s">
        <v>93</v>
      </c>
      <c r="D475" s="158" t="s">
        <v>384</v>
      </c>
      <c r="E475" s="160"/>
      <c r="F475" s="160">
        <v>40299</v>
      </c>
      <c r="G475" s="162" t="str">
        <f>IF(stdProdLT(Main[[#This Row],[Comments]])=0.1,"N/A",IF(stdProdLT(Main[[#This Row],[Comments]])=0,"",stdProdLT(Main[[#This Row],[Comments]])))</f>
        <v/>
      </c>
      <c r="H475" s="164" t="str">
        <f>IF(AND(Main[[#This Row],[In Stock Date]]&lt;&gt;"",Main[[#This Row],[Revised Due Date]]&lt;&gt;""),Main[[#This Row],[In Stock Date]]-Main[[#This Row],[Revised Due Date]],"")</f>
        <v/>
      </c>
      <c r="I475" s="157" t="s">
        <v>4</v>
      </c>
      <c r="J475" s="157" t="s">
        <v>4</v>
      </c>
      <c r="K475" s="157" t="s">
        <v>4</v>
      </c>
      <c r="L475" s="160"/>
      <c r="M475" s="167" t="str">
        <f>IF(Main[[#This Row],[Tech Start Date]]&lt;1/1/1990,"",IF(Main[[#This Row],[Class]]="C",WORKDAY(Main[[#This Row],[Tech Start Date]],9),IF(Main[[#This Row],[Class]]="B", WORKDAY(Main[[#This Row],[Tech Start Date]],6),IF(Main[[#This Row],[Class]]="A",WORKDAY(Main[[#This Row],[Tech Start Date]],2),""))))</f>
        <v/>
      </c>
      <c r="N475" s="167" t="str">
        <f>IF(Main[[#This Row],[Tech Start Date]]&lt;1/1/1990,"",IF(Main[[#This Row],[Class]]="C",WORKDAY(Main[[#This Row],[Tech Start Date]],19),IF(Main[[#This Row],[Class]]="B", WORKDAY(Main[[#This Row],[Tech Start Date]],12),IF(Main[[#This Row],[Class]]="A",WORKDAY(Main[[#This Row],[Tech Start Date]],4),""))))</f>
        <v/>
      </c>
      <c r="O475" s="167" t="str">
        <f>IF(Main[[#This Row],[Tech Start Date]]&lt;1/1/1990,"",IF(Main[[#This Row],[Class]]="C",WORKDAY(Main[[#This Row],[Tech Start Date]],23),IF(Main[[#This Row],[Class]]="B", WORKDAY(Main[[#This Row],[Tech Start Date]],15),IF(Main[[#This Row],[Class]]="A",WORKDAY(Main[[#This Row],[Tech Start Date]],5),""))))</f>
        <v/>
      </c>
      <c r="P475" s="167" t="str">
        <f>IF(Main[[#This Row],[Tech Start Date]]&lt;1/1/1990,"",IF(Main[[#This Row],[Class]]="C",WORKDAY(Main[[#This Row],[Tech Start Date]],28),IF(Main[[#This Row],[Class]]="B", WORKDAY(Main[[#This Row],[Tech Start Date]],19),IF(Main[[#This Row],[Class]]="A",WORKDAY(Main[[#This Row],[Tech Start Date]],9),""))))</f>
        <v/>
      </c>
      <c r="Q475" s="160">
        <v>40209</v>
      </c>
      <c r="R475" s="160"/>
      <c r="S475" s="157" t="s">
        <v>11</v>
      </c>
      <c r="T475" s="171" t="s">
        <v>4</v>
      </c>
      <c r="U475" s="157" t="s">
        <v>14</v>
      </c>
      <c r="V475" s="157" t="s">
        <v>1917</v>
      </c>
      <c r="W475" s="157" t="s">
        <v>1928</v>
      </c>
      <c r="X475" s="157" t="s">
        <v>2851</v>
      </c>
      <c r="Y475" s="157" t="s">
        <v>4</v>
      </c>
      <c r="Z475" s="157" t="s">
        <v>4</v>
      </c>
      <c r="AA475" s="153" t="s">
        <v>2851</v>
      </c>
    </row>
    <row r="476" spans="1:27" ht="18.600000000000001" customHeight="1">
      <c r="A476" s="139" t="str">
        <f>IF(priority(Main[[#This Row],[Comments]])&lt;&gt;0, priority(Main[[#This Row],[Comments]]),"")</f>
        <v/>
      </c>
      <c r="B476" s="89" t="s">
        <v>2086</v>
      </c>
      <c r="C476" s="72" t="s">
        <v>4</v>
      </c>
      <c r="D476" s="73" t="s">
        <v>2087</v>
      </c>
      <c r="E476" s="74">
        <v>40763.356041666666</v>
      </c>
      <c r="F476" s="74"/>
      <c r="G476" s="75" t="str">
        <f>IF(stdProdLT(Main[[#This Row],[Comments]])=0.1,"N/A",IF(stdProdLT(Main[[#This Row],[Comments]])=0,"",stdProdLT(Main[[#This Row],[Comments]])))</f>
        <v/>
      </c>
      <c r="H476" s="76" t="str">
        <f>IF(AND(Main[[#This Row],[In Stock Date]]&lt;&gt;"",Main[[#This Row],[Revised Due Date]]&lt;&gt;""),Main[[#This Row],[In Stock Date]]-Main[[#This Row],[Revised Due Date]],"")</f>
        <v/>
      </c>
      <c r="I476" s="72" t="s">
        <v>914</v>
      </c>
      <c r="J476" s="72" t="s">
        <v>52</v>
      </c>
      <c r="K476" s="72" t="s">
        <v>4</v>
      </c>
      <c r="L476" s="74"/>
      <c r="M476" s="77" t="str">
        <f>IF(Main[[#This Row],[Tech Start Date]]&lt;1/1/1990,"",IF(Main[[#This Row],[Class]]="C",WORKDAY(Main[[#This Row],[Tech Start Date]],9),IF(Main[[#This Row],[Class]]="B", WORKDAY(Main[[#This Row],[Tech Start Date]],6),IF(Main[[#This Row],[Class]]="A",WORKDAY(Main[[#This Row],[Tech Start Date]],2),""))))</f>
        <v/>
      </c>
      <c r="N476" s="77" t="str">
        <f>IF(Main[[#This Row],[Tech Start Date]]&lt;1/1/1990,"",IF(Main[[#This Row],[Class]]="C",WORKDAY(Main[[#This Row],[Tech Start Date]],19),IF(Main[[#This Row],[Class]]="B", WORKDAY(Main[[#This Row],[Tech Start Date]],12),IF(Main[[#This Row],[Class]]="A",WORKDAY(Main[[#This Row],[Tech Start Date]],4),""))))</f>
        <v/>
      </c>
      <c r="O476" s="77" t="str">
        <f>IF(Main[[#This Row],[Tech Start Date]]&lt;1/1/1990,"",IF(Main[[#This Row],[Class]]="C",WORKDAY(Main[[#This Row],[Tech Start Date]],23),IF(Main[[#This Row],[Class]]="B", WORKDAY(Main[[#This Row],[Tech Start Date]],15),IF(Main[[#This Row],[Class]]="A",WORKDAY(Main[[#This Row],[Tech Start Date]],5),""))))</f>
        <v/>
      </c>
      <c r="P476" s="77" t="str">
        <f>IF(Main[[#This Row],[Tech Start Date]]&lt;1/1/1990,"",IF(Main[[#This Row],[Class]]="C",WORKDAY(Main[[#This Row],[Tech Start Date]],28),IF(Main[[#This Row],[Class]]="B", WORKDAY(Main[[#This Row],[Tech Start Date]],19),IF(Main[[#This Row],[Class]]="A",WORKDAY(Main[[#This Row],[Tech Start Date]],9),""))))</f>
        <v/>
      </c>
      <c r="Q476" s="74">
        <v>40787</v>
      </c>
      <c r="R476" s="74"/>
      <c r="S476" s="72" t="s">
        <v>6</v>
      </c>
      <c r="T476" s="80" t="s">
        <v>4</v>
      </c>
      <c r="U476" s="72" t="s">
        <v>29</v>
      </c>
      <c r="V476" s="72" t="s">
        <v>1917</v>
      </c>
      <c r="W476" s="72" t="s">
        <v>4</v>
      </c>
      <c r="X476" s="72" t="s">
        <v>2828</v>
      </c>
      <c r="Y476" s="72" t="s">
        <v>2944</v>
      </c>
      <c r="Z476" s="72" t="s">
        <v>129</v>
      </c>
      <c r="AA476" s="146" t="s">
        <v>2828</v>
      </c>
    </row>
    <row r="477" spans="1:27" ht="18.600000000000001" customHeight="1">
      <c r="A477" s="155" t="str">
        <f>IF(priority(Main[[#This Row],[Comments]])&lt;&gt;0, priority(Main[[#This Row],[Comments]]),"")</f>
        <v/>
      </c>
      <c r="B477" s="156" t="s">
        <v>1666</v>
      </c>
      <c r="C477" s="157" t="s">
        <v>4</v>
      </c>
      <c r="D477" s="158" t="s">
        <v>727</v>
      </c>
      <c r="E477" s="160"/>
      <c r="F477" s="160"/>
      <c r="G477" s="162" t="str">
        <f>IF(stdProdLT(Main[[#This Row],[Comments]])=0.1,"N/A",IF(stdProdLT(Main[[#This Row],[Comments]])=0,"",stdProdLT(Main[[#This Row],[Comments]])))</f>
        <v/>
      </c>
      <c r="H477" s="164" t="str">
        <f>IF(AND(Main[[#This Row],[In Stock Date]]&lt;&gt;"",Main[[#This Row],[Revised Due Date]]&lt;&gt;""),Main[[#This Row],[In Stock Date]]-Main[[#This Row],[Revised Due Date]],"")</f>
        <v/>
      </c>
      <c r="I477" s="157" t="s">
        <v>896</v>
      </c>
      <c r="J477" s="157" t="s">
        <v>52</v>
      </c>
      <c r="K477" s="157" t="s">
        <v>1926</v>
      </c>
      <c r="L477" s="160"/>
      <c r="M477" s="167" t="str">
        <f>IF(Main[[#This Row],[Tech Start Date]]&lt;1/1/1990,"",IF(Main[[#This Row],[Class]]="C",WORKDAY(Main[[#This Row],[Tech Start Date]],9),IF(Main[[#This Row],[Class]]="B", WORKDAY(Main[[#This Row],[Tech Start Date]],6),IF(Main[[#This Row],[Class]]="A",WORKDAY(Main[[#This Row],[Tech Start Date]],2),""))))</f>
        <v/>
      </c>
      <c r="N477" s="167" t="str">
        <f>IF(Main[[#This Row],[Tech Start Date]]&lt;1/1/1990,"",IF(Main[[#This Row],[Class]]="C",WORKDAY(Main[[#This Row],[Tech Start Date]],19),IF(Main[[#This Row],[Class]]="B", WORKDAY(Main[[#This Row],[Tech Start Date]],12),IF(Main[[#This Row],[Class]]="A",WORKDAY(Main[[#This Row],[Tech Start Date]],4),""))))</f>
        <v/>
      </c>
      <c r="O477" s="167" t="str">
        <f>IF(Main[[#This Row],[Tech Start Date]]&lt;1/1/1990,"",IF(Main[[#This Row],[Class]]="C",WORKDAY(Main[[#This Row],[Tech Start Date]],23),IF(Main[[#This Row],[Class]]="B", WORKDAY(Main[[#This Row],[Tech Start Date]],15),IF(Main[[#This Row],[Class]]="A",WORKDAY(Main[[#This Row],[Tech Start Date]],5),""))))</f>
        <v/>
      </c>
      <c r="P477" s="167" t="str">
        <f>IF(Main[[#This Row],[Tech Start Date]]&lt;1/1/1990,"",IF(Main[[#This Row],[Class]]="C",WORKDAY(Main[[#This Row],[Tech Start Date]],28),IF(Main[[#This Row],[Class]]="B", WORKDAY(Main[[#This Row],[Tech Start Date]],19),IF(Main[[#This Row],[Class]]="A",WORKDAY(Main[[#This Row],[Tech Start Date]],9),""))))</f>
        <v/>
      </c>
      <c r="Q477" s="160">
        <v>40581</v>
      </c>
      <c r="R477" s="160"/>
      <c r="S477" s="157" t="s">
        <v>6</v>
      </c>
      <c r="T477" s="171" t="s">
        <v>4</v>
      </c>
      <c r="U477" s="157" t="s">
        <v>14</v>
      </c>
      <c r="V477" s="157" t="s">
        <v>1920</v>
      </c>
      <c r="W477" s="157" t="s">
        <v>1921</v>
      </c>
      <c r="X477" s="157" t="s">
        <v>2825</v>
      </c>
      <c r="Y477" s="157" t="s">
        <v>2938</v>
      </c>
      <c r="Z477" s="157" t="s">
        <v>44</v>
      </c>
      <c r="AA477" s="153" t="s">
        <v>2825</v>
      </c>
    </row>
    <row r="478" spans="1:27" ht="18.600000000000001" customHeight="1">
      <c r="A478" s="139" t="str">
        <f>IF(priority(Main[[#This Row],[Comments]])&lt;&gt;0, priority(Main[[#This Row],[Comments]]),"")</f>
        <v/>
      </c>
      <c r="B478" s="89" t="s">
        <v>1332</v>
      </c>
      <c r="C478" s="72" t="s">
        <v>31</v>
      </c>
      <c r="D478" s="73" t="s">
        <v>385</v>
      </c>
      <c r="E478" s="74"/>
      <c r="F478" s="74"/>
      <c r="G478" s="75" t="str">
        <f>IF(stdProdLT(Main[[#This Row],[Comments]])=0.1,"N/A",IF(stdProdLT(Main[[#This Row],[Comments]])=0,"",stdProdLT(Main[[#This Row],[Comments]])))</f>
        <v/>
      </c>
      <c r="H478" s="76" t="str">
        <f>IF(AND(Main[[#This Row],[In Stock Date]]&lt;&gt;"",Main[[#This Row],[Revised Due Date]]&lt;&gt;""),Main[[#This Row],[In Stock Date]]-Main[[#This Row],[Revised Due Date]],"")</f>
        <v/>
      </c>
      <c r="I478" s="72" t="s">
        <v>4</v>
      </c>
      <c r="J478" s="72" t="s">
        <v>4</v>
      </c>
      <c r="K478" s="72" t="s">
        <v>4</v>
      </c>
      <c r="L478" s="74"/>
      <c r="M478" s="77" t="str">
        <f>IF(Main[[#This Row],[Tech Start Date]]&lt;1/1/1990,"",IF(Main[[#This Row],[Class]]="C",WORKDAY(Main[[#This Row],[Tech Start Date]],9),IF(Main[[#This Row],[Class]]="B", WORKDAY(Main[[#This Row],[Tech Start Date]],6),IF(Main[[#This Row],[Class]]="A",WORKDAY(Main[[#This Row],[Tech Start Date]],2),""))))</f>
        <v/>
      </c>
      <c r="N478" s="77" t="str">
        <f>IF(Main[[#This Row],[Tech Start Date]]&lt;1/1/1990,"",IF(Main[[#This Row],[Class]]="C",WORKDAY(Main[[#This Row],[Tech Start Date]],19),IF(Main[[#This Row],[Class]]="B", WORKDAY(Main[[#This Row],[Tech Start Date]],12),IF(Main[[#This Row],[Class]]="A",WORKDAY(Main[[#This Row],[Tech Start Date]],4),""))))</f>
        <v/>
      </c>
      <c r="O478" s="77" t="str">
        <f>IF(Main[[#This Row],[Tech Start Date]]&lt;1/1/1990,"",IF(Main[[#This Row],[Class]]="C",WORKDAY(Main[[#This Row],[Tech Start Date]],23),IF(Main[[#This Row],[Class]]="B", WORKDAY(Main[[#This Row],[Tech Start Date]],15),IF(Main[[#This Row],[Class]]="A",WORKDAY(Main[[#This Row],[Tech Start Date]],5),""))))</f>
        <v/>
      </c>
      <c r="P478" s="77" t="str">
        <f>IF(Main[[#This Row],[Tech Start Date]]&lt;1/1/1990,"",IF(Main[[#This Row],[Class]]="C",WORKDAY(Main[[#This Row],[Tech Start Date]],28),IF(Main[[#This Row],[Class]]="B", WORKDAY(Main[[#This Row],[Tech Start Date]],19),IF(Main[[#This Row],[Class]]="A",WORKDAY(Main[[#This Row],[Tech Start Date]],9),""))))</f>
        <v/>
      </c>
      <c r="Q478" s="74">
        <v>40318</v>
      </c>
      <c r="R478" s="74"/>
      <c r="S478" s="72" t="s">
        <v>11</v>
      </c>
      <c r="T478" s="80" t="s">
        <v>4</v>
      </c>
      <c r="U478" s="72" t="s">
        <v>14</v>
      </c>
      <c r="V478" s="72" t="s">
        <v>1920</v>
      </c>
      <c r="W478" s="72" t="s">
        <v>1919</v>
      </c>
      <c r="X478" s="72" t="s">
        <v>2836</v>
      </c>
      <c r="Y478" s="72" t="s">
        <v>4</v>
      </c>
      <c r="Z478" s="72" t="s">
        <v>4</v>
      </c>
      <c r="AA478" s="146" t="s">
        <v>2836</v>
      </c>
    </row>
    <row r="479" spans="1:27" ht="18.600000000000001" customHeight="1">
      <c r="A479" s="155" t="str">
        <f>IF(priority(Main[[#This Row],[Comments]])&lt;&gt;0, priority(Main[[#This Row],[Comments]]),"")</f>
        <v/>
      </c>
      <c r="B479" s="156" t="s">
        <v>1333</v>
      </c>
      <c r="C479" s="157" t="s">
        <v>31</v>
      </c>
      <c r="D479" s="158" t="s">
        <v>386</v>
      </c>
      <c r="E479" s="160"/>
      <c r="F479" s="160"/>
      <c r="G479" s="162" t="str">
        <f>IF(stdProdLT(Main[[#This Row],[Comments]])=0.1,"N/A",IF(stdProdLT(Main[[#This Row],[Comments]])=0,"",stdProdLT(Main[[#This Row],[Comments]])))</f>
        <v/>
      </c>
      <c r="H479" s="164" t="str">
        <f>IF(AND(Main[[#This Row],[In Stock Date]]&lt;&gt;"",Main[[#This Row],[Revised Due Date]]&lt;&gt;""),Main[[#This Row],[In Stock Date]]-Main[[#This Row],[Revised Due Date]],"")</f>
        <v/>
      </c>
      <c r="I479" s="157" t="s">
        <v>4</v>
      </c>
      <c r="J479" s="157" t="s">
        <v>4</v>
      </c>
      <c r="K479" s="157" t="s">
        <v>4</v>
      </c>
      <c r="L479" s="160"/>
      <c r="M479" s="167" t="str">
        <f>IF(Main[[#This Row],[Tech Start Date]]&lt;1/1/1990,"",IF(Main[[#This Row],[Class]]="C",WORKDAY(Main[[#This Row],[Tech Start Date]],9),IF(Main[[#This Row],[Class]]="B", WORKDAY(Main[[#This Row],[Tech Start Date]],6),IF(Main[[#This Row],[Class]]="A",WORKDAY(Main[[#This Row],[Tech Start Date]],2),""))))</f>
        <v/>
      </c>
      <c r="N479" s="167" t="str">
        <f>IF(Main[[#This Row],[Tech Start Date]]&lt;1/1/1990,"",IF(Main[[#This Row],[Class]]="C",WORKDAY(Main[[#This Row],[Tech Start Date]],19),IF(Main[[#This Row],[Class]]="B", WORKDAY(Main[[#This Row],[Tech Start Date]],12),IF(Main[[#This Row],[Class]]="A",WORKDAY(Main[[#This Row],[Tech Start Date]],4),""))))</f>
        <v/>
      </c>
      <c r="O479" s="167" t="str">
        <f>IF(Main[[#This Row],[Tech Start Date]]&lt;1/1/1990,"",IF(Main[[#This Row],[Class]]="C",WORKDAY(Main[[#This Row],[Tech Start Date]],23),IF(Main[[#This Row],[Class]]="B", WORKDAY(Main[[#This Row],[Tech Start Date]],15),IF(Main[[#This Row],[Class]]="A",WORKDAY(Main[[#This Row],[Tech Start Date]],5),""))))</f>
        <v/>
      </c>
      <c r="P479" s="167" t="str">
        <f>IF(Main[[#This Row],[Tech Start Date]]&lt;1/1/1990,"",IF(Main[[#This Row],[Class]]="C",WORKDAY(Main[[#This Row],[Tech Start Date]],28),IF(Main[[#This Row],[Class]]="B", WORKDAY(Main[[#This Row],[Tech Start Date]],19),IF(Main[[#This Row],[Class]]="A",WORKDAY(Main[[#This Row],[Tech Start Date]],9),""))))</f>
        <v/>
      </c>
      <c r="Q479" s="160">
        <v>40318</v>
      </c>
      <c r="R479" s="160"/>
      <c r="S479" s="157" t="s">
        <v>11</v>
      </c>
      <c r="T479" s="171" t="s">
        <v>4</v>
      </c>
      <c r="U479" s="157" t="s">
        <v>14</v>
      </c>
      <c r="V479" s="157" t="s">
        <v>1927</v>
      </c>
      <c r="W479" s="157" t="s">
        <v>1928</v>
      </c>
      <c r="X479" s="157" t="s">
        <v>2836</v>
      </c>
      <c r="Y479" s="157" t="s">
        <v>4</v>
      </c>
      <c r="Z479" s="157" t="s">
        <v>4</v>
      </c>
      <c r="AA479" s="153" t="s">
        <v>2836</v>
      </c>
    </row>
    <row r="480" spans="1:27" ht="18.600000000000001" customHeight="1">
      <c r="A480" s="155" t="str">
        <f>IF(priority(Main[[#This Row],[Comments]])&lt;&gt;0, priority(Main[[#This Row],[Comments]]),"")</f>
        <v/>
      </c>
      <c r="B480" s="156" t="s">
        <v>2374</v>
      </c>
      <c r="C480" s="157" t="s">
        <v>4</v>
      </c>
      <c r="D480" s="158" t="s">
        <v>2375</v>
      </c>
      <c r="E480" s="160"/>
      <c r="F480" s="160"/>
      <c r="G480" s="162" t="str">
        <f>IF(stdProdLT(Main[[#This Row],[Comments]])=0.1,"N/A",IF(stdProdLT(Main[[#This Row],[Comments]])=0,"",stdProdLT(Main[[#This Row],[Comments]])))</f>
        <v/>
      </c>
      <c r="H480" s="164" t="str">
        <f>IF(AND(Main[[#This Row],[In Stock Date]]&lt;&gt;"",Main[[#This Row],[Revised Due Date]]&lt;&gt;""),Main[[#This Row],[In Stock Date]]-Main[[#This Row],[Revised Due Date]],"")</f>
        <v/>
      </c>
      <c r="I480" s="157" t="s">
        <v>4</v>
      </c>
      <c r="J480" s="157" t="s">
        <v>4</v>
      </c>
      <c r="K480" s="157" t="s">
        <v>4</v>
      </c>
      <c r="L480" s="160"/>
      <c r="M480" s="167" t="str">
        <f>IF(Main[[#This Row],[Tech Start Date]]&lt;1/1/1990,"",IF(Main[[#This Row],[Class]]="C",WORKDAY(Main[[#This Row],[Tech Start Date]],9),IF(Main[[#This Row],[Class]]="B", WORKDAY(Main[[#This Row],[Tech Start Date]],6),IF(Main[[#This Row],[Class]]="A",WORKDAY(Main[[#This Row],[Tech Start Date]],2),""))))</f>
        <v/>
      </c>
      <c r="N480" s="167" t="str">
        <f>IF(Main[[#This Row],[Tech Start Date]]&lt;1/1/1990,"",IF(Main[[#This Row],[Class]]="C",WORKDAY(Main[[#This Row],[Tech Start Date]],19),IF(Main[[#This Row],[Class]]="B", WORKDAY(Main[[#This Row],[Tech Start Date]],12),IF(Main[[#This Row],[Class]]="A",WORKDAY(Main[[#This Row],[Tech Start Date]],4),""))))</f>
        <v/>
      </c>
      <c r="O480" s="167" t="str">
        <f>IF(Main[[#This Row],[Tech Start Date]]&lt;1/1/1990,"",IF(Main[[#This Row],[Class]]="C",WORKDAY(Main[[#This Row],[Tech Start Date]],23),IF(Main[[#This Row],[Class]]="B", WORKDAY(Main[[#This Row],[Tech Start Date]],15),IF(Main[[#This Row],[Class]]="A",WORKDAY(Main[[#This Row],[Tech Start Date]],5),""))))</f>
        <v/>
      </c>
      <c r="P480" s="167" t="str">
        <f>IF(Main[[#This Row],[Tech Start Date]]&lt;1/1/1990,"",IF(Main[[#This Row],[Class]]="C",WORKDAY(Main[[#This Row],[Tech Start Date]],28),IF(Main[[#This Row],[Class]]="B", WORKDAY(Main[[#This Row],[Tech Start Date]],19),IF(Main[[#This Row],[Class]]="A",WORKDAY(Main[[#This Row],[Tech Start Date]],9),""))))</f>
        <v/>
      </c>
      <c r="Q480" s="160"/>
      <c r="R480" s="160"/>
      <c r="S480" s="157" t="s">
        <v>11</v>
      </c>
      <c r="T480" s="171" t="s">
        <v>4</v>
      </c>
      <c r="U480" s="157" t="s">
        <v>14</v>
      </c>
      <c r="V480" s="157" t="s">
        <v>1918</v>
      </c>
      <c r="W480" s="157" t="s">
        <v>4</v>
      </c>
      <c r="X480" s="157" t="s">
        <v>2254</v>
      </c>
      <c r="Y480" s="157" t="s">
        <v>4</v>
      </c>
      <c r="Z480" s="157" t="s">
        <v>4</v>
      </c>
      <c r="AA480" s="153" t="s">
        <v>4</v>
      </c>
    </row>
    <row r="481" spans="1:27" ht="18.600000000000001" customHeight="1">
      <c r="A481" s="139" t="str">
        <f>IF(priority(Main[[#This Row],[Comments]])&lt;&gt;0, priority(Main[[#This Row],[Comments]]),"")</f>
        <v/>
      </c>
      <c r="B481" s="89" t="s">
        <v>3612</v>
      </c>
      <c r="C481" s="72" t="s">
        <v>3613</v>
      </c>
      <c r="D481" s="73" t="s">
        <v>3614</v>
      </c>
      <c r="E481" s="74"/>
      <c r="F481" s="74">
        <v>40982</v>
      </c>
      <c r="G481" s="75" t="str">
        <f>IF(stdProdLT(Main[[#This Row],[Comments]])=0.1,"N/A",IF(stdProdLT(Main[[#This Row],[Comments]])=0,"",stdProdLT(Main[[#This Row],[Comments]])))</f>
        <v/>
      </c>
      <c r="H481" s="76" t="str">
        <f>IF(AND(Main[[#This Row],[In Stock Date]]&lt;&gt;"",Main[[#This Row],[Revised Due Date]]&lt;&gt;""),Main[[#This Row],[In Stock Date]]-Main[[#This Row],[Revised Due Date]],"")</f>
        <v/>
      </c>
      <c r="I481" s="72" t="s">
        <v>4</v>
      </c>
      <c r="J481" s="72" t="s">
        <v>4</v>
      </c>
      <c r="K481" s="72" t="s">
        <v>4</v>
      </c>
      <c r="L481" s="74"/>
      <c r="M481" s="77" t="str">
        <f>IF(Main[[#This Row],[Tech Start Date]]&lt;1/1/1990,"",IF(Main[[#This Row],[Class]]="C",WORKDAY(Main[[#This Row],[Tech Start Date]],9),IF(Main[[#This Row],[Class]]="B", WORKDAY(Main[[#This Row],[Tech Start Date]],6),IF(Main[[#This Row],[Class]]="A",WORKDAY(Main[[#This Row],[Tech Start Date]],2),""))))</f>
        <v/>
      </c>
      <c r="N481" s="77" t="str">
        <f>IF(Main[[#This Row],[Tech Start Date]]&lt;1/1/1990,"",IF(Main[[#This Row],[Class]]="C",WORKDAY(Main[[#This Row],[Tech Start Date]],19),IF(Main[[#This Row],[Class]]="B", WORKDAY(Main[[#This Row],[Tech Start Date]],12),IF(Main[[#This Row],[Class]]="A",WORKDAY(Main[[#This Row],[Tech Start Date]],4),""))))</f>
        <v/>
      </c>
      <c r="O481" s="77" t="str">
        <f>IF(Main[[#This Row],[Tech Start Date]]&lt;1/1/1990,"",IF(Main[[#This Row],[Class]]="C",WORKDAY(Main[[#This Row],[Tech Start Date]],23),IF(Main[[#This Row],[Class]]="B", WORKDAY(Main[[#This Row],[Tech Start Date]],15),IF(Main[[#This Row],[Class]]="A",WORKDAY(Main[[#This Row],[Tech Start Date]],5),""))))</f>
        <v/>
      </c>
      <c r="P481" s="77" t="str">
        <f>IF(Main[[#This Row],[Tech Start Date]]&lt;1/1/1990,"",IF(Main[[#This Row],[Class]]="C",WORKDAY(Main[[#This Row],[Tech Start Date]],28),IF(Main[[#This Row],[Class]]="B", WORKDAY(Main[[#This Row],[Tech Start Date]],19),IF(Main[[#This Row],[Class]]="A",WORKDAY(Main[[#This Row],[Tech Start Date]],9),""))))</f>
        <v/>
      </c>
      <c r="Q481" s="74"/>
      <c r="R481" s="74"/>
      <c r="S481" s="72" t="s">
        <v>11</v>
      </c>
      <c r="T481" s="80" t="s">
        <v>4</v>
      </c>
      <c r="U481" s="72" t="s">
        <v>12</v>
      </c>
      <c r="V481" s="72" t="s">
        <v>1920</v>
      </c>
      <c r="W481" s="72" t="s">
        <v>1922</v>
      </c>
      <c r="X481" s="72" t="s">
        <v>2840</v>
      </c>
      <c r="Y481" s="72" t="s">
        <v>3605</v>
      </c>
      <c r="Z481" s="72" t="s">
        <v>4</v>
      </c>
      <c r="AA481" s="146" t="s">
        <v>2840</v>
      </c>
    </row>
    <row r="482" spans="1:27" ht="18.600000000000001" customHeight="1">
      <c r="A482" s="155" t="str">
        <f>IF(priority(Main[[#This Row],[Comments]])&lt;&gt;0, priority(Main[[#This Row],[Comments]]),"")</f>
        <v/>
      </c>
      <c r="B482" s="156" t="s">
        <v>1334</v>
      </c>
      <c r="C482" s="157" t="s">
        <v>31</v>
      </c>
      <c r="D482" s="158" t="s">
        <v>387</v>
      </c>
      <c r="E482" s="160"/>
      <c r="F482" s="160"/>
      <c r="G482" s="162" t="str">
        <f>IF(stdProdLT(Main[[#This Row],[Comments]])=0.1,"N/A",IF(stdProdLT(Main[[#This Row],[Comments]])=0,"",stdProdLT(Main[[#This Row],[Comments]])))</f>
        <v/>
      </c>
      <c r="H482" s="164" t="str">
        <f>IF(AND(Main[[#This Row],[In Stock Date]]&lt;&gt;"",Main[[#This Row],[Revised Due Date]]&lt;&gt;""),Main[[#This Row],[In Stock Date]]-Main[[#This Row],[Revised Due Date]],"")</f>
        <v/>
      </c>
      <c r="I482" s="157" t="s">
        <v>4</v>
      </c>
      <c r="J482" s="157" t="s">
        <v>4</v>
      </c>
      <c r="K482" s="157" t="s">
        <v>4</v>
      </c>
      <c r="L482" s="160"/>
      <c r="M482" s="167" t="str">
        <f>IF(Main[[#This Row],[Tech Start Date]]&lt;1/1/1990,"",IF(Main[[#This Row],[Class]]="C",WORKDAY(Main[[#This Row],[Tech Start Date]],9),IF(Main[[#This Row],[Class]]="B", WORKDAY(Main[[#This Row],[Tech Start Date]],6),IF(Main[[#This Row],[Class]]="A",WORKDAY(Main[[#This Row],[Tech Start Date]],2),""))))</f>
        <v/>
      </c>
      <c r="N482" s="167" t="str">
        <f>IF(Main[[#This Row],[Tech Start Date]]&lt;1/1/1990,"",IF(Main[[#This Row],[Class]]="C",WORKDAY(Main[[#This Row],[Tech Start Date]],19),IF(Main[[#This Row],[Class]]="B", WORKDAY(Main[[#This Row],[Tech Start Date]],12),IF(Main[[#This Row],[Class]]="A",WORKDAY(Main[[#This Row],[Tech Start Date]],4),""))))</f>
        <v/>
      </c>
      <c r="O482" s="167" t="str">
        <f>IF(Main[[#This Row],[Tech Start Date]]&lt;1/1/1990,"",IF(Main[[#This Row],[Class]]="C",WORKDAY(Main[[#This Row],[Tech Start Date]],23),IF(Main[[#This Row],[Class]]="B", WORKDAY(Main[[#This Row],[Tech Start Date]],15),IF(Main[[#This Row],[Class]]="A",WORKDAY(Main[[#This Row],[Tech Start Date]],5),""))))</f>
        <v/>
      </c>
      <c r="P482" s="167" t="str">
        <f>IF(Main[[#This Row],[Tech Start Date]]&lt;1/1/1990,"",IF(Main[[#This Row],[Class]]="C",WORKDAY(Main[[#This Row],[Tech Start Date]],28),IF(Main[[#This Row],[Class]]="B", WORKDAY(Main[[#This Row],[Tech Start Date]],19),IF(Main[[#This Row],[Class]]="A",WORKDAY(Main[[#This Row],[Tech Start Date]],9),""))))</f>
        <v/>
      </c>
      <c r="Q482" s="160">
        <v>40318</v>
      </c>
      <c r="R482" s="160"/>
      <c r="S482" s="157" t="s">
        <v>11</v>
      </c>
      <c r="T482" s="171" t="s">
        <v>4</v>
      </c>
      <c r="U482" s="157" t="s">
        <v>14</v>
      </c>
      <c r="V482" s="157" t="s">
        <v>1927</v>
      </c>
      <c r="W482" s="157" t="s">
        <v>1919</v>
      </c>
      <c r="X482" s="157" t="s">
        <v>2836</v>
      </c>
      <c r="Y482" s="157" t="s">
        <v>4</v>
      </c>
      <c r="Z482" s="157" t="s">
        <v>4</v>
      </c>
      <c r="AA482" s="153" t="s">
        <v>2836</v>
      </c>
    </row>
    <row r="483" spans="1:27" ht="18.600000000000001" customHeight="1">
      <c r="A483" s="139" t="str">
        <f>IF(priority(Main[[#This Row],[Comments]])&lt;&gt;0, priority(Main[[#This Row],[Comments]]),"")</f>
        <v/>
      </c>
      <c r="B483" s="89" t="s">
        <v>1335</v>
      </c>
      <c r="C483" s="72" t="s">
        <v>31</v>
      </c>
      <c r="D483" s="73" t="s">
        <v>388</v>
      </c>
      <c r="E483" s="74"/>
      <c r="F483" s="74">
        <v>40288</v>
      </c>
      <c r="G483" s="75" t="str">
        <f>IF(stdProdLT(Main[[#This Row],[Comments]])=0.1,"N/A",IF(stdProdLT(Main[[#This Row],[Comments]])=0,"",stdProdLT(Main[[#This Row],[Comments]])))</f>
        <v/>
      </c>
      <c r="H483" s="76" t="str">
        <f>IF(AND(Main[[#This Row],[In Stock Date]]&lt;&gt;"",Main[[#This Row],[Revised Due Date]]&lt;&gt;""),Main[[#This Row],[In Stock Date]]-Main[[#This Row],[Revised Due Date]],"")</f>
        <v/>
      </c>
      <c r="I483" s="72" t="s">
        <v>4</v>
      </c>
      <c r="J483" s="72" t="s">
        <v>4</v>
      </c>
      <c r="K483" s="72" t="s">
        <v>4</v>
      </c>
      <c r="L483" s="74"/>
      <c r="M483" s="77" t="str">
        <f>IF(Main[[#This Row],[Tech Start Date]]&lt;1/1/1990,"",IF(Main[[#This Row],[Class]]="C",WORKDAY(Main[[#This Row],[Tech Start Date]],9),IF(Main[[#This Row],[Class]]="B", WORKDAY(Main[[#This Row],[Tech Start Date]],6),IF(Main[[#This Row],[Class]]="A",WORKDAY(Main[[#This Row],[Tech Start Date]],2),""))))</f>
        <v/>
      </c>
      <c r="N483" s="77" t="str">
        <f>IF(Main[[#This Row],[Tech Start Date]]&lt;1/1/1990,"",IF(Main[[#This Row],[Class]]="C",WORKDAY(Main[[#This Row],[Tech Start Date]],19),IF(Main[[#This Row],[Class]]="B", WORKDAY(Main[[#This Row],[Tech Start Date]],12),IF(Main[[#This Row],[Class]]="A",WORKDAY(Main[[#This Row],[Tech Start Date]],4),""))))</f>
        <v/>
      </c>
      <c r="O483" s="77" t="str">
        <f>IF(Main[[#This Row],[Tech Start Date]]&lt;1/1/1990,"",IF(Main[[#This Row],[Class]]="C",WORKDAY(Main[[#This Row],[Tech Start Date]],23),IF(Main[[#This Row],[Class]]="B", WORKDAY(Main[[#This Row],[Tech Start Date]],15),IF(Main[[#This Row],[Class]]="A",WORKDAY(Main[[#This Row],[Tech Start Date]],5),""))))</f>
        <v/>
      </c>
      <c r="P483" s="77" t="str">
        <f>IF(Main[[#This Row],[Tech Start Date]]&lt;1/1/1990,"",IF(Main[[#This Row],[Class]]="C",WORKDAY(Main[[#This Row],[Tech Start Date]],28),IF(Main[[#This Row],[Class]]="B", WORKDAY(Main[[#This Row],[Tech Start Date]],19),IF(Main[[#This Row],[Class]]="A",WORKDAY(Main[[#This Row],[Tech Start Date]],9),""))))</f>
        <v/>
      </c>
      <c r="Q483" s="74">
        <v>40106</v>
      </c>
      <c r="R483" s="74"/>
      <c r="S483" s="72" t="s">
        <v>11</v>
      </c>
      <c r="T483" s="80" t="s">
        <v>4</v>
      </c>
      <c r="U483" s="72" t="s">
        <v>14</v>
      </c>
      <c r="V483" s="72" t="s">
        <v>1920</v>
      </c>
      <c r="W483" s="72" t="s">
        <v>1928</v>
      </c>
      <c r="X483" s="72" t="s">
        <v>2836</v>
      </c>
      <c r="Y483" s="72" t="s">
        <v>4</v>
      </c>
      <c r="Z483" s="72" t="s">
        <v>4</v>
      </c>
      <c r="AA483" s="146" t="s">
        <v>2836</v>
      </c>
    </row>
    <row r="484" spans="1:27" ht="18.600000000000001" customHeight="1">
      <c r="A484" s="139" t="str">
        <f>IF(priority(Main[[#This Row],[Comments]])&lt;&gt;0, priority(Main[[#This Row],[Comments]]),"")</f>
        <v/>
      </c>
      <c r="B484" s="89" t="s">
        <v>1905</v>
      </c>
      <c r="C484" s="72" t="s">
        <v>277</v>
      </c>
      <c r="D484" s="73" t="s">
        <v>955</v>
      </c>
      <c r="E484" s="74"/>
      <c r="F484" s="74">
        <v>40543</v>
      </c>
      <c r="G484" s="75" t="str">
        <f>IF(stdProdLT(Main[[#This Row],[Comments]])=0.1,"N/A",IF(stdProdLT(Main[[#This Row],[Comments]])=0,"",stdProdLT(Main[[#This Row],[Comments]])))</f>
        <v/>
      </c>
      <c r="H484" s="76">
        <f>IF(AND(Main[[#This Row],[In Stock Date]]&lt;&gt;"",Main[[#This Row],[Revised Due Date]]&lt;&gt;""),Main[[#This Row],[In Stock Date]]-Main[[#This Row],[Revised Due Date]],"")</f>
        <v>-200</v>
      </c>
      <c r="I484" s="72" t="s">
        <v>163</v>
      </c>
      <c r="J484" s="72" t="s">
        <v>4</v>
      </c>
      <c r="K484" s="72" t="s">
        <v>1929</v>
      </c>
      <c r="L484" s="74"/>
      <c r="M484" s="77" t="str">
        <f>IF(Main[[#This Row],[Tech Start Date]]&lt;1/1/1990,"",IF(Main[[#This Row],[Class]]="C",WORKDAY(Main[[#This Row],[Tech Start Date]],9),IF(Main[[#This Row],[Class]]="B", WORKDAY(Main[[#This Row],[Tech Start Date]],6),IF(Main[[#This Row],[Class]]="A",WORKDAY(Main[[#This Row],[Tech Start Date]],2),""))))</f>
        <v/>
      </c>
      <c r="N484" s="77" t="str">
        <f>IF(Main[[#This Row],[Tech Start Date]]&lt;1/1/1990,"",IF(Main[[#This Row],[Class]]="C",WORKDAY(Main[[#This Row],[Tech Start Date]],19),IF(Main[[#This Row],[Class]]="B", WORKDAY(Main[[#This Row],[Tech Start Date]],12),IF(Main[[#This Row],[Class]]="A",WORKDAY(Main[[#This Row],[Tech Start Date]],4),""))))</f>
        <v/>
      </c>
      <c r="O484" s="77" t="str">
        <f>IF(Main[[#This Row],[Tech Start Date]]&lt;1/1/1990,"",IF(Main[[#This Row],[Class]]="C",WORKDAY(Main[[#This Row],[Tech Start Date]],23),IF(Main[[#This Row],[Class]]="B", WORKDAY(Main[[#This Row],[Tech Start Date]],15),IF(Main[[#This Row],[Class]]="A",WORKDAY(Main[[#This Row],[Tech Start Date]],5),""))))</f>
        <v/>
      </c>
      <c r="P484" s="77" t="str">
        <f>IF(Main[[#This Row],[Tech Start Date]]&lt;1/1/1990,"",IF(Main[[#This Row],[Class]]="C",WORKDAY(Main[[#This Row],[Tech Start Date]],28),IF(Main[[#This Row],[Class]]="B", WORKDAY(Main[[#This Row],[Tech Start Date]],19),IF(Main[[#This Row],[Class]]="A",WORKDAY(Main[[#This Row],[Tech Start Date]],9),""))))</f>
        <v/>
      </c>
      <c r="Q484" s="74">
        <v>40543</v>
      </c>
      <c r="R484" s="74">
        <v>40743</v>
      </c>
      <c r="S484" s="72" t="s">
        <v>17</v>
      </c>
      <c r="T484" s="80" t="s">
        <v>4</v>
      </c>
      <c r="U484" s="72" t="s">
        <v>14</v>
      </c>
      <c r="V484" s="72" t="s">
        <v>1920</v>
      </c>
      <c r="W484" s="72" t="s">
        <v>1919</v>
      </c>
      <c r="X484" s="72" t="s">
        <v>65</v>
      </c>
      <c r="Y484" s="72" t="s">
        <v>4</v>
      </c>
      <c r="Z484" s="72" t="s">
        <v>415</v>
      </c>
      <c r="AA484" s="146" t="s">
        <v>65</v>
      </c>
    </row>
    <row r="485" spans="1:27" ht="18.600000000000001" customHeight="1">
      <c r="A485" s="155" t="str">
        <f>IF(priority(Main[[#This Row],[Comments]])&lt;&gt;0, priority(Main[[#This Row],[Comments]]),"")</f>
        <v/>
      </c>
      <c r="B485" s="156" t="s">
        <v>1310</v>
      </c>
      <c r="C485" s="157" t="s">
        <v>4</v>
      </c>
      <c r="D485" s="158" t="s">
        <v>389</v>
      </c>
      <c r="E485" s="160"/>
      <c r="F485" s="160"/>
      <c r="G485" s="162" t="str">
        <f>IF(stdProdLT(Main[[#This Row],[Comments]])=0.1,"N/A",IF(stdProdLT(Main[[#This Row],[Comments]])=0,"",stdProdLT(Main[[#This Row],[Comments]])))</f>
        <v/>
      </c>
      <c r="H485" s="164" t="str">
        <f>IF(AND(Main[[#This Row],[In Stock Date]]&lt;&gt;"",Main[[#This Row],[Revised Due Date]]&lt;&gt;""),Main[[#This Row],[In Stock Date]]-Main[[#This Row],[Revised Due Date]],"")</f>
        <v/>
      </c>
      <c r="I485" s="157" t="s">
        <v>4</v>
      </c>
      <c r="J485" s="157" t="s">
        <v>4</v>
      </c>
      <c r="K485" s="157" t="s">
        <v>4</v>
      </c>
      <c r="L485" s="160"/>
      <c r="M485" s="167" t="str">
        <f>IF(Main[[#This Row],[Tech Start Date]]&lt;1/1/1990,"",IF(Main[[#This Row],[Class]]="C",WORKDAY(Main[[#This Row],[Tech Start Date]],9),IF(Main[[#This Row],[Class]]="B", WORKDAY(Main[[#This Row],[Tech Start Date]],6),IF(Main[[#This Row],[Class]]="A",WORKDAY(Main[[#This Row],[Tech Start Date]],2),""))))</f>
        <v/>
      </c>
      <c r="N485" s="167" t="str">
        <f>IF(Main[[#This Row],[Tech Start Date]]&lt;1/1/1990,"",IF(Main[[#This Row],[Class]]="C",WORKDAY(Main[[#This Row],[Tech Start Date]],19),IF(Main[[#This Row],[Class]]="B", WORKDAY(Main[[#This Row],[Tech Start Date]],12),IF(Main[[#This Row],[Class]]="A",WORKDAY(Main[[#This Row],[Tech Start Date]],4),""))))</f>
        <v/>
      </c>
      <c r="O485" s="167" t="str">
        <f>IF(Main[[#This Row],[Tech Start Date]]&lt;1/1/1990,"",IF(Main[[#This Row],[Class]]="C",WORKDAY(Main[[#This Row],[Tech Start Date]],23),IF(Main[[#This Row],[Class]]="B", WORKDAY(Main[[#This Row],[Tech Start Date]],15),IF(Main[[#This Row],[Class]]="A",WORKDAY(Main[[#This Row],[Tech Start Date]],5),""))))</f>
        <v/>
      </c>
      <c r="P485" s="167" t="str">
        <f>IF(Main[[#This Row],[Tech Start Date]]&lt;1/1/1990,"",IF(Main[[#This Row],[Class]]="C",WORKDAY(Main[[#This Row],[Tech Start Date]],28),IF(Main[[#This Row],[Class]]="B", WORKDAY(Main[[#This Row],[Tech Start Date]],19),IF(Main[[#This Row],[Class]]="A",WORKDAY(Main[[#This Row],[Tech Start Date]],9),""))))</f>
        <v/>
      </c>
      <c r="Q485" s="160"/>
      <c r="R485" s="160"/>
      <c r="S485" s="157" t="s">
        <v>4</v>
      </c>
      <c r="T485" s="171" t="s">
        <v>4</v>
      </c>
      <c r="U485" s="157" t="s">
        <v>14</v>
      </c>
      <c r="V485" s="157" t="s">
        <v>1918</v>
      </c>
      <c r="W485" s="157" t="s">
        <v>4</v>
      </c>
      <c r="X485" s="157" t="s">
        <v>924</v>
      </c>
      <c r="Y485" s="157" t="s">
        <v>4</v>
      </c>
      <c r="Z485" s="157" t="s">
        <v>4</v>
      </c>
      <c r="AA485" s="153" t="s">
        <v>4</v>
      </c>
    </row>
    <row r="486" spans="1:27" ht="18.600000000000001" customHeight="1">
      <c r="A486" s="155" t="str">
        <f>IF(priority(Main[[#This Row],[Comments]])&lt;&gt;0, priority(Main[[#This Row],[Comments]]),"")</f>
        <v/>
      </c>
      <c r="B486" s="156" t="s">
        <v>1194</v>
      </c>
      <c r="C486" s="157" t="s">
        <v>4</v>
      </c>
      <c r="D486" s="158" t="s">
        <v>252</v>
      </c>
      <c r="E486" s="160"/>
      <c r="F486" s="160"/>
      <c r="G486" s="162" t="str">
        <f>IF(stdProdLT(Main[[#This Row],[Comments]])=0.1,"N/A",IF(stdProdLT(Main[[#This Row],[Comments]])=0,"",stdProdLT(Main[[#This Row],[Comments]])))</f>
        <v/>
      </c>
      <c r="H486" s="164" t="str">
        <f>IF(AND(Main[[#This Row],[In Stock Date]]&lt;&gt;"",Main[[#This Row],[Revised Due Date]]&lt;&gt;""),Main[[#This Row],[In Stock Date]]-Main[[#This Row],[Revised Due Date]],"")</f>
        <v/>
      </c>
      <c r="I486" s="157" t="s">
        <v>4</v>
      </c>
      <c r="J486" s="157" t="s">
        <v>4</v>
      </c>
      <c r="K486" s="157" t="s">
        <v>4</v>
      </c>
      <c r="L486" s="160"/>
      <c r="M486" s="167" t="str">
        <f>IF(Main[[#This Row],[Tech Start Date]]&lt;1/1/1990,"",IF(Main[[#This Row],[Class]]="C",WORKDAY(Main[[#This Row],[Tech Start Date]],9),IF(Main[[#This Row],[Class]]="B", WORKDAY(Main[[#This Row],[Tech Start Date]],6),IF(Main[[#This Row],[Class]]="A",WORKDAY(Main[[#This Row],[Tech Start Date]],2),""))))</f>
        <v/>
      </c>
      <c r="N486" s="167" t="str">
        <f>IF(Main[[#This Row],[Tech Start Date]]&lt;1/1/1990,"",IF(Main[[#This Row],[Class]]="C",WORKDAY(Main[[#This Row],[Tech Start Date]],19),IF(Main[[#This Row],[Class]]="B", WORKDAY(Main[[#This Row],[Tech Start Date]],12),IF(Main[[#This Row],[Class]]="A",WORKDAY(Main[[#This Row],[Tech Start Date]],4),""))))</f>
        <v/>
      </c>
      <c r="O486" s="167" t="str">
        <f>IF(Main[[#This Row],[Tech Start Date]]&lt;1/1/1990,"",IF(Main[[#This Row],[Class]]="C",WORKDAY(Main[[#This Row],[Tech Start Date]],23),IF(Main[[#This Row],[Class]]="B", WORKDAY(Main[[#This Row],[Tech Start Date]],15),IF(Main[[#This Row],[Class]]="A",WORKDAY(Main[[#This Row],[Tech Start Date]],5),""))))</f>
        <v/>
      </c>
      <c r="P486" s="167" t="str">
        <f>IF(Main[[#This Row],[Tech Start Date]]&lt;1/1/1990,"",IF(Main[[#This Row],[Class]]="C",WORKDAY(Main[[#This Row],[Tech Start Date]],28),IF(Main[[#This Row],[Class]]="B", WORKDAY(Main[[#This Row],[Tech Start Date]],19),IF(Main[[#This Row],[Class]]="A",WORKDAY(Main[[#This Row],[Tech Start Date]],9),""))))</f>
        <v/>
      </c>
      <c r="Q486" s="160"/>
      <c r="R486" s="160"/>
      <c r="S486" s="157" t="s">
        <v>11</v>
      </c>
      <c r="T486" s="171" t="s">
        <v>4</v>
      </c>
      <c r="U486" s="157" t="s">
        <v>12</v>
      </c>
      <c r="V486" s="157" t="s">
        <v>1917</v>
      </c>
      <c r="W486" s="157" t="s">
        <v>1921</v>
      </c>
      <c r="X486" s="157" t="s">
        <v>879</v>
      </c>
      <c r="Y486" s="157" t="s">
        <v>3040</v>
      </c>
      <c r="Z486" s="157" t="s">
        <v>4</v>
      </c>
      <c r="AA486" s="153" t="s">
        <v>3413</v>
      </c>
    </row>
    <row r="487" spans="1:27" ht="18.600000000000001" customHeight="1">
      <c r="A487" s="155" t="str">
        <f>IF(priority(Main[[#This Row],[Comments]])&lt;&gt;0, priority(Main[[#This Row],[Comments]]),"")</f>
        <v/>
      </c>
      <c r="B487" s="156" t="s">
        <v>1195</v>
      </c>
      <c r="C487" s="157" t="s">
        <v>155</v>
      </c>
      <c r="D487" s="158" t="s">
        <v>253</v>
      </c>
      <c r="E487" s="160"/>
      <c r="F487" s="160"/>
      <c r="G487" s="162" t="str">
        <f>IF(stdProdLT(Main[[#This Row],[Comments]])=0.1,"N/A",IF(stdProdLT(Main[[#This Row],[Comments]])=0,"",stdProdLT(Main[[#This Row],[Comments]])))</f>
        <v/>
      </c>
      <c r="H487" s="164" t="str">
        <f>IF(AND(Main[[#This Row],[In Stock Date]]&lt;&gt;"",Main[[#This Row],[Revised Due Date]]&lt;&gt;""),Main[[#This Row],[In Stock Date]]-Main[[#This Row],[Revised Due Date]],"")</f>
        <v/>
      </c>
      <c r="I487" s="157" t="s">
        <v>4</v>
      </c>
      <c r="J487" s="157" t="s">
        <v>4</v>
      </c>
      <c r="K487" s="157" t="s">
        <v>4</v>
      </c>
      <c r="L487" s="160"/>
      <c r="M487" s="167" t="str">
        <f>IF(Main[[#This Row],[Tech Start Date]]&lt;1/1/1990,"",IF(Main[[#This Row],[Class]]="C",WORKDAY(Main[[#This Row],[Tech Start Date]],9),IF(Main[[#This Row],[Class]]="B", WORKDAY(Main[[#This Row],[Tech Start Date]],6),IF(Main[[#This Row],[Class]]="A",WORKDAY(Main[[#This Row],[Tech Start Date]],2),""))))</f>
        <v/>
      </c>
      <c r="N487" s="167" t="str">
        <f>IF(Main[[#This Row],[Tech Start Date]]&lt;1/1/1990,"",IF(Main[[#This Row],[Class]]="C",WORKDAY(Main[[#This Row],[Tech Start Date]],19),IF(Main[[#This Row],[Class]]="B", WORKDAY(Main[[#This Row],[Tech Start Date]],12),IF(Main[[#This Row],[Class]]="A",WORKDAY(Main[[#This Row],[Tech Start Date]],4),""))))</f>
        <v/>
      </c>
      <c r="O487" s="167" t="str">
        <f>IF(Main[[#This Row],[Tech Start Date]]&lt;1/1/1990,"",IF(Main[[#This Row],[Class]]="C",WORKDAY(Main[[#This Row],[Tech Start Date]],23),IF(Main[[#This Row],[Class]]="B", WORKDAY(Main[[#This Row],[Tech Start Date]],15),IF(Main[[#This Row],[Class]]="A",WORKDAY(Main[[#This Row],[Tech Start Date]],5),""))))</f>
        <v/>
      </c>
      <c r="P487" s="167" t="str">
        <f>IF(Main[[#This Row],[Tech Start Date]]&lt;1/1/1990,"",IF(Main[[#This Row],[Class]]="C",WORKDAY(Main[[#This Row],[Tech Start Date]],28),IF(Main[[#This Row],[Class]]="B", WORKDAY(Main[[#This Row],[Tech Start Date]],19),IF(Main[[#This Row],[Class]]="A",WORKDAY(Main[[#This Row],[Tech Start Date]],9),""))))</f>
        <v/>
      </c>
      <c r="Q487" s="160">
        <v>40144</v>
      </c>
      <c r="R487" s="160"/>
      <c r="S487" s="157" t="s">
        <v>11</v>
      </c>
      <c r="T487" s="171" t="s">
        <v>4</v>
      </c>
      <c r="U487" s="157" t="s">
        <v>14</v>
      </c>
      <c r="V487" s="157" t="s">
        <v>1917</v>
      </c>
      <c r="W487" s="157" t="s">
        <v>1919</v>
      </c>
      <c r="X487" s="157" t="s">
        <v>2860</v>
      </c>
      <c r="Y487" s="157" t="s">
        <v>4</v>
      </c>
      <c r="Z487" s="157" t="s">
        <v>4</v>
      </c>
      <c r="AA487" s="153" t="s">
        <v>2860</v>
      </c>
    </row>
    <row r="488" spans="1:27" ht="18.600000000000001" customHeight="1">
      <c r="A488" s="139" t="str">
        <f>IF(priority(Main[[#This Row],[Comments]])&lt;&gt;0, priority(Main[[#This Row],[Comments]]),"")</f>
        <v/>
      </c>
      <c r="B488" s="89" t="s">
        <v>1196</v>
      </c>
      <c r="C488" s="72" t="s">
        <v>4</v>
      </c>
      <c r="D488" s="73" t="s">
        <v>254</v>
      </c>
      <c r="E488" s="74">
        <v>40703.393472222226</v>
      </c>
      <c r="F488" s="74"/>
      <c r="G488" s="75" t="str">
        <f>IF(stdProdLT(Main[[#This Row],[Comments]])=0.1,"N/A",IF(stdProdLT(Main[[#This Row],[Comments]])=0,"",stdProdLT(Main[[#This Row],[Comments]])))</f>
        <v/>
      </c>
      <c r="H488" s="76" t="str">
        <f>IF(AND(Main[[#This Row],[In Stock Date]]&lt;&gt;"",Main[[#This Row],[Revised Due Date]]&lt;&gt;""),Main[[#This Row],[In Stock Date]]-Main[[#This Row],[Revised Due Date]],"")</f>
        <v/>
      </c>
      <c r="I488" s="72" t="s">
        <v>4</v>
      </c>
      <c r="J488" s="72" t="s">
        <v>4</v>
      </c>
      <c r="K488" s="72" t="s">
        <v>4</v>
      </c>
      <c r="L488" s="74"/>
      <c r="M488" s="77" t="str">
        <f>IF(Main[[#This Row],[Tech Start Date]]&lt;1/1/1990,"",IF(Main[[#This Row],[Class]]="C",WORKDAY(Main[[#This Row],[Tech Start Date]],9),IF(Main[[#This Row],[Class]]="B", WORKDAY(Main[[#This Row],[Tech Start Date]],6),IF(Main[[#This Row],[Class]]="A",WORKDAY(Main[[#This Row],[Tech Start Date]],2),""))))</f>
        <v/>
      </c>
      <c r="N488" s="77" t="str">
        <f>IF(Main[[#This Row],[Tech Start Date]]&lt;1/1/1990,"",IF(Main[[#This Row],[Class]]="C",WORKDAY(Main[[#This Row],[Tech Start Date]],19),IF(Main[[#This Row],[Class]]="B", WORKDAY(Main[[#This Row],[Tech Start Date]],12),IF(Main[[#This Row],[Class]]="A",WORKDAY(Main[[#This Row],[Tech Start Date]],4),""))))</f>
        <v/>
      </c>
      <c r="O488" s="77" t="str">
        <f>IF(Main[[#This Row],[Tech Start Date]]&lt;1/1/1990,"",IF(Main[[#This Row],[Class]]="C",WORKDAY(Main[[#This Row],[Tech Start Date]],23),IF(Main[[#This Row],[Class]]="B", WORKDAY(Main[[#This Row],[Tech Start Date]],15),IF(Main[[#This Row],[Class]]="A",WORKDAY(Main[[#This Row],[Tech Start Date]],5),""))))</f>
        <v/>
      </c>
      <c r="P488" s="77" t="str">
        <f>IF(Main[[#This Row],[Tech Start Date]]&lt;1/1/1990,"",IF(Main[[#This Row],[Class]]="C",WORKDAY(Main[[#This Row],[Tech Start Date]],28),IF(Main[[#This Row],[Class]]="B", WORKDAY(Main[[#This Row],[Tech Start Date]],19),IF(Main[[#This Row],[Class]]="A",WORKDAY(Main[[#This Row],[Tech Start Date]],9),""))))</f>
        <v/>
      </c>
      <c r="Q488" s="74">
        <v>40724</v>
      </c>
      <c r="R488" s="74"/>
      <c r="S488" s="72" t="s">
        <v>6</v>
      </c>
      <c r="T488" s="80" t="s">
        <v>4</v>
      </c>
      <c r="U488" s="72" t="s">
        <v>7</v>
      </c>
      <c r="V488" s="72" t="s">
        <v>1917</v>
      </c>
      <c r="W488" s="72" t="s">
        <v>1921</v>
      </c>
      <c r="X488" s="72" t="s">
        <v>2842</v>
      </c>
      <c r="Y488" s="72" t="s">
        <v>2971</v>
      </c>
      <c r="Z488" s="72" t="s">
        <v>4</v>
      </c>
      <c r="AA488" s="146" t="s">
        <v>2842</v>
      </c>
    </row>
    <row r="489" spans="1:27" ht="18.600000000000001" customHeight="1">
      <c r="A489" s="139" t="str">
        <f>IF(priority(Main[[#This Row],[Comments]])&lt;&gt;0, priority(Main[[#This Row],[Comments]]),"")</f>
        <v/>
      </c>
      <c r="B489" s="89" t="s">
        <v>1197</v>
      </c>
      <c r="C489" s="72" t="s">
        <v>33</v>
      </c>
      <c r="D489" s="73" t="s">
        <v>255</v>
      </c>
      <c r="E489" s="74"/>
      <c r="F489" s="74"/>
      <c r="G489" s="75" t="str">
        <f>IF(stdProdLT(Main[[#This Row],[Comments]])=0.1,"N/A",IF(stdProdLT(Main[[#This Row],[Comments]])=0,"",stdProdLT(Main[[#This Row],[Comments]])))</f>
        <v/>
      </c>
      <c r="H489" s="76" t="str">
        <f>IF(AND(Main[[#This Row],[In Stock Date]]&lt;&gt;"",Main[[#This Row],[Revised Due Date]]&lt;&gt;""),Main[[#This Row],[In Stock Date]]-Main[[#This Row],[Revised Due Date]],"")</f>
        <v/>
      </c>
      <c r="I489" s="72" t="s">
        <v>4</v>
      </c>
      <c r="J489" s="72" t="s">
        <v>28</v>
      </c>
      <c r="K489" s="72" t="s">
        <v>1930</v>
      </c>
      <c r="L489" s="74"/>
      <c r="M489" s="77" t="str">
        <f>IF(Main[[#This Row],[Tech Start Date]]&lt;1/1/1990,"",IF(Main[[#This Row],[Class]]="C",WORKDAY(Main[[#This Row],[Tech Start Date]],9),IF(Main[[#This Row],[Class]]="B", WORKDAY(Main[[#This Row],[Tech Start Date]],6),IF(Main[[#This Row],[Class]]="A",WORKDAY(Main[[#This Row],[Tech Start Date]],2),""))))</f>
        <v/>
      </c>
      <c r="N489" s="77" t="str">
        <f>IF(Main[[#This Row],[Tech Start Date]]&lt;1/1/1990,"",IF(Main[[#This Row],[Class]]="C",WORKDAY(Main[[#This Row],[Tech Start Date]],19),IF(Main[[#This Row],[Class]]="B", WORKDAY(Main[[#This Row],[Tech Start Date]],12),IF(Main[[#This Row],[Class]]="A",WORKDAY(Main[[#This Row],[Tech Start Date]],4),""))))</f>
        <v/>
      </c>
      <c r="O489" s="77" t="str">
        <f>IF(Main[[#This Row],[Tech Start Date]]&lt;1/1/1990,"",IF(Main[[#This Row],[Class]]="C",WORKDAY(Main[[#This Row],[Tech Start Date]],23),IF(Main[[#This Row],[Class]]="B", WORKDAY(Main[[#This Row],[Tech Start Date]],15),IF(Main[[#This Row],[Class]]="A",WORKDAY(Main[[#This Row],[Tech Start Date]],5),""))))</f>
        <v/>
      </c>
      <c r="P489" s="77" t="str">
        <f>IF(Main[[#This Row],[Tech Start Date]]&lt;1/1/1990,"",IF(Main[[#This Row],[Class]]="C",WORKDAY(Main[[#This Row],[Tech Start Date]],28),IF(Main[[#This Row],[Class]]="B", WORKDAY(Main[[#This Row],[Tech Start Date]],19),IF(Main[[#This Row],[Class]]="A",WORKDAY(Main[[#This Row],[Tech Start Date]],9),""))))</f>
        <v/>
      </c>
      <c r="Q489" s="74">
        <v>40364</v>
      </c>
      <c r="R489" s="74"/>
      <c r="S489" s="72" t="s">
        <v>17</v>
      </c>
      <c r="T489" s="80" t="s">
        <v>4</v>
      </c>
      <c r="U489" s="72" t="s">
        <v>14</v>
      </c>
      <c r="V489" s="72" t="s">
        <v>1918</v>
      </c>
      <c r="W489" s="72" t="s">
        <v>1922</v>
      </c>
      <c r="X489" s="72" t="s">
        <v>2881</v>
      </c>
      <c r="Y489" s="72" t="s">
        <v>3027</v>
      </c>
      <c r="Z489" s="72" t="s">
        <v>108</v>
      </c>
      <c r="AA489" s="146" t="s">
        <v>2881</v>
      </c>
    </row>
    <row r="490" spans="1:27" ht="18.600000000000001" customHeight="1">
      <c r="A490" s="139" t="str">
        <f>IF(priority(Main[[#This Row],[Comments]])&lt;&gt;0, priority(Main[[#This Row],[Comments]]),"")</f>
        <v/>
      </c>
      <c r="B490" s="89" t="s">
        <v>1198</v>
      </c>
      <c r="C490" s="72" t="s">
        <v>31</v>
      </c>
      <c r="D490" s="73" t="s">
        <v>256</v>
      </c>
      <c r="E490" s="74"/>
      <c r="F490" s="74"/>
      <c r="G490" s="75" t="str">
        <f>IF(stdProdLT(Main[[#This Row],[Comments]])=0.1,"N/A",IF(stdProdLT(Main[[#This Row],[Comments]])=0,"",stdProdLT(Main[[#This Row],[Comments]])))</f>
        <v/>
      </c>
      <c r="H490" s="76" t="str">
        <f>IF(AND(Main[[#This Row],[In Stock Date]]&lt;&gt;"",Main[[#This Row],[Revised Due Date]]&lt;&gt;""),Main[[#This Row],[In Stock Date]]-Main[[#This Row],[Revised Due Date]],"")</f>
        <v/>
      </c>
      <c r="I490" s="72" t="s">
        <v>4</v>
      </c>
      <c r="J490" s="72" t="s">
        <v>4</v>
      </c>
      <c r="K490" s="72" t="s">
        <v>4</v>
      </c>
      <c r="L490" s="74"/>
      <c r="M490" s="77" t="str">
        <f>IF(Main[[#This Row],[Tech Start Date]]&lt;1/1/1990,"",IF(Main[[#This Row],[Class]]="C",WORKDAY(Main[[#This Row],[Tech Start Date]],9),IF(Main[[#This Row],[Class]]="B", WORKDAY(Main[[#This Row],[Tech Start Date]],6),IF(Main[[#This Row],[Class]]="A",WORKDAY(Main[[#This Row],[Tech Start Date]],2),""))))</f>
        <v/>
      </c>
      <c r="N490" s="77" t="str">
        <f>IF(Main[[#This Row],[Tech Start Date]]&lt;1/1/1990,"",IF(Main[[#This Row],[Class]]="C",WORKDAY(Main[[#This Row],[Tech Start Date]],19),IF(Main[[#This Row],[Class]]="B", WORKDAY(Main[[#This Row],[Tech Start Date]],12),IF(Main[[#This Row],[Class]]="A",WORKDAY(Main[[#This Row],[Tech Start Date]],4),""))))</f>
        <v/>
      </c>
      <c r="O490" s="77" t="str">
        <f>IF(Main[[#This Row],[Tech Start Date]]&lt;1/1/1990,"",IF(Main[[#This Row],[Class]]="C",WORKDAY(Main[[#This Row],[Tech Start Date]],23),IF(Main[[#This Row],[Class]]="B", WORKDAY(Main[[#This Row],[Tech Start Date]],15),IF(Main[[#This Row],[Class]]="A",WORKDAY(Main[[#This Row],[Tech Start Date]],5),""))))</f>
        <v/>
      </c>
      <c r="P490" s="77" t="str">
        <f>IF(Main[[#This Row],[Tech Start Date]]&lt;1/1/1990,"",IF(Main[[#This Row],[Class]]="C",WORKDAY(Main[[#This Row],[Tech Start Date]],28),IF(Main[[#This Row],[Class]]="B", WORKDAY(Main[[#This Row],[Tech Start Date]],19),IF(Main[[#This Row],[Class]]="A",WORKDAY(Main[[#This Row],[Tech Start Date]],9),""))))</f>
        <v/>
      </c>
      <c r="Q490" s="74">
        <v>40318</v>
      </c>
      <c r="R490" s="74"/>
      <c r="S490" s="72" t="s">
        <v>11</v>
      </c>
      <c r="T490" s="80" t="s">
        <v>4</v>
      </c>
      <c r="U490" s="72" t="s">
        <v>14</v>
      </c>
      <c r="V490" s="72" t="s">
        <v>1920</v>
      </c>
      <c r="W490" s="72" t="s">
        <v>1919</v>
      </c>
      <c r="X490" s="72" t="s">
        <v>2836</v>
      </c>
      <c r="Y490" s="72" t="s">
        <v>4</v>
      </c>
      <c r="Z490" s="72" t="s">
        <v>4</v>
      </c>
      <c r="AA490" s="146" t="s">
        <v>2836</v>
      </c>
    </row>
    <row r="491" spans="1:27" ht="18.600000000000001" customHeight="1">
      <c r="A491" s="155" t="str">
        <f>IF(priority(Main[[#This Row],[Comments]])&lt;&gt;0, priority(Main[[#This Row],[Comments]]),"")</f>
        <v/>
      </c>
      <c r="B491" s="156" t="s">
        <v>1199</v>
      </c>
      <c r="C491" s="157" t="s">
        <v>4</v>
      </c>
      <c r="D491" s="158" t="s">
        <v>257</v>
      </c>
      <c r="E491" s="160"/>
      <c r="F491" s="160"/>
      <c r="G491" s="162" t="str">
        <f>IF(stdProdLT(Main[[#This Row],[Comments]])=0.1,"N/A",IF(stdProdLT(Main[[#This Row],[Comments]])=0,"",stdProdLT(Main[[#This Row],[Comments]])))</f>
        <v/>
      </c>
      <c r="H491" s="164" t="str">
        <f>IF(AND(Main[[#This Row],[In Stock Date]]&lt;&gt;"",Main[[#This Row],[Revised Due Date]]&lt;&gt;""),Main[[#This Row],[In Stock Date]]-Main[[#This Row],[Revised Due Date]],"")</f>
        <v/>
      </c>
      <c r="I491" s="157" t="s">
        <v>4</v>
      </c>
      <c r="J491" s="157" t="s">
        <v>4</v>
      </c>
      <c r="K491" s="157" t="s">
        <v>4</v>
      </c>
      <c r="L491" s="160"/>
      <c r="M491" s="167" t="str">
        <f>IF(Main[[#This Row],[Tech Start Date]]&lt;1/1/1990,"",IF(Main[[#This Row],[Class]]="C",WORKDAY(Main[[#This Row],[Tech Start Date]],9),IF(Main[[#This Row],[Class]]="B", WORKDAY(Main[[#This Row],[Tech Start Date]],6),IF(Main[[#This Row],[Class]]="A",WORKDAY(Main[[#This Row],[Tech Start Date]],2),""))))</f>
        <v/>
      </c>
      <c r="N491" s="167" t="str">
        <f>IF(Main[[#This Row],[Tech Start Date]]&lt;1/1/1990,"",IF(Main[[#This Row],[Class]]="C",WORKDAY(Main[[#This Row],[Tech Start Date]],19),IF(Main[[#This Row],[Class]]="B", WORKDAY(Main[[#This Row],[Tech Start Date]],12),IF(Main[[#This Row],[Class]]="A",WORKDAY(Main[[#This Row],[Tech Start Date]],4),""))))</f>
        <v/>
      </c>
      <c r="O491" s="167" t="str">
        <f>IF(Main[[#This Row],[Tech Start Date]]&lt;1/1/1990,"",IF(Main[[#This Row],[Class]]="C",WORKDAY(Main[[#This Row],[Tech Start Date]],23),IF(Main[[#This Row],[Class]]="B", WORKDAY(Main[[#This Row],[Tech Start Date]],15),IF(Main[[#This Row],[Class]]="A",WORKDAY(Main[[#This Row],[Tech Start Date]],5),""))))</f>
        <v/>
      </c>
      <c r="P491" s="167" t="str">
        <f>IF(Main[[#This Row],[Tech Start Date]]&lt;1/1/1990,"",IF(Main[[#This Row],[Class]]="C",WORKDAY(Main[[#This Row],[Tech Start Date]],28),IF(Main[[#This Row],[Class]]="B", WORKDAY(Main[[#This Row],[Tech Start Date]],19),IF(Main[[#This Row],[Class]]="A",WORKDAY(Main[[#This Row],[Tech Start Date]],9),""))))</f>
        <v/>
      </c>
      <c r="Q491" s="160">
        <v>40390</v>
      </c>
      <c r="R491" s="160"/>
      <c r="S491" s="157" t="s">
        <v>6</v>
      </c>
      <c r="T491" s="171" t="s">
        <v>4</v>
      </c>
      <c r="U491" s="157" t="s">
        <v>14</v>
      </c>
      <c r="V491" s="157" t="s">
        <v>1920</v>
      </c>
      <c r="W491" s="157" t="s">
        <v>4</v>
      </c>
      <c r="X491" s="157" t="s">
        <v>2825</v>
      </c>
      <c r="Y491" s="157" t="s">
        <v>2938</v>
      </c>
      <c r="Z491" s="157" t="s">
        <v>4</v>
      </c>
      <c r="AA491" s="153" t="s">
        <v>2825</v>
      </c>
    </row>
    <row r="492" spans="1:27" ht="18.600000000000001" customHeight="1">
      <c r="A492" s="139" t="str">
        <f>IF(priority(Main[[#This Row],[Comments]])&lt;&gt;0, priority(Main[[#This Row],[Comments]]),"")</f>
        <v/>
      </c>
      <c r="B492" s="89" t="s">
        <v>1200</v>
      </c>
      <c r="C492" s="72" t="s">
        <v>211</v>
      </c>
      <c r="D492" s="73" t="s">
        <v>258</v>
      </c>
      <c r="E492" s="74"/>
      <c r="F492" s="74">
        <v>40452</v>
      </c>
      <c r="G492" s="75" t="str">
        <f>IF(stdProdLT(Main[[#This Row],[Comments]])=0.1,"N/A",IF(stdProdLT(Main[[#This Row],[Comments]])=0,"",stdProdLT(Main[[#This Row],[Comments]])))</f>
        <v/>
      </c>
      <c r="H492" s="76" t="str">
        <f>IF(AND(Main[[#This Row],[In Stock Date]]&lt;&gt;"",Main[[#This Row],[Revised Due Date]]&lt;&gt;""),Main[[#This Row],[In Stock Date]]-Main[[#This Row],[Revised Due Date]],"")</f>
        <v/>
      </c>
      <c r="I492" s="72" t="s">
        <v>4</v>
      </c>
      <c r="J492" s="72" t="s">
        <v>4</v>
      </c>
      <c r="K492" s="81" t="s">
        <v>4</v>
      </c>
      <c r="L492" s="74"/>
      <c r="M492" s="77" t="str">
        <f>IF(Main[[#This Row],[Tech Start Date]]&lt;1/1/1990,"",IF(Main[[#This Row],[Class]]="C",WORKDAY(Main[[#This Row],[Tech Start Date]],9),IF(Main[[#This Row],[Class]]="B", WORKDAY(Main[[#This Row],[Tech Start Date]],6),IF(Main[[#This Row],[Class]]="A",WORKDAY(Main[[#This Row],[Tech Start Date]],2),""))))</f>
        <v/>
      </c>
      <c r="N492" s="77" t="str">
        <f>IF(Main[[#This Row],[Tech Start Date]]&lt;1/1/1990,"",IF(Main[[#This Row],[Class]]="C",WORKDAY(Main[[#This Row],[Tech Start Date]],19),IF(Main[[#This Row],[Class]]="B", WORKDAY(Main[[#This Row],[Tech Start Date]],12),IF(Main[[#This Row],[Class]]="A",WORKDAY(Main[[#This Row],[Tech Start Date]],4),""))))</f>
        <v/>
      </c>
      <c r="O492" s="77" t="str">
        <f>IF(Main[[#This Row],[Tech Start Date]]&lt;1/1/1990,"",IF(Main[[#This Row],[Class]]="C",WORKDAY(Main[[#This Row],[Tech Start Date]],23),IF(Main[[#This Row],[Class]]="B", WORKDAY(Main[[#This Row],[Tech Start Date]],15),IF(Main[[#This Row],[Class]]="A",WORKDAY(Main[[#This Row],[Tech Start Date]],5),""))))</f>
        <v/>
      </c>
      <c r="P492" s="77" t="str">
        <f>IF(Main[[#This Row],[Tech Start Date]]&lt;1/1/1990,"",IF(Main[[#This Row],[Class]]="C",WORKDAY(Main[[#This Row],[Tech Start Date]],28),IF(Main[[#This Row],[Class]]="B", WORKDAY(Main[[#This Row],[Tech Start Date]],19),IF(Main[[#This Row],[Class]]="A",WORKDAY(Main[[#This Row],[Tech Start Date]],9),""))))</f>
        <v/>
      </c>
      <c r="Q492" s="74">
        <v>40357</v>
      </c>
      <c r="R492" s="74"/>
      <c r="S492" s="72" t="s">
        <v>11</v>
      </c>
      <c r="T492" s="80" t="s">
        <v>4</v>
      </c>
      <c r="U492" s="72" t="s">
        <v>12</v>
      </c>
      <c r="V492" s="72" t="s">
        <v>1917</v>
      </c>
      <c r="W492" s="72" t="s">
        <v>1925</v>
      </c>
      <c r="X492" s="72" t="s">
        <v>2839</v>
      </c>
      <c r="Y492" s="72" t="s">
        <v>4</v>
      </c>
      <c r="Z492" s="72" t="s">
        <v>4</v>
      </c>
      <c r="AA492" s="146" t="s">
        <v>2839</v>
      </c>
    </row>
    <row r="493" spans="1:27" ht="18.600000000000001" customHeight="1">
      <c r="A493" s="155" t="str">
        <f>IF(priority(Main[[#This Row],[Comments]])&lt;&gt;0, priority(Main[[#This Row],[Comments]]),"")</f>
        <v/>
      </c>
      <c r="B493" s="156" t="s">
        <v>1201</v>
      </c>
      <c r="C493" s="157" t="s">
        <v>211</v>
      </c>
      <c r="D493" s="158" t="s">
        <v>259</v>
      </c>
      <c r="E493" s="160"/>
      <c r="F493" s="160">
        <v>40452</v>
      </c>
      <c r="G493" s="162" t="str">
        <f>IF(stdProdLT(Main[[#This Row],[Comments]])=0.1,"N/A",IF(stdProdLT(Main[[#This Row],[Comments]])=0,"",stdProdLT(Main[[#This Row],[Comments]])))</f>
        <v/>
      </c>
      <c r="H493" s="164" t="str">
        <f>IF(AND(Main[[#This Row],[In Stock Date]]&lt;&gt;"",Main[[#This Row],[Revised Due Date]]&lt;&gt;""),Main[[#This Row],[In Stock Date]]-Main[[#This Row],[Revised Due Date]],"")</f>
        <v/>
      </c>
      <c r="I493" s="157" t="s">
        <v>4</v>
      </c>
      <c r="J493" s="157" t="s">
        <v>4</v>
      </c>
      <c r="K493" s="157" t="s">
        <v>4</v>
      </c>
      <c r="L493" s="160"/>
      <c r="M493" s="167" t="str">
        <f>IF(Main[[#This Row],[Tech Start Date]]&lt;1/1/1990,"",IF(Main[[#This Row],[Class]]="C",WORKDAY(Main[[#This Row],[Tech Start Date]],9),IF(Main[[#This Row],[Class]]="B", WORKDAY(Main[[#This Row],[Tech Start Date]],6),IF(Main[[#This Row],[Class]]="A",WORKDAY(Main[[#This Row],[Tech Start Date]],2),""))))</f>
        <v/>
      </c>
      <c r="N493" s="167" t="str">
        <f>IF(Main[[#This Row],[Tech Start Date]]&lt;1/1/1990,"",IF(Main[[#This Row],[Class]]="C",WORKDAY(Main[[#This Row],[Tech Start Date]],19),IF(Main[[#This Row],[Class]]="B", WORKDAY(Main[[#This Row],[Tech Start Date]],12),IF(Main[[#This Row],[Class]]="A",WORKDAY(Main[[#This Row],[Tech Start Date]],4),""))))</f>
        <v/>
      </c>
      <c r="O493" s="167" t="str">
        <f>IF(Main[[#This Row],[Tech Start Date]]&lt;1/1/1990,"",IF(Main[[#This Row],[Class]]="C",WORKDAY(Main[[#This Row],[Tech Start Date]],23),IF(Main[[#This Row],[Class]]="B", WORKDAY(Main[[#This Row],[Tech Start Date]],15),IF(Main[[#This Row],[Class]]="A",WORKDAY(Main[[#This Row],[Tech Start Date]],5),""))))</f>
        <v/>
      </c>
      <c r="P493" s="167" t="str">
        <f>IF(Main[[#This Row],[Tech Start Date]]&lt;1/1/1990,"",IF(Main[[#This Row],[Class]]="C",WORKDAY(Main[[#This Row],[Tech Start Date]],28),IF(Main[[#This Row],[Class]]="B", WORKDAY(Main[[#This Row],[Tech Start Date]],19),IF(Main[[#This Row],[Class]]="A",WORKDAY(Main[[#This Row],[Tech Start Date]],9),""))))</f>
        <v/>
      </c>
      <c r="Q493" s="160">
        <v>40357</v>
      </c>
      <c r="R493" s="160"/>
      <c r="S493" s="157" t="s">
        <v>11</v>
      </c>
      <c r="T493" s="171" t="s">
        <v>4</v>
      </c>
      <c r="U493" s="157" t="s">
        <v>12</v>
      </c>
      <c r="V493" s="157" t="s">
        <v>1917</v>
      </c>
      <c r="W493" s="157" t="s">
        <v>1925</v>
      </c>
      <c r="X493" s="157" t="s">
        <v>2839</v>
      </c>
      <c r="Y493" s="157" t="s">
        <v>4</v>
      </c>
      <c r="Z493" s="157" t="s">
        <v>4</v>
      </c>
      <c r="AA493" s="153" t="s">
        <v>2839</v>
      </c>
    </row>
    <row r="494" spans="1:27" ht="18.600000000000001" customHeight="1">
      <c r="A494" s="155" t="str">
        <f>IF(priority(Main[[#This Row],[Comments]])&lt;&gt;0, priority(Main[[#This Row],[Comments]]),"")</f>
        <v/>
      </c>
      <c r="B494" s="156" t="s">
        <v>1311</v>
      </c>
      <c r="C494" s="157" t="s">
        <v>390</v>
      </c>
      <c r="D494" s="158" t="s">
        <v>391</v>
      </c>
      <c r="E494" s="160"/>
      <c r="F494" s="160">
        <v>40512</v>
      </c>
      <c r="G494" s="162" t="str">
        <f>IF(stdProdLT(Main[[#This Row],[Comments]])=0.1,"N/A",IF(stdProdLT(Main[[#This Row],[Comments]])=0,"",stdProdLT(Main[[#This Row],[Comments]])))</f>
        <v/>
      </c>
      <c r="H494" s="164" t="str">
        <f>IF(AND(Main[[#This Row],[In Stock Date]]&lt;&gt;"",Main[[#This Row],[Revised Due Date]]&lt;&gt;""),Main[[#This Row],[In Stock Date]]-Main[[#This Row],[Revised Due Date]],"")</f>
        <v/>
      </c>
      <c r="I494" s="157" t="s">
        <v>4</v>
      </c>
      <c r="J494" s="157" t="s">
        <v>4</v>
      </c>
      <c r="K494" s="157" t="s">
        <v>4</v>
      </c>
      <c r="L494" s="160"/>
      <c r="M494" s="167" t="str">
        <f>IF(Main[[#This Row],[Tech Start Date]]&lt;1/1/1990,"",IF(Main[[#This Row],[Class]]="C",WORKDAY(Main[[#This Row],[Tech Start Date]],9),IF(Main[[#This Row],[Class]]="B", WORKDAY(Main[[#This Row],[Tech Start Date]],6),IF(Main[[#This Row],[Class]]="A",WORKDAY(Main[[#This Row],[Tech Start Date]],2),""))))</f>
        <v/>
      </c>
      <c r="N494" s="167" t="str">
        <f>IF(Main[[#This Row],[Tech Start Date]]&lt;1/1/1990,"",IF(Main[[#This Row],[Class]]="C",WORKDAY(Main[[#This Row],[Tech Start Date]],19),IF(Main[[#This Row],[Class]]="B", WORKDAY(Main[[#This Row],[Tech Start Date]],12),IF(Main[[#This Row],[Class]]="A",WORKDAY(Main[[#This Row],[Tech Start Date]],4),""))))</f>
        <v/>
      </c>
      <c r="O494" s="167" t="str">
        <f>IF(Main[[#This Row],[Tech Start Date]]&lt;1/1/1990,"",IF(Main[[#This Row],[Class]]="C",WORKDAY(Main[[#This Row],[Tech Start Date]],23),IF(Main[[#This Row],[Class]]="B", WORKDAY(Main[[#This Row],[Tech Start Date]],15),IF(Main[[#This Row],[Class]]="A",WORKDAY(Main[[#This Row],[Tech Start Date]],5),""))))</f>
        <v/>
      </c>
      <c r="P494" s="167" t="str">
        <f>IF(Main[[#This Row],[Tech Start Date]]&lt;1/1/1990,"",IF(Main[[#This Row],[Class]]="C",WORKDAY(Main[[#This Row],[Tech Start Date]],28),IF(Main[[#This Row],[Class]]="B", WORKDAY(Main[[#This Row],[Tech Start Date]],19),IF(Main[[#This Row],[Class]]="A",WORKDAY(Main[[#This Row],[Tech Start Date]],9),""))))</f>
        <v/>
      </c>
      <c r="Q494" s="160">
        <v>40316</v>
      </c>
      <c r="R494" s="160"/>
      <c r="S494" s="157" t="s">
        <v>11</v>
      </c>
      <c r="T494" s="171" t="s">
        <v>4</v>
      </c>
      <c r="U494" s="157" t="s">
        <v>14</v>
      </c>
      <c r="V494" s="157" t="s">
        <v>1917</v>
      </c>
      <c r="W494" s="157" t="s">
        <v>1923</v>
      </c>
      <c r="X494" s="157" t="s">
        <v>2858</v>
      </c>
      <c r="Y494" s="157" t="s">
        <v>4</v>
      </c>
      <c r="Z494" s="157" t="s">
        <v>4</v>
      </c>
      <c r="AA494" s="153" t="s">
        <v>2858</v>
      </c>
    </row>
    <row r="495" spans="1:27" ht="18.600000000000001" customHeight="1">
      <c r="A495" s="139" t="str">
        <f>IF(priority(Main[[#This Row],[Comments]])&lt;&gt;0, priority(Main[[#This Row],[Comments]]),"")</f>
        <v/>
      </c>
      <c r="B495" s="89" t="s">
        <v>1312</v>
      </c>
      <c r="C495" s="72" t="s">
        <v>213</v>
      </c>
      <c r="D495" s="73" t="s">
        <v>392</v>
      </c>
      <c r="E495" s="74"/>
      <c r="F495" s="74">
        <v>40390</v>
      </c>
      <c r="G495" s="75" t="str">
        <f>IF(stdProdLT(Main[[#This Row],[Comments]])=0.1,"N/A",IF(stdProdLT(Main[[#This Row],[Comments]])=0,"",stdProdLT(Main[[#This Row],[Comments]])))</f>
        <v/>
      </c>
      <c r="H495" s="76" t="str">
        <f>IF(AND(Main[[#This Row],[In Stock Date]]&lt;&gt;"",Main[[#This Row],[Revised Due Date]]&lt;&gt;""),Main[[#This Row],[In Stock Date]]-Main[[#This Row],[Revised Due Date]],"")</f>
        <v/>
      </c>
      <c r="I495" s="72" t="s">
        <v>4</v>
      </c>
      <c r="J495" s="72" t="s">
        <v>4</v>
      </c>
      <c r="K495" s="72" t="s">
        <v>4</v>
      </c>
      <c r="L495" s="74"/>
      <c r="M495" s="77" t="str">
        <f>IF(Main[[#This Row],[Tech Start Date]]&lt;1/1/1990,"",IF(Main[[#This Row],[Class]]="C",WORKDAY(Main[[#This Row],[Tech Start Date]],9),IF(Main[[#This Row],[Class]]="B", WORKDAY(Main[[#This Row],[Tech Start Date]],6),IF(Main[[#This Row],[Class]]="A",WORKDAY(Main[[#This Row],[Tech Start Date]],2),""))))</f>
        <v/>
      </c>
      <c r="N495" s="77" t="str">
        <f>IF(Main[[#This Row],[Tech Start Date]]&lt;1/1/1990,"",IF(Main[[#This Row],[Class]]="C",WORKDAY(Main[[#This Row],[Tech Start Date]],19),IF(Main[[#This Row],[Class]]="B", WORKDAY(Main[[#This Row],[Tech Start Date]],12),IF(Main[[#This Row],[Class]]="A",WORKDAY(Main[[#This Row],[Tech Start Date]],4),""))))</f>
        <v/>
      </c>
      <c r="O495" s="77" t="str">
        <f>IF(Main[[#This Row],[Tech Start Date]]&lt;1/1/1990,"",IF(Main[[#This Row],[Class]]="C",WORKDAY(Main[[#This Row],[Tech Start Date]],23),IF(Main[[#This Row],[Class]]="B", WORKDAY(Main[[#This Row],[Tech Start Date]],15),IF(Main[[#This Row],[Class]]="A",WORKDAY(Main[[#This Row],[Tech Start Date]],5),""))))</f>
        <v/>
      </c>
      <c r="P495" s="77" t="str">
        <f>IF(Main[[#This Row],[Tech Start Date]]&lt;1/1/1990,"",IF(Main[[#This Row],[Class]]="C",WORKDAY(Main[[#This Row],[Tech Start Date]],28),IF(Main[[#This Row],[Class]]="B", WORKDAY(Main[[#This Row],[Tech Start Date]],19),IF(Main[[#This Row],[Class]]="A",WORKDAY(Main[[#This Row],[Tech Start Date]],9),""))))</f>
        <v/>
      </c>
      <c r="Q495" s="74">
        <v>40278</v>
      </c>
      <c r="R495" s="74"/>
      <c r="S495" s="72" t="s">
        <v>11</v>
      </c>
      <c r="T495" s="80" t="s">
        <v>4</v>
      </c>
      <c r="U495" s="72" t="s">
        <v>14</v>
      </c>
      <c r="V495" s="72" t="s">
        <v>1920</v>
      </c>
      <c r="W495" s="72" t="s">
        <v>1922</v>
      </c>
      <c r="X495" s="72" t="s">
        <v>554</v>
      </c>
      <c r="Y495" s="72" t="s">
        <v>4</v>
      </c>
      <c r="Z495" s="72" t="s">
        <v>4</v>
      </c>
      <c r="AA495" s="146" t="s">
        <v>554</v>
      </c>
    </row>
    <row r="496" spans="1:27" ht="18.600000000000001" customHeight="1">
      <c r="A496" s="139" t="str">
        <f>IF(priority(Main[[#This Row],[Comments]])&lt;&gt;0, priority(Main[[#This Row],[Comments]]),"")</f>
        <v/>
      </c>
      <c r="B496" s="89" t="s">
        <v>1313</v>
      </c>
      <c r="C496" s="72" t="s">
        <v>275</v>
      </c>
      <c r="D496" s="73" t="s">
        <v>393</v>
      </c>
      <c r="E496" s="74"/>
      <c r="F496" s="74">
        <v>40186</v>
      </c>
      <c r="G496" s="75" t="str">
        <f>IF(stdProdLT(Main[[#This Row],[Comments]])=0.1,"N/A",IF(stdProdLT(Main[[#This Row],[Comments]])=0,"",stdProdLT(Main[[#This Row],[Comments]])))</f>
        <v/>
      </c>
      <c r="H496" s="76" t="str">
        <f>IF(AND(Main[[#This Row],[In Stock Date]]&lt;&gt;"",Main[[#This Row],[Revised Due Date]]&lt;&gt;""),Main[[#This Row],[In Stock Date]]-Main[[#This Row],[Revised Due Date]],"")</f>
        <v/>
      </c>
      <c r="I496" s="72" t="s">
        <v>4</v>
      </c>
      <c r="J496" s="72" t="s">
        <v>4</v>
      </c>
      <c r="K496" s="72" t="s">
        <v>4</v>
      </c>
      <c r="L496" s="74"/>
      <c r="M496" s="77" t="str">
        <f>IF(Main[[#This Row],[Tech Start Date]]&lt;1/1/1990,"",IF(Main[[#This Row],[Class]]="C",WORKDAY(Main[[#This Row],[Tech Start Date]],9),IF(Main[[#This Row],[Class]]="B", WORKDAY(Main[[#This Row],[Tech Start Date]],6),IF(Main[[#This Row],[Class]]="A",WORKDAY(Main[[#This Row],[Tech Start Date]],2),""))))</f>
        <v/>
      </c>
      <c r="N496" s="77" t="str">
        <f>IF(Main[[#This Row],[Tech Start Date]]&lt;1/1/1990,"",IF(Main[[#This Row],[Class]]="C",WORKDAY(Main[[#This Row],[Tech Start Date]],19),IF(Main[[#This Row],[Class]]="B", WORKDAY(Main[[#This Row],[Tech Start Date]],12),IF(Main[[#This Row],[Class]]="A",WORKDAY(Main[[#This Row],[Tech Start Date]],4),""))))</f>
        <v/>
      </c>
      <c r="O496" s="77" t="str">
        <f>IF(Main[[#This Row],[Tech Start Date]]&lt;1/1/1990,"",IF(Main[[#This Row],[Class]]="C",WORKDAY(Main[[#This Row],[Tech Start Date]],23),IF(Main[[#This Row],[Class]]="B", WORKDAY(Main[[#This Row],[Tech Start Date]],15),IF(Main[[#This Row],[Class]]="A",WORKDAY(Main[[#This Row],[Tech Start Date]],5),""))))</f>
        <v/>
      </c>
      <c r="P496" s="77" t="str">
        <f>IF(Main[[#This Row],[Tech Start Date]]&lt;1/1/1990,"",IF(Main[[#This Row],[Class]]="C",WORKDAY(Main[[#This Row],[Tech Start Date]],28),IF(Main[[#This Row],[Class]]="B", WORKDAY(Main[[#This Row],[Tech Start Date]],19),IF(Main[[#This Row],[Class]]="A",WORKDAY(Main[[#This Row],[Tech Start Date]],9),""))))</f>
        <v/>
      </c>
      <c r="Q496" s="74">
        <v>40186</v>
      </c>
      <c r="R496" s="74"/>
      <c r="S496" s="72" t="s">
        <v>11</v>
      </c>
      <c r="T496" s="80" t="s">
        <v>4</v>
      </c>
      <c r="U496" s="72" t="s">
        <v>14</v>
      </c>
      <c r="V496" s="72" t="s">
        <v>1920</v>
      </c>
      <c r="W496" s="72" t="s">
        <v>1925</v>
      </c>
      <c r="X496" s="72" t="s">
        <v>2848</v>
      </c>
      <c r="Y496" s="72" t="s">
        <v>4</v>
      </c>
      <c r="Z496" s="72" t="s">
        <v>4</v>
      </c>
      <c r="AA496" s="146" t="s">
        <v>2848</v>
      </c>
    </row>
    <row r="497" spans="1:27" ht="18.600000000000001" customHeight="1">
      <c r="A497" s="139" t="str">
        <f>IF(priority(Main[[#This Row],[Comments]])&lt;&gt;0, priority(Main[[#This Row],[Comments]]),"")</f>
        <v/>
      </c>
      <c r="B497" s="89" t="s">
        <v>1314</v>
      </c>
      <c r="C497" s="72" t="s">
        <v>394</v>
      </c>
      <c r="D497" s="73" t="s">
        <v>395</v>
      </c>
      <c r="E497" s="74"/>
      <c r="F497" s="74"/>
      <c r="G497" s="75" t="str">
        <f>IF(stdProdLT(Main[[#This Row],[Comments]])=0.1,"N/A",IF(stdProdLT(Main[[#This Row],[Comments]])=0,"",stdProdLT(Main[[#This Row],[Comments]])))</f>
        <v/>
      </c>
      <c r="H497" s="76" t="str">
        <f>IF(AND(Main[[#This Row],[In Stock Date]]&lt;&gt;"",Main[[#This Row],[Revised Due Date]]&lt;&gt;""),Main[[#This Row],[In Stock Date]]-Main[[#This Row],[Revised Due Date]],"")</f>
        <v/>
      </c>
      <c r="I497" s="72" t="s">
        <v>4</v>
      </c>
      <c r="J497" s="72" t="s">
        <v>4</v>
      </c>
      <c r="K497" s="72" t="s">
        <v>4</v>
      </c>
      <c r="L497" s="74"/>
      <c r="M497" s="77" t="str">
        <f>IF(Main[[#This Row],[Tech Start Date]]&lt;1/1/1990,"",IF(Main[[#This Row],[Class]]="C",WORKDAY(Main[[#This Row],[Tech Start Date]],9),IF(Main[[#This Row],[Class]]="B", WORKDAY(Main[[#This Row],[Tech Start Date]],6),IF(Main[[#This Row],[Class]]="A",WORKDAY(Main[[#This Row],[Tech Start Date]],2),""))))</f>
        <v/>
      </c>
      <c r="N497" s="77" t="str">
        <f>IF(Main[[#This Row],[Tech Start Date]]&lt;1/1/1990,"",IF(Main[[#This Row],[Class]]="C",WORKDAY(Main[[#This Row],[Tech Start Date]],19),IF(Main[[#This Row],[Class]]="B", WORKDAY(Main[[#This Row],[Tech Start Date]],12),IF(Main[[#This Row],[Class]]="A",WORKDAY(Main[[#This Row],[Tech Start Date]],4),""))))</f>
        <v/>
      </c>
      <c r="O497" s="77" t="str">
        <f>IF(Main[[#This Row],[Tech Start Date]]&lt;1/1/1990,"",IF(Main[[#This Row],[Class]]="C",WORKDAY(Main[[#This Row],[Tech Start Date]],23),IF(Main[[#This Row],[Class]]="B", WORKDAY(Main[[#This Row],[Tech Start Date]],15),IF(Main[[#This Row],[Class]]="A",WORKDAY(Main[[#This Row],[Tech Start Date]],5),""))))</f>
        <v/>
      </c>
      <c r="P497" s="77" t="str">
        <f>IF(Main[[#This Row],[Tech Start Date]]&lt;1/1/1990,"",IF(Main[[#This Row],[Class]]="C",WORKDAY(Main[[#This Row],[Tech Start Date]],28),IF(Main[[#This Row],[Class]]="B", WORKDAY(Main[[#This Row],[Tech Start Date]],19),IF(Main[[#This Row],[Class]]="A",WORKDAY(Main[[#This Row],[Tech Start Date]],9),""))))</f>
        <v/>
      </c>
      <c r="Q497" s="74"/>
      <c r="R497" s="74"/>
      <c r="S497" s="72" t="s">
        <v>11</v>
      </c>
      <c r="T497" s="80" t="s">
        <v>4</v>
      </c>
      <c r="U497" s="72" t="s">
        <v>14</v>
      </c>
      <c r="V497" s="72" t="s">
        <v>1918</v>
      </c>
      <c r="W497" s="72" t="s">
        <v>1925</v>
      </c>
      <c r="X497" s="72" t="s">
        <v>2859</v>
      </c>
      <c r="Y497" s="72" t="s">
        <v>2997</v>
      </c>
      <c r="Z497" s="72" t="s">
        <v>4</v>
      </c>
      <c r="AA497" s="146" t="s">
        <v>2859</v>
      </c>
    </row>
    <row r="498" spans="1:27" ht="18.600000000000001" customHeight="1">
      <c r="A498" s="139" t="str">
        <f>IF(priority(Main[[#This Row],[Comments]])&lt;&gt;0, priority(Main[[#This Row],[Comments]]),"")</f>
        <v/>
      </c>
      <c r="B498" s="89" t="s">
        <v>1316</v>
      </c>
      <c r="C498" s="72" t="s">
        <v>4</v>
      </c>
      <c r="D498" s="73" t="s">
        <v>396</v>
      </c>
      <c r="E498" s="74">
        <v>40319.627523148149</v>
      </c>
      <c r="F498" s="74"/>
      <c r="G498" s="75" t="str">
        <f>IF(stdProdLT(Main[[#This Row],[Comments]])=0.1,"N/A",IF(stdProdLT(Main[[#This Row],[Comments]])=0,"",stdProdLT(Main[[#This Row],[Comments]])))</f>
        <v/>
      </c>
      <c r="H498" s="76" t="str">
        <f>IF(AND(Main[[#This Row],[In Stock Date]]&lt;&gt;"",Main[[#This Row],[Revised Due Date]]&lt;&gt;""),Main[[#This Row],[In Stock Date]]-Main[[#This Row],[Revised Due Date]],"")</f>
        <v/>
      </c>
      <c r="I498" s="72" t="s">
        <v>129</v>
      </c>
      <c r="J498" s="72" t="s">
        <v>4</v>
      </c>
      <c r="K498" s="72" t="s">
        <v>4</v>
      </c>
      <c r="L498" s="74"/>
      <c r="M498" s="77" t="str">
        <f>IF(Main[[#This Row],[Tech Start Date]]&lt;1/1/1990,"",IF(Main[[#This Row],[Class]]="C",WORKDAY(Main[[#This Row],[Tech Start Date]],9),IF(Main[[#This Row],[Class]]="B", WORKDAY(Main[[#This Row],[Tech Start Date]],6),IF(Main[[#This Row],[Class]]="A",WORKDAY(Main[[#This Row],[Tech Start Date]],2),""))))</f>
        <v/>
      </c>
      <c r="N498" s="77" t="str">
        <f>IF(Main[[#This Row],[Tech Start Date]]&lt;1/1/1990,"",IF(Main[[#This Row],[Class]]="C",WORKDAY(Main[[#This Row],[Tech Start Date]],19),IF(Main[[#This Row],[Class]]="B", WORKDAY(Main[[#This Row],[Tech Start Date]],12),IF(Main[[#This Row],[Class]]="A",WORKDAY(Main[[#This Row],[Tech Start Date]],4),""))))</f>
        <v/>
      </c>
      <c r="O498" s="77" t="str">
        <f>IF(Main[[#This Row],[Tech Start Date]]&lt;1/1/1990,"",IF(Main[[#This Row],[Class]]="C",WORKDAY(Main[[#This Row],[Tech Start Date]],23),IF(Main[[#This Row],[Class]]="B", WORKDAY(Main[[#This Row],[Tech Start Date]],15),IF(Main[[#This Row],[Class]]="A",WORKDAY(Main[[#This Row],[Tech Start Date]],5),""))))</f>
        <v/>
      </c>
      <c r="P498" s="77" t="str">
        <f>IF(Main[[#This Row],[Tech Start Date]]&lt;1/1/1990,"",IF(Main[[#This Row],[Class]]="C",WORKDAY(Main[[#This Row],[Tech Start Date]],28),IF(Main[[#This Row],[Class]]="B", WORKDAY(Main[[#This Row],[Tech Start Date]],19),IF(Main[[#This Row],[Class]]="A",WORKDAY(Main[[#This Row],[Tech Start Date]],9),""))))</f>
        <v/>
      </c>
      <c r="Q498" s="74">
        <v>40337</v>
      </c>
      <c r="R498" s="74"/>
      <c r="S498" s="72" t="s">
        <v>6</v>
      </c>
      <c r="T498" s="80" t="s">
        <v>4</v>
      </c>
      <c r="U498" s="72" t="s">
        <v>7</v>
      </c>
      <c r="V498" s="72" t="s">
        <v>1917</v>
      </c>
      <c r="W498" s="72" t="s">
        <v>1921</v>
      </c>
      <c r="X498" s="72" t="s">
        <v>2827</v>
      </c>
      <c r="Y498" s="72" t="s">
        <v>2942</v>
      </c>
      <c r="Z498" s="72" t="s">
        <v>4</v>
      </c>
      <c r="AA498" s="146" t="s">
        <v>2827</v>
      </c>
    </row>
    <row r="499" spans="1:27" ht="18.600000000000001" customHeight="1">
      <c r="A499" s="139" t="str">
        <f>IF(priority(Main[[#This Row],[Comments]])&lt;&gt;0, priority(Main[[#This Row],[Comments]]),"")</f>
        <v/>
      </c>
      <c r="B499" s="89" t="s">
        <v>1317</v>
      </c>
      <c r="C499" s="72" t="s">
        <v>93</v>
      </c>
      <c r="D499" s="73" t="s">
        <v>397</v>
      </c>
      <c r="E499" s="74"/>
      <c r="F499" s="74">
        <v>40132</v>
      </c>
      <c r="G499" s="75" t="str">
        <f>IF(stdProdLT(Main[[#This Row],[Comments]])=0.1,"N/A",IF(stdProdLT(Main[[#This Row],[Comments]])=0,"",stdProdLT(Main[[#This Row],[Comments]])))</f>
        <v/>
      </c>
      <c r="H499" s="76" t="str">
        <f>IF(AND(Main[[#This Row],[In Stock Date]]&lt;&gt;"",Main[[#This Row],[Revised Due Date]]&lt;&gt;""),Main[[#This Row],[In Stock Date]]-Main[[#This Row],[Revised Due Date]],"")</f>
        <v/>
      </c>
      <c r="I499" s="72" t="s">
        <v>4</v>
      </c>
      <c r="J499" s="72" t="s">
        <v>4</v>
      </c>
      <c r="K499" s="72" t="s">
        <v>4</v>
      </c>
      <c r="L499" s="74"/>
      <c r="M499" s="77" t="str">
        <f>IF(Main[[#This Row],[Tech Start Date]]&lt;1/1/1990,"",IF(Main[[#This Row],[Class]]="C",WORKDAY(Main[[#This Row],[Tech Start Date]],9),IF(Main[[#This Row],[Class]]="B", WORKDAY(Main[[#This Row],[Tech Start Date]],6),IF(Main[[#This Row],[Class]]="A",WORKDAY(Main[[#This Row],[Tech Start Date]],2),""))))</f>
        <v/>
      </c>
      <c r="N499" s="77" t="str">
        <f>IF(Main[[#This Row],[Tech Start Date]]&lt;1/1/1990,"",IF(Main[[#This Row],[Class]]="C",WORKDAY(Main[[#This Row],[Tech Start Date]],19),IF(Main[[#This Row],[Class]]="B", WORKDAY(Main[[#This Row],[Tech Start Date]],12),IF(Main[[#This Row],[Class]]="A",WORKDAY(Main[[#This Row],[Tech Start Date]],4),""))))</f>
        <v/>
      </c>
      <c r="O499" s="77" t="str">
        <f>IF(Main[[#This Row],[Tech Start Date]]&lt;1/1/1990,"",IF(Main[[#This Row],[Class]]="C",WORKDAY(Main[[#This Row],[Tech Start Date]],23),IF(Main[[#This Row],[Class]]="B", WORKDAY(Main[[#This Row],[Tech Start Date]],15),IF(Main[[#This Row],[Class]]="A",WORKDAY(Main[[#This Row],[Tech Start Date]],5),""))))</f>
        <v/>
      </c>
      <c r="P499" s="77" t="str">
        <f>IF(Main[[#This Row],[Tech Start Date]]&lt;1/1/1990,"",IF(Main[[#This Row],[Class]]="C",WORKDAY(Main[[#This Row],[Tech Start Date]],28),IF(Main[[#This Row],[Class]]="B", WORKDAY(Main[[#This Row],[Tech Start Date]],19),IF(Main[[#This Row],[Class]]="A",WORKDAY(Main[[#This Row],[Tech Start Date]],9),""))))</f>
        <v/>
      </c>
      <c r="Q499" s="74">
        <v>40132</v>
      </c>
      <c r="R499" s="74"/>
      <c r="S499" s="72" t="s">
        <v>11</v>
      </c>
      <c r="T499" s="80" t="s">
        <v>4</v>
      </c>
      <c r="U499" s="72" t="s">
        <v>14</v>
      </c>
      <c r="V499" s="72" t="s">
        <v>1927</v>
      </c>
      <c r="W499" s="72" t="s">
        <v>1928</v>
      </c>
      <c r="X499" s="72" t="s">
        <v>2862</v>
      </c>
      <c r="Y499" s="72" t="s">
        <v>4</v>
      </c>
      <c r="Z499" s="72" t="s">
        <v>4</v>
      </c>
      <c r="AA499" s="146" t="s">
        <v>2862</v>
      </c>
    </row>
    <row r="500" spans="1:27" ht="18.600000000000001" customHeight="1">
      <c r="A500" s="155" t="str">
        <f>IF(priority(Main[[#This Row],[Comments]])&lt;&gt;0, priority(Main[[#This Row],[Comments]]),"")</f>
        <v/>
      </c>
      <c r="B500" s="156" t="s">
        <v>1318</v>
      </c>
      <c r="C500" s="157" t="s">
        <v>4</v>
      </c>
      <c r="D500" s="158" t="s">
        <v>398</v>
      </c>
      <c r="E500" s="160"/>
      <c r="F500" s="160">
        <v>40385</v>
      </c>
      <c r="G500" s="162" t="str">
        <f>IF(stdProdLT(Main[[#This Row],[Comments]])=0.1,"N/A",IF(stdProdLT(Main[[#This Row],[Comments]])=0,"",stdProdLT(Main[[#This Row],[Comments]])))</f>
        <v/>
      </c>
      <c r="H500" s="164" t="str">
        <f>IF(AND(Main[[#This Row],[In Stock Date]]&lt;&gt;"",Main[[#This Row],[Revised Due Date]]&lt;&gt;""),Main[[#This Row],[In Stock Date]]-Main[[#This Row],[Revised Due Date]],"")</f>
        <v/>
      </c>
      <c r="I500" s="157" t="s">
        <v>399</v>
      </c>
      <c r="J500" s="157" t="s">
        <v>4</v>
      </c>
      <c r="K500" s="157" t="s">
        <v>4</v>
      </c>
      <c r="L500" s="160"/>
      <c r="M500" s="167" t="str">
        <f>IF(Main[[#This Row],[Tech Start Date]]&lt;1/1/1990,"",IF(Main[[#This Row],[Class]]="C",WORKDAY(Main[[#This Row],[Tech Start Date]],9),IF(Main[[#This Row],[Class]]="B", WORKDAY(Main[[#This Row],[Tech Start Date]],6),IF(Main[[#This Row],[Class]]="A",WORKDAY(Main[[#This Row],[Tech Start Date]],2),""))))</f>
        <v/>
      </c>
      <c r="N500" s="167" t="str">
        <f>IF(Main[[#This Row],[Tech Start Date]]&lt;1/1/1990,"",IF(Main[[#This Row],[Class]]="C",WORKDAY(Main[[#This Row],[Tech Start Date]],19),IF(Main[[#This Row],[Class]]="B", WORKDAY(Main[[#This Row],[Tech Start Date]],12),IF(Main[[#This Row],[Class]]="A",WORKDAY(Main[[#This Row],[Tech Start Date]],4),""))))</f>
        <v/>
      </c>
      <c r="O500" s="167" t="str">
        <f>IF(Main[[#This Row],[Tech Start Date]]&lt;1/1/1990,"",IF(Main[[#This Row],[Class]]="C",WORKDAY(Main[[#This Row],[Tech Start Date]],23),IF(Main[[#This Row],[Class]]="B", WORKDAY(Main[[#This Row],[Tech Start Date]],15),IF(Main[[#This Row],[Class]]="A",WORKDAY(Main[[#This Row],[Tech Start Date]],5),""))))</f>
        <v/>
      </c>
      <c r="P500" s="167" t="str">
        <f>IF(Main[[#This Row],[Tech Start Date]]&lt;1/1/1990,"",IF(Main[[#This Row],[Class]]="C",WORKDAY(Main[[#This Row],[Tech Start Date]],28),IF(Main[[#This Row],[Class]]="B", WORKDAY(Main[[#This Row],[Tech Start Date]],19),IF(Main[[#This Row],[Class]]="A",WORKDAY(Main[[#This Row],[Tech Start Date]],9),""))))</f>
        <v/>
      </c>
      <c r="Q500" s="160">
        <v>40359</v>
      </c>
      <c r="R500" s="160"/>
      <c r="S500" s="157" t="s">
        <v>11</v>
      </c>
      <c r="T500" s="171" t="s">
        <v>4</v>
      </c>
      <c r="U500" s="157" t="s">
        <v>14</v>
      </c>
      <c r="V500" s="157" t="s">
        <v>1920</v>
      </c>
      <c r="W500" s="157" t="s">
        <v>1923</v>
      </c>
      <c r="X500" s="157" t="s">
        <v>2887</v>
      </c>
      <c r="Y500" s="157" t="s">
        <v>3036</v>
      </c>
      <c r="Z500" s="157" t="s">
        <v>306</v>
      </c>
      <c r="AA500" s="153" t="s">
        <v>2887</v>
      </c>
    </row>
    <row r="501" spans="1:27" ht="18.600000000000001" customHeight="1">
      <c r="A501" s="139" t="str">
        <f>IF(priority(Main[[#This Row],[Comments]])&lt;&gt;0, priority(Main[[#This Row],[Comments]]),"")</f>
        <v/>
      </c>
      <c r="B501" s="89" t="s">
        <v>1319</v>
      </c>
      <c r="C501" s="72" t="s">
        <v>31</v>
      </c>
      <c r="D501" s="73" t="s">
        <v>400</v>
      </c>
      <c r="E501" s="74"/>
      <c r="F501" s="74">
        <v>40203</v>
      </c>
      <c r="G501" s="75" t="str">
        <f>IF(stdProdLT(Main[[#This Row],[Comments]])=0.1,"N/A",IF(stdProdLT(Main[[#This Row],[Comments]])=0,"",stdProdLT(Main[[#This Row],[Comments]])))</f>
        <v/>
      </c>
      <c r="H501" s="76" t="str">
        <f>IF(AND(Main[[#This Row],[In Stock Date]]&lt;&gt;"",Main[[#This Row],[Revised Due Date]]&lt;&gt;""),Main[[#This Row],[In Stock Date]]-Main[[#This Row],[Revised Due Date]],"")</f>
        <v/>
      </c>
      <c r="I501" s="72" t="s">
        <v>4</v>
      </c>
      <c r="J501" s="72" t="s">
        <v>4</v>
      </c>
      <c r="K501" s="72" t="s">
        <v>4</v>
      </c>
      <c r="L501" s="74"/>
      <c r="M501" s="77" t="str">
        <f>IF(Main[[#This Row],[Tech Start Date]]&lt;1/1/1990,"",IF(Main[[#This Row],[Class]]="C",WORKDAY(Main[[#This Row],[Tech Start Date]],9),IF(Main[[#This Row],[Class]]="B", WORKDAY(Main[[#This Row],[Tech Start Date]],6),IF(Main[[#This Row],[Class]]="A",WORKDAY(Main[[#This Row],[Tech Start Date]],2),""))))</f>
        <v/>
      </c>
      <c r="N501" s="77" t="str">
        <f>IF(Main[[#This Row],[Tech Start Date]]&lt;1/1/1990,"",IF(Main[[#This Row],[Class]]="C",WORKDAY(Main[[#This Row],[Tech Start Date]],19),IF(Main[[#This Row],[Class]]="B", WORKDAY(Main[[#This Row],[Tech Start Date]],12),IF(Main[[#This Row],[Class]]="A",WORKDAY(Main[[#This Row],[Tech Start Date]],4),""))))</f>
        <v/>
      </c>
      <c r="O501" s="77" t="str">
        <f>IF(Main[[#This Row],[Tech Start Date]]&lt;1/1/1990,"",IF(Main[[#This Row],[Class]]="C",WORKDAY(Main[[#This Row],[Tech Start Date]],23),IF(Main[[#This Row],[Class]]="B", WORKDAY(Main[[#This Row],[Tech Start Date]],15),IF(Main[[#This Row],[Class]]="A",WORKDAY(Main[[#This Row],[Tech Start Date]],5),""))))</f>
        <v/>
      </c>
      <c r="P501" s="77" t="str">
        <f>IF(Main[[#This Row],[Tech Start Date]]&lt;1/1/1990,"",IF(Main[[#This Row],[Class]]="C",WORKDAY(Main[[#This Row],[Tech Start Date]],28),IF(Main[[#This Row],[Class]]="B", WORKDAY(Main[[#This Row],[Tech Start Date]],19),IF(Main[[#This Row],[Class]]="A",WORKDAY(Main[[#This Row],[Tech Start Date]],9),""))))</f>
        <v/>
      </c>
      <c r="Q501" s="74">
        <v>40063</v>
      </c>
      <c r="R501" s="74"/>
      <c r="S501" s="72" t="s">
        <v>11</v>
      </c>
      <c r="T501" s="80" t="s">
        <v>4</v>
      </c>
      <c r="U501" s="72" t="s">
        <v>14</v>
      </c>
      <c r="V501" s="72" t="s">
        <v>1927</v>
      </c>
      <c r="W501" s="72" t="s">
        <v>1923</v>
      </c>
      <c r="X501" s="72" t="s">
        <v>2877</v>
      </c>
      <c r="Y501" s="72" t="s">
        <v>4</v>
      </c>
      <c r="Z501" s="72" t="s">
        <v>4</v>
      </c>
      <c r="AA501" s="146" t="s">
        <v>2877</v>
      </c>
    </row>
    <row r="502" spans="1:27" ht="18.600000000000001" customHeight="1">
      <c r="A502" s="155" t="str">
        <f>IF(priority(Main[[#This Row],[Comments]])&lt;&gt;0, priority(Main[[#This Row],[Comments]]),"")</f>
        <v/>
      </c>
      <c r="B502" s="156" t="s">
        <v>1657</v>
      </c>
      <c r="C502" s="157" t="s">
        <v>4</v>
      </c>
      <c r="D502" s="158" t="s">
        <v>722</v>
      </c>
      <c r="E502" s="160"/>
      <c r="F502" s="160"/>
      <c r="G502" s="162" t="str">
        <f>IF(stdProdLT(Main[[#This Row],[Comments]])=0.1,"N/A",IF(stdProdLT(Main[[#This Row],[Comments]])=0,"",stdProdLT(Main[[#This Row],[Comments]])))</f>
        <v/>
      </c>
      <c r="H502" s="164" t="str">
        <f>IF(AND(Main[[#This Row],[In Stock Date]]&lt;&gt;"",Main[[#This Row],[Revised Due Date]]&lt;&gt;""),Main[[#This Row],[In Stock Date]]-Main[[#This Row],[Revised Due Date]],"")</f>
        <v/>
      </c>
      <c r="I502" s="157" t="s">
        <v>4</v>
      </c>
      <c r="J502" s="157" t="s">
        <v>4</v>
      </c>
      <c r="K502" s="157" t="s">
        <v>4</v>
      </c>
      <c r="L502" s="160"/>
      <c r="M502" s="167" t="str">
        <f>IF(Main[[#This Row],[Tech Start Date]]&lt;1/1/1990,"",IF(Main[[#This Row],[Class]]="C",WORKDAY(Main[[#This Row],[Tech Start Date]],9),IF(Main[[#This Row],[Class]]="B", WORKDAY(Main[[#This Row],[Tech Start Date]],6),IF(Main[[#This Row],[Class]]="A",WORKDAY(Main[[#This Row],[Tech Start Date]],2),""))))</f>
        <v/>
      </c>
      <c r="N502" s="167" t="str">
        <f>IF(Main[[#This Row],[Tech Start Date]]&lt;1/1/1990,"",IF(Main[[#This Row],[Class]]="C",WORKDAY(Main[[#This Row],[Tech Start Date]],19),IF(Main[[#This Row],[Class]]="B", WORKDAY(Main[[#This Row],[Tech Start Date]],12),IF(Main[[#This Row],[Class]]="A",WORKDAY(Main[[#This Row],[Tech Start Date]],4),""))))</f>
        <v/>
      </c>
      <c r="O502" s="167" t="str">
        <f>IF(Main[[#This Row],[Tech Start Date]]&lt;1/1/1990,"",IF(Main[[#This Row],[Class]]="C",WORKDAY(Main[[#This Row],[Tech Start Date]],23),IF(Main[[#This Row],[Class]]="B", WORKDAY(Main[[#This Row],[Tech Start Date]],15),IF(Main[[#This Row],[Class]]="A",WORKDAY(Main[[#This Row],[Tech Start Date]],5),""))))</f>
        <v/>
      </c>
      <c r="P502" s="167" t="str">
        <f>IF(Main[[#This Row],[Tech Start Date]]&lt;1/1/1990,"",IF(Main[[#This Row],[Class]]="C",WORKDAY(Main[[#This Row],[Tech Start Date]],28),IF(Main[[#This Row],[Class]]="B", WORKDAY(Main[[#This Row],[Tech Start Date]],19),IF(Main[[#This Row],[Class]]="A",WORKDAY(Main[[#This Row],[Tech Start Date]],9),""))))</f>
        <v/>
      </c>
      <c r="Q502" s="160">
        <v>40676</v>
      </c>
      <c r="R502" s="160"/>
      <c r="S502" s="157" t="s">
        <v>6</v>
      </c>
      <c r="T502" s="171" t="s">
        <v>4</v>
      </c>
      <c r="U502" s="157" t="s">
        <v>14</v>
      </c>
      <c r="V502" s="157" t="s">
        <v>1917</v>
      </c>
      <c r="W502" s="157" t="s">
        <v>1921</v>
      </c>
      <c r="X502" s="157" t="s">
        <v>2827</v>
      </c>
      <c r="Y502" s="157" t="s">
        <v>2942</v>
      </c>
      <c r="Z502" s="157" t="s">
        <v>4</v>
      </c>
      <c r="AA502" s="153" t="s">
        <v>2827</v>
      </c>
    </row>
    <row r="503" spans="1:27" ht="18.600000000000001" customHeight="1">
      <c r="A503" s="139" t="str">
        <f>IF(priority(Main[[#This Row],[Comments]])&lt;&gt;0, priority(Main[[#This Row],[Comments]]),"")</f>
        <v/>
      </c>
      <c r="B503" s="89" t="s">
        <v>1320</v>
      </c>
      <c r="C503" s="72" t="s">
        <v>47</v>
      </c>
      <c r="D503" s="73" t="s">
        <v>146</v>
      </c>
      <c r="E503" s="74"/>
      <c r="F503" s="74"/>
      <c r="G503" s="75" t="str">
        <f>IF(stdProdLT(Main[[#This Row],[Comments]])=0.1,"N/A",IF(stdProdLT(Main[[#This Row],[Comments]])=0,"",stdProdLT(Main[[#This Row],[Comments]])))</f>
        <v/>
      </c>
      <c r="H503" s="76" t="str">
        <f>IF(AND(Main[[#This Row],[In Stock Date]]&lt;&gt;"",Main[[#This Row],[Revised Due Date]]&lt;&gt;""),Main[[#This Row],[In Stock Date]]-Main[[#This Row],[Revised Due Date]],"")</f>
        <v/>
      </c>
      <c r="I503" s="72" t="s">
        <v>4</v>
      </c>
      <c r="J503" s="72" t="s">
        <v>4</v>
      </c>
      <c r="K503" s="72" t="s">
        <v>4</v>
      </c>
      <c r="L503" s="74"/>
      <c r="M503" s="77" t="str">
        <f>IF(Main[[#This Row],[Tech Start Date]]&lt;1/1/1990,"",IF(Main[[#This Row],[Class]]="C",WORKDAY(Main[[#This Row],[Tech Start Date]],9),IF(Main[[#This Row],[Class]]="B", WORKDAY(Main[[#This Row],[Tech Start Date]],6),IF(Main[[#This Row],[Class]]="A",WORKDAY(Main[[#This Row],[Tech Start Date]],2),""))))</f>
        <v/>
      </c>
      <c r="N503" s="77" t="str">
        <f>IF(Main[[#This Row],[Tech Start Date]]&lt;1/1/1990,"",IF(Main[[#This Row],[Class]]="C",WORKDAY(Main[[#This Row],[Tech Start Date]],19),IF(Main[[#This Row],[Class]]="B", WORKDAY(Main[[#This Row],[Tech Start Date]],12),IF(Main[[#This Row],[Class]]="A",WORKDAY(Main[[#This Row],[Tech Start Date]],4),""))))</f>
        <v/>
      </c>
      <c r="O503" s="77" t="str">
        <f>IF(Main[[#This Row],[Tech Start Date]]&lt;1/1/1990,"",IF(Main[[#This Row],[Class]]="C",WORKDAY(Main[[#This Row],[Tech Start Date]],23),IF(Main[[#This Row],[Class]]="B", WORKDAY(Main[[#This Row],[Tech Start Date]],15),IF(Main[[#This Row],[Class]]="A",WORKDAY(Main[[#This Row],[Tech Start Date]],5),""))))</f>
        <v/>
      </c>
      <c r="P503" s="77" t="str">
        <f>IF(Main[[#This Row],[Tech Start Date]]&lt;1/1/1990,"",IF(Main[[#This Row],[Class]]="C",WORKDAY(Main[[#This Row],[Tech Start Date]],28),IF(Main[[#This Row],[Class]]="B", WORKDAY(Main[[#This Row],[Tech Start Date]],19),IF(Main[[#This Row],[Class]]="A",WORKDAY(Main[[#This Row],[Tech Start Date]],9),""))))</f>
        <v/>
      </c>
      <c r="Q503" s="74"/>
      <c r="R503" s="74"/>
      <c r="S503" s="72" t="s">
        <v>4</v>
      </c>
      <c r="T503" s="80" t="s">
        <v>4</v>
      </c>
      <c r="U503" s="72" t="s">
        <v>14</v>
      </c>
      <c r="V503" s="72" t="s">
        <v>1918</v>
      </c>
      <c r="W503" s="72" t="s">
        <v>4</v>
      </c>
      <c r="X503" s="72" t="s">
        <v>306</v>
      </c>
      <c r="Y503" s="72" t="s">
        <v>2947</v>
      </c>
      <c r="Z503" s="72" t="s">
        <v>4</v>
      </c>
      <c r="AA503" s="146" t="s">
        <v>3388</v>
      </c>
    </row>
    <row r="504" spans="1:27" ht="18.600000000000001" customHeight="1">
      <c r="A504" s="139" t="str">
        <f>IF(priority(Main[[#This Row],[Comments]])&lt;&gt;0, priority(Main[[#This Row],[Comments]]),"")</f>
        <v/>
      </c>
      <c r="B504" s="89" t="s">
        <v>1321</v>
      </c>
      <c r="C504" s="72" t="s">
        <v>401</v>
      </c>
      <c r="D504" s="73" t="s">
        <v>402</v>
      </c>
      <c r="E504" s="74"/>
      <c r="F504" s="74">
        <v>40447</v>
      </c>
      <c r="G504" s="75" t="str">
        <f>IF(stdProdLT(Main[[#This Row],[Comments]])=0.1,"N/A",IF(stdProdLT(Main[[#This Row],[Comments]])=0,"",stdProdLT(Main[[#This Row],[Comments]])))</f>
        <v/>
      </c>
      <c r="H504" s="76" t="str">
        <f>IF(AND(Main[[#This Row],[In Stock Date]]&lt;&gt;"",Main[[#This Row],[Revised Due Date]]&lt;&gt;""),Main[[#This Row],[In Stock Date]]-Main[[#This Row],[Revised Due Date]],"")</f>
        <v/>
      </c>
      <c r="I504" s="72" t="s">
        <v>4</v>
      </c>
      <c r="J504" s="72" t="s">
        <v>4</v>
      </c>
      <c r="K504" s="72" t="s">
        <v>4</v>
      </c>
      <c r="L504" s="74"/>
      <c r="M504" s="77" t="str">
        <f>IF(Main[[#This Row],[Tech Start Date]]&lt;1/1/1990,"",IF(Main[[#This Row],[Class]]="C",WORKDAY(Main[[#This Row],[Tech Start Date]],9),IF(Main[[#This Row],[Class]]="B", WORKDAY(Main[[#This Row],[Tech Start Date]],6),IF(Main[[#This Row],[Class]]="A",WORKDAY(Main[[#This Row],[Tech Start Date]],2),""))))</f>
        <v/>
      </c>
      <c r="N504" s="77" t="str">
        <f>IF(Main[[#This Row],[Tech Start Date]]&lt;1/1/1990,"",IF(Main[[#This Row],[Class]]="C",WORKDAY(Main[[#This Row],[Tech Start Date]],19),IF(Main[[#This Row],[Class]]="B", WORKDAY(Main[[#This Row],[Tech Start Date]],12),IF(Main[[#This Row],[Class]]="A",WORKDAY(Main[[#This Row],[Tech Start Date]],4),""))))</f>
        <v/>
      </c>
      <c r="O504" s="77" t="str">
        <f>IF(Main[[#This Row],[Tech Start Date]]&lt;1/1/1990,"",IF(Main[[#This Row],[Class]]="C",WORKDAY(Main[[#This Row],[Tech Start Date]],23),IF(Main[[#This Row],[Class]]="B", WORKDAY(Main[[#This Row],[Tech Start Date]],15),IF(Main[[#This Row],[Class]]="A",WORKDAY(Main[[#This Row],[Tech Start Date]],5),""))))</f>
        <v/>
      </c>
      <c r="P504" s="77" t="str">
        <f>IF(Main[[#This Row],[Tech Start Date]]&lt;1/1/1990,"",IF(Main[[#This Row],[Class]]="C",WORKDAY(Main[[#This Row],[Tech Start Date]],28),IF(Main[[#This Row],[Class]]="B", WORKDAY(Main[[#This Row],[Tech Start Date]],19),IF(Main[[#This Row],[Class]]="A",WORKDAY(Main[[#This Row],[Tech Start Date]],9),""))))</f>
        <v/>
      </c>
      <c r="Q504" s="74">
        <v>40349</v>
      </c>
      <c r="R504" s="74"/>
      <c r="S504" s="72" t="s">
        <v>11</v>
      </c>
      <c r="T504" s="80" t="s">
        <v>4</v>
      </c>
      <c r="U504" s="72" t="s">
        <v>14</v>
      </c>
      <c r="V504" s="72" t="s">
        <v>1927</v>
      </c>
      <c r="W504" s="72" t="s">
        <v>1922</v>
      </c>
      <c r="X504" s="72" t="s">
        <v>2856</v>
      </c>
      <c r="Y504" s="72" t="s">
        <v>4</v>
      </c>
      <c r="Z504" s="72" t="s">
        <v>4</v>
      </c>
      <c r="AA504" s="146" t="s">
        <v>2856</v>
      </c>
    </row>
    <row r="505" spans="1:27" ht="18.600000000000001" customHeight="1">
      <c r="A505" s="139" t="str">
        <f>IF(priority(Main[[#This Row],[Comments]])&lt;&gt;0, priority(Main[[#This Row],[Comments]]),"")</f>
        <v/>
      </c>
      <c r="B505" s="89" t="s">
        <v>2089</v>
      </c>
      <c r="C505" s="72" t="s">
        <v>47</v>
      </c>
      <c r="D505" s="73" t="s">
        <v>878</v>
      </c>
      <c r="E505" s="74"/>
      <c r="F505" s="74"/>
      <c r="G505" s="75" t="str">
        <f>IF(stdProdLT(Main[[#This Row],[Comments]])=0.1,"N/A",IF(stdProdLT(Main[[#This Row],[Comments]])=0,"",stdProdLT(Main[[#This Row],[Comments]])))</f>
        <v/>
      </c>
      <c r="H505" s="76" t="str">
        <f>IF(AND(Main[[#This Row],[In Stock Date]]&lt;&gt;"",Main[[#This Row],[Revised Due Date]]&lt;&gt;""),Main[[#This Row],[In Stock Date]]-Main[[#This Row],[Revised Due Date]],"")</f>
        <v/>
      </c>
      <c r="I505" s="72" t="s">
        <v>4</v>
      </c>
      <c r="J505" s="72" t="s">
        <v>4</v>
      </c>
      <c r="K505" s="72" t="s">
        <v>4</v>
      </c>
      <c r="L505" s="74"/>
      <c r="M505" s="77" t="str">
        <f>IF(Main[[#This Row],[Tech Start Date]]&lt;1/1/1990,"",IF(Main[[#This Row],[Class]]="C",WORKDAY(Main[[#This Row],[Tech Start Date]],9),IF(Main[[#This Row],[Class]]="B", WORKDAY(Main[[#This Row],[Tech Start Date]],6),IF(Main[[#This Row],[Class]]="A",WORKDAY(Main[[#This Row],[Tech Start Date]],2),""))))</f>
        <v/>
      </c>
      <c r="N505" s="77" t="str">
        <f>IF(Main[[#This Row],[Tech Start Date]]&lt;1/1/1990,"",IF(Main[[#This Row],[Class]]="C",WORKDAY(Main[[#This Row],[Tech Start Date]],19),IF(Main[[#This Row],[Class]]="B", WORKDAY(Main[[#This Row],[Tech Start Date]],12),IF(Main[[#This Row],[Class]]="A",WORKDAY(Main[[#This Row],[Tech Start Date]],4),""))))</f>
        <v/>
      </c>
      <c r="O505" s="77" t="str">
        <f>IF(Main[[#This Row],[Tech Start Date]]&lt;1/1/1990,"",IF(Main[[#This Row],[Class]]="C",WORKDAY(Main[[#This Row],[Tech Start Date]],23),IF(Main[[#This Row],[Class]]="B", WORKDAY(Main[[#This Row],[Tech Start Date]],15),IF(Main[[#This Row],[Class]]="A",WORKDAY(Main[[#This Row],[Tech Start Date]],5),""))))</f>
        <v/>
      </c>
      <c r="P505" s="77" t="str">
        <f>IF(Main[[#This Row],[Tech Start Date]]&lt;1/1/1990,"",IF(Main[[#This Row],[Class]]="C",WORKDAY(Main[[#This Row],[Tech Start Date]],28),IF(Main[[#This Row],[Class]]="B", WORKDAY(Main[[#This Row],[Tech Start Date]],19),IF(Main[[#This Row],[Class]]="A",WORKDAY(Main[[#This Row],[Tech Start Date]],9),""))))</f>
        <v/>
      </c>
      <c r="Q505" s="74">
        <v>40267</v>
      </c>
      <c r="R505" s="74"/>
      <c r="S505" s="72" t="s">
        <v>17</v>
      </c>
      <c r="T505" s="80" t="s">
        <v>4</v>
      </c>
      <c r="U505" s="72" t="s">
        <v>14</v>
      </c>
      <c r="V505" s="72" t="s">
        <v>1917</v>
      </c>
      <c r="W505" s="72" t="s">
        <v>1921</v>
      </c>
      <c r="X505" s="72" t="s">
        <v>2888</v>
      </c>
      <c r="Y505" s="72" t="s">
        <v>2947</v>
      </c>
      <c r="Z505" s="72" t="s">
        <v>4</v>
      </c>
      <c r="AA505" s="146" t="s">
        <v>3388</v>
      </c>
    </row>
    <row r="506" spans="1:27" ht="18.600000000000001" customHeight="1">
      <c r="A506" s="139" t="str">
        <f>IF(priority(Main[[#This Row],[Comments]])&lt;&gt;0, priority(Main[[#This Row],[Comments]]),"")</f>
        <v/>
      </c>
      <c r="B506" s="89" t="s">
        <v>1322</v>
      </c>
      <c r="C506" s="72" t="s">
        <v>113</v>
      </c>
      <c r="D506" s="73" t="s">
        <v>403</v>
      </c>
      <c r="E506" s="74"/>
      <c r="F506" s="74"/>
      <c r="G506" s="75" t="str">
        <f>IF(stdProdLT(Main[[#This Row],[Comments]])=0.1,"N/A",IF(stdProdLT(Main[[#This Row],[Comments]])=0,"",stdProdLT(Main[[#This Row],[Comments]])))</f>
        <v/>
      </c>
      <c r="H506" s="76" t="str">
        <f>IF(AND(Main[[#This Row],[In Stock Date]]&lt;&gt;"",Main[[#This Row],[Revised Due Date]]&lt;&gt;""),Main[[#This Row],[In Stock Date]]-Main[[#This Row],[Revised Due Date]],"")</f>
        <v/>
      </c>
      <c r="I506" s="72" t="s">
        <v>4</v>
      </c>
      <c r="J506" s="72" t="s">
        <v>4</v>
      </c>
      <c r="K506" s="72" t="s">
        <v>4</v>
      </c>
      <c r="L506" s="74"/>
      <c r="M506" s="77" t="str">
        <f>IF(Main[[#This Row],[Tech Start Date]]&lt;1/1/1990,"",IF(Main[[#This Row],[Class]]="C",WORKDAY(Main[[#This Row],[Tech Start Date]],9),IF(Main[[#This Row],[Class]]="B", WORKDAY(Main[[#This Row],[Tech Start Date]],6),IF(Main[[#This Row],[Class]]="A",WORKDAY(Main[[#This Row],[Tech Start Date]],2),""))))</f>
        <v/>
      </c>
      <c r="N506" s="77" t="str">
        <f>IF(Main[[#This Row],[Tech Start Date]]&lt;1/1/1990,"",IF(Main[[#This Row],[Class]]="C",WORKDAY(Main[[#This Row],[Tech Start Date]],19),IF(Main[[#This Row],[Class]]="B", WORKDAY(Main[[#This Row],[Tech Start Date]],12),IF(Main[[#This Row],[Class]]="A",WORKDAY(Main[[#This Row],[Tech Start Date]],4),""))))</f>
        <v/>
      </c>
      <c r="O506" s="77" t="str">
        <f>IF(Main[[#This Row],[Tech Start Date]]&lt;1/1/1990,"",IF(Main[[#This Row],[Class]]="C",WORKDAY(Main[[#This Row],[Tech Start Date]],23),IF(Main[[#This Row],[Class]]="B", WORKDAY(Main[[#This Row],[Tech Start Date]],15),IF(Main[[#This Row],[Class]]="A",WORKDAY(Main[[#This Row],[Tech Start Date]],5),""))))</f>
        <v/>
      </c>
      <c r="P506" s="77" t="str">
        <f>IF(Main[[#This Row],[Tech Start Date]]&lt;1/1/1990,"",IF(Main[[#This Row],[Class]]="C",WORKDAY(Main[[#This Row],[Tech Start Date]],28),IF(Main[[#This Row],[Class]]="B", WORKDAY(Main[[#This Row],[Tech Start Date]],19),IF(Main[[#This Row],[Class]]="A",WORKDAY(Main[[#This Row],[Tech Start Date]],9),""))))</f>
        <v/>
      </c>
      <c r="Q506" s="74"/>
      <c r="R506" s="74"/>
      <c r="S506" s="72" t="s">
        <v>11</v>
      </c>
      <c r="T506" s="80" t="s">
        <v>4</v>
      </c>
      <c r="U506" s="72" t="s">
        <v>14</v>
      </c>
      <c r="V506" s="72" t="s">
        <v>1920</v>
      </c>
      <c r="W506" s="72" t="s">
        <v>1925</v>
      </c>
      <c r="X506" s="72" t="s">
        <v>2850</v>
      </c>
      <c r="Y506" s="72" t="s">
        <v>2983</v>
      </c>
      <c r="Z506" s="72" t="s">
        <v>4</v>
      </c>
      <c r="AA506" s="146" t="s">
        <v>2850</v>
      </c>
    </row>
    <row r="507" spans="1:27" ht="18.600000000000001" customHeight="1">
      <c r="A507" s="155" t="str">
        <f>IF(priority(Main[[#This Row],[Comments]])&lt;&gt;0, priority(Main[[#This Row],[Comments]]),"")</f>
        <v/>
      </c>
      <c r="B507" s="156" t="s">
        <v>1028</v>
      </c>
      <c r="C507" s="157" t="s">
        <v>4</v>
      </c>
      <c r="D507" s="158" t="s">
        <v>3615</v>
      </c>
      <c r="E507" s="160">
        <v>40294.37054398148</v>
      </c>
      <c r="F507" s="160"/>
      <c r="G507" s="162" t="str">
        <f>IF(stdProdLT(Main[[#This Row],[Comments]])=0.1,"N/A",IF(stdProdLT(Main[[#This Row],[Comments]])=0,"",stdProdLT(Main[[#This Row],[Comments]])))</f>
        <v/>
      </c>
      <c r="H507" s="164" t="str">
        <f>IF(AND(Main[[#This Row],[In Stock Date]]&lt;&gt;"",Main[[#This Row],[Revised Due Date]]&lt;&gt;""),Main[[#This Row],[In Stock Date]]-Main[[#This Row],[Revised Due Date]],"")</f>
        <v/>
      </c>
      <c r="I507" s="157" t="s">
        <v>2211</v>
      </c>
      <c r="J507" s="157" t="s">
        <v>75</v>
      </c>
      <c r="K507" s="157" t="s">
        <v>1926</v>
      </c>
      <c r="L507" s="160"/>
      <c r="M507" s="167" t="str">
        <f>IF(Main[[#This Row],[Tech Start Date]]&lt;1/1/1990,"",IF(Main[[#This Row],[Class]]="C",WORKDAY(Main[[#This Row],[Tech Start Date]],9),IF(Main[[#This Row],[Class]]="B", WORKDAY(Main[[#This Row],[Tech Start Date]],6),IF(Main[[#This Row],[Class]]="A",WORKDAY(Main[[#This Row],[Tech Start Date]],2),""))))</f>
        <v/>
      </c>
      <c r="N507" s="167" t="str">
        <f>IF(Main[[#This Row],[Tech Start Date]]&lt;1/1/1990,"",IF(Main[[#This Row],[Class]]="C",WORKDAY(Main[[#This Row],[Tech Start Date]],19),IF(Main[[#This Row],[Class]]="B", WORKDAY(Main[[#This Row],[Tech Start Date]],12),IF(Main[[#This Row],[Class]]="A",WORKDAY(Main[[#This Row],[Tech Start Date]],4),""))))</f>
        <v/>
      </c>
      <c r="O507" s="167" t="str">
        <f>IF(Main[[#This Row],[Tech Start Date]]&lt;1/1/1990,"",IF(Main[[#This Row],[Class]]="C",WORKDAY(Main[[#This Row],[Tech Start Date]],23),IF(Main[[#This Row],[Class]]="B", WORKDAY(Main[[#This Row],[Tech Start Date]],15),IF(Main[[#This Row],[Class]]="A",WORKDAY(Main[[#This Row],[Tech Start Date]],5),""))))</f>
        <v/>
      </c>
      <c r="P507" s="167" t="str">
        <f>IF(Main[[#This Row],[Tech Start Date]]&lt;1/1/1990,"",IF(Main[[#This Row],[Class]]="C",WORKDAY(Main[[#This Row],[Tech Start Date]],28),IF(Main[[#This Row],[Class]]="B", WORKDAY(Main[[#This Row],[Tech Start Date]],19),IF(Main[[#This Row],[Class]]="A",WORKDAY(Main[[#This Row],[Tech Start Date]],9),""))))</f>
        <v/>
      </c>
      <c r="Q507" s="160">
        <v>40909</v>
      </c>
      <c r="R507" s="160"/>
      <c r="S507" s="157" t="s">
        <v>6</v>
      </c>
      <c r="T507" s="171" t="s">
        <v>4</v>
      </c>
      <c r="U507" s="157" t="s">
        <v>29</v>
      </c>
      <c r="V507" s="157" t="s">
        <v>1920</v>
      </c>
      <c r="W507" s="157" t="s">
        <v>1921</v>
      </c>
      <c r="X507" s="157" t="s">
        <v>2825</v>
      </c>
      <c r="Y507" s="157" t="s">
        <v>2938</v>
      </c>
      <c r="Z507" s="157" t="s">
        <v>239</v>
      </c>
      <c r="AA507" s="153" t="s">
        <v>2825</v>
      </c>
    </row>
    <row r="508" spans="1:27" ht="18.600000000000001" customHeight="1">
      <c r="A508" s="139" t="str">
        <f>IF(priority(Main[[#This Row],[Comments]])&lt;&gt;0, priority(Main[[#This Row],[Comments]]),"")</f>
        <v/>
      </c>
      <c r="B508" s="89" t="s">
        <v>1325</v>
      </c>
      <c r="C508" s="72" t="s">
        <v>4</v>
      </c>
      <c r="D508" s="73" t="s">
        <v>405</v>
      </c>
      <c r="E508" s="74"/>
      <c r="F508" s="74"/>
      <c r="G508" s="75" t="str">
        <f>IF(stdProdLT(Main[[#This Row],[Comments]])=0.1,"N/A",IF(stdProdLT(Main[[#This Row],[Comments]])=0,"",stdProdLT(Main[[#This Row],[Comments]])))</f>
        <v/>
      </c>
      <c r="H508" s="76" t="str">
        <f>IF(AND(Main[[#This Row],[In Stock Date]]&lt;&gt;"",Main[[#This Row],[Revised Due Date]]&lt;&gt;""),Main[[#This Row],[In Stock Date]]-Main[[#This Row],[Revised Due Date]],"")</f>
        <v/>
      </c>
      <c r="I508" s="72" t="s">
        <v>4</v>
      </c>
      <c r="J508" s="72" t="s">
        <v>4</v>
      </c>
      <c r="K508" s="81" t="s">
        <v>4</v>
      </c>
      <c r="L508" s="74"/>
      <c r="M508" s="77" t="str">
        <f>IF(Main[[#This Row],[Tech Start Date]]&lt;1/1/1990,"",IF(Main[[#This Row],[Class]]="C",WORKDAY(Main[[#This Row],[Tech Start Date]],9),IF(Main[[#This Row],[Class]]="B", WORKDAY(Main[[#This Row],[Tech Start Date]],6),IF(Main[[#This Row],[Class]]="A",WORKDAY(Main[[#This Row],[Tech Start Date]],2),""))))</f>
        <v/>
      </c>
      <c r="N508" s="77" t="str">
        <f>IF(Main[[#This Row],[Tech Start Date]]&lt;1/1/1990,"",IF(Main[[#This Row],[Class]]="C",WORKDAY(Main[[#This Row],[Tech Start Date]],19),IF(Main[[#This Row],[Class]]="B", WORKDAY(Main[[#This Row],[Tech Start Date]],12),IF(Main[[#This Row],[Class]]="A",WORKDAY(Main[[#This Row],[Tech Start Date]],4),""))))</f>
        <v/>
      </c>
      <c r="O508" s="77" t="str">
        <f>IF(Main[[#This Row],[Tech Start Date]]&lt;1/1/1990,"",IF(Main[[#This Row],[Class]]="C",WORKDAY(Main[[#This Row],[Tech Start Date]],23),IF(Main[[#This Row],[Class]]="B", WORKDAY(Main[[#This Row],[Tech Start Date]],15),IF(Main[[#This Row],[Class]]="A",WORKDAY(Main[[#This Row],[Tech Start Date]],5),""))))</f>
        <v/>
      </c>
      <c r="P508" s="77" t="str">
        <f>IF(Main[[#This Row],[Tech Start Date]]&lt;1/1/1990,"",IF(Main[[#This Row],[Class]]="C",WORKDAY(Main[[#This Row],[Tech Start Date]],28),IF(Main[[#This Row],[Class]]="B", WORKDAY(Main[[#This Row],[Tech Start Date]],19),IF(Main[[#This Row],[Class]]="A",WORKDAY(Main[[#This Row],[Tech Start Date]],9),""))))</f>
        <v/>
      </c>
      <c r="Q508" s="74">
        <v>40390</v>
      </c>
      <c r="R508" s="74"/>
      <c r="S508" s="72" t="s">
        <v>6</v>
      </c>
      <c r="T508" s="80" t="s">
        <v>4</v>
      </c>
      <c r="U508" s="72" t="s">
        <v>14</v>
      </c>
      <c r="V508" s="72" t="s">
        <v>1920</v>
      </c>
      <c r="W508" s="72" t="s">
        <v>4</v>
      </c>
      <c r="X508" s="72" t="s">
        <v>2825</v>
      </c>
      <c r="Y508" s="72" t="s">
        <v>2938</v>
      </c>
      <c r="Z508" s="72" t="s">
        <v>4</v>
      </c>
      <c r="AA508" s="146" t="s">
        <v>2825</v>
      </c>
    </row>
    <row r="509" spans="1:27" ht="18.600000000000001" customHeight="1">
      <c r="A509" s="139" t="str">
        <f>IF(priority(Main[[#This Row],[Comments]])&lt;&gt;0, priority(Main[[#This Row],[Comments]]),"")</f>
        <v/>
      </c>
      <c r="B509" s="89" t="s">
        <v>1326</v>
      </c>
      <c r="C509" s="72" t="s">
        <v>169</v>
      </c>
      <c r="D509" s="73" t="s">
        <v>406</v>
      </c>
      <c r="E509" s="74"/>
      <c r="F509" s="74">
        <v>40237</v>
      </c>
      <c r="G509" s="75" t="str">
        <f>IF(stdProdLT(Main[[#This Row],[Comments]])=0.1,"N/A",IF(stdProdLT(Main[[#This Row],[Comments]])=0,"",stdProdLT(Main[[#This Row],[Comments]])))</f>
        <v/>
      </c>
      <c r="H509" s="76" t="str">
        <f>IF(AND(Main[[#This Row],[In Stock Date]]&lt;&gt;"",Main[[#This Row],[Revised Due Date]]&lt;&gt;""),Main[[#This Row],[In Stock Date]]-Main[[#This Row],[Revised Due Date]],"")</f>
        <v/>
      </c>
      <c r="I509" s="72" t="s">
        <v>4</v>
      </c>
      <c r="J509" s="72" t="s">
        <v>4</v>
      </c>
      <c r="K509" s="72" t="s">
        <v>4</v>
      </c>
      <c r="L509" s="74"/>
      <c r="M509" s="77" t="str">
        <f>IF(Main[[#This Row],[Tech Start Date]]&lt;1/1/1990,"",IF(Main[[#This Row],[Class]]="C",WORKDAY(Main[[#This Row],[Tech Start Date]],9),IF(Main[[#This Row],[Class]]="B", WORKDAY(Main[[#This Row],[Tech Start Date]],6),IF(Main[[#This Row],[Class]]="A",WORKDAY(Main[[#This Row],[Tech Start Date]],2),""))))</f>
        <v/>
      </c>
      <c r="N509" s="77" t="str">
        <f>IF(Main[[#This Row],[Tech Start Date]]&lt;1/1/1990,"",IF(Main[[#This Row],[Class]]="C",WORKDAY(Main[[#This Row],[Tech Start Date]],19),IF(Main[[#This Row],[Class]]="B", WORKDAY(Main[[#This Row],[Tech Start Date]],12),IF(Main[[#This Row],[Class]]="A",WORKDAY(Main[[#This Row],[Tech Start Date]],4),""))))</f>
        <v/>
      </c>
      <c r="O509" s="77" t="str">
        <f>IF(Main[[#This Row],[Tech Start Date]]&lt;1/1/1990,"",IF(Main[[#This Row],[Class]]="C",WORKDAY(Main[[#This Row],[Tech Start Date]],23),IF(Main[[#This Row],[Class]]="B", WORKDAY(Main[[#This Row],[Tech Start Date]],15),IF(Main[[#This Row],[Class]]="A",WORKDAY(Main[[#This Row],[Tech Start Date]],5),""))))</f>
        <v/>
      </c>
      <c r="P509" s="77" t="str">
        <f>IF(Main[[#This Row],[Tech Start Date]]&lt;1/1/1990,"",IF(Main[[#This Row],[Class]]="C",WORKDAY(Main[[#This Row],[Tech Start Date]],28),IF(Main[[#This Row],[Class]]="B", WORKDAY(Main[[#This Row],[Tech Start Date]],19),IF(Main[[#This Row],[Class]]="A",WORKDAY(Main[[#This Row],[Tech Start Date]],9),""))))</f>
        <v/>
      </c>
      <c r="Q509" s="74">
        <v>40132</v>
      </c>
      <c r="R509" s="74"/>
      <c r="S509" s="72" t="s">
        <v>11</v>
      </c>
      <c r="T509" s="80" t="s">
        <v>4</v>
      </c>
      <c r="U509" s="72" t="s">
        <v>14</v>
      </c>
      <c r="V509" s="72" t="s">
        <v>1917</v>
      </c>
      <c r="W509" s="72" t="s">
        <v>1922</v>
      </c>
      <c r="X509" s="72" t="s">
        <v>2864</v>
      </c>
      <c r="Y509" s="72" t="s">
        <v>4</v>
      </c>
      <c r="Z509" s="72" t="s">
        <v>4</v>
      </c>
      <c r="AA509" s="146" t="s">
        <v>2864</v>
      </c>
    </row>
    <row r="510" spans="1:27" ht="18.600000000000001" customHeight="1">
      <c r="A510" s="139" t="str">
        <f>IF(priority(Main[[#This Row],[Comments]])&lt;&gt;0, priority(Main[[#This Row],[Comments]]),"")</f>
        <v/>
      </c>
      <c r="B510" s="89" t="s">
        <v>1327</v>
      </c>
      <c r="C510" s="72" t="s">
        <v>169</v>
      </c>
      <c r="D510" s="73" t="s">
        <v>407</v>
      </c>
      <c r="E510" s="74"/>
      <c r="F510" s="74">
        <v>40237</v>
      </c>
      <c r="G510" s="75" t="str">
        <f>IF(stdProdLT(Main[[#This Row],[Comments]])=0.1,"N/A",IF(stdProdLT(Main[[#This Row],[Comments]])=0,"",stdProdLT(Main[[#This Row],[Comments]])))</f>
        <v/>
      </c>
      <c r="H510" s="76" t="str">
        <f>IF(AND(Main[[#This Row],[In Stock Date]]&lt;&gt;"",Main[[#This Row],[Revised Due Date]]&lt;&gt;""),Main[[#This Row],[In Stock Date]]-Main[[#This Row],[Revised Due Date]],"")</f>
        <v/>
      </c>
      <c r="I510" s="72" t="s">
        <v>4</v>
      </c>
      <c r="J510" s="72" t="s">
        <v>4</v>
      </c>
      <c r="K510" s="72" t="s">
        <v>4</v>
      </c>
      <c r="L510" s="74"/>
      <c r="M510" s="77" t="str">
        <f>IF(Main[[#This Row],[Tech Start Date]]&lt;1/1/1990,"",IF(Main[[#This Row],[Class]]="C",WORKDAY(Main[[#This Row],[Tech Start Date]],9),IF(Main[[#This Row],[Class]]="B", WORKDAY(Main[[#This Row],[Tech Start Date]],6),IF(Main[[#This Row],[Class]]="A",WORKDAY(Main[[#This Row],[Tech Start Date]],2),""))))</f>
        <v/>
      </c>
      <c r="N510" s="77" t="str">
        <f>IF(Main[[#This Row],[Tech Start Date]]&lt;1/1/1990,"",IF(Main[[#This Row],[Class]]="C",WORKDAY(Main[[#This Row],[Tech Start Date]],19),IF(Main[[#This Row],[Class]]="B", WORKDAY(Main[[#This Row],[Tech Start Date]],12),IF(Main[[#This Row],[Class]]="A",WORKDAY(Main[[#This Row],[Tech Start Date]],4),""))))</f>
        <v/>
      </c>
      <c r="O510" s="77" t="str">
        <f>IF(Main[[#This Row],[Tech Start Date]]&lt;1/1/1990,"",IF(Main[[#This Row],[Class]]="C",WORKDAY(Main[[#This Row],[Tech Start Date]],23),IF(Main[[#This Row],[Class]]="B", WORKDAY(Main[[#This Row],[Tech Start Date]],15),IF(Main[[#This Row],[Class]]="A",WORKDAY(Main[[#This Row],[Tech Start Date]],5),""))))</f>
        <v/>
      </c>
      <c r="P510" s="77" t="str">
        <f>IF(Main[[#This Row],[Tech Start Date]]&lt;1/1/1990,"",IF(Main[[#This Row],[Class]]="C",WORKDAY(Main[[#This Row],[Tech Start Date]],28),IF(Main[[#This Row],[Class]]="B", WORKDAY(Main[[#This Row],[Tech Start Date]],19),IF(Main[[#This Row],[Class]]="A",WORKDAY(Main[[#This Row],[Tech Start Date]],9),""))))</f>
        <v/>
      </c>
      <c r="Q510" s="74">
        <v>40132</v>
      </c>
      <c r="R510" s="74"/>
      <c r="S510" s="72" t="s">
        <v>11</v>
      </c>
      <c r="T510" s="80" t="s">
        <v>4</v>
      </c>
      <c r="U510" s="72" t="s">
        <v>14</v>
      </c>
      <c r="V510" s="72" t="s">
        <v>1917</v>
      </c>
      <c r="W510" s="72" t="s">
        <v>1922</v>
      </c>
      <c r="X510" s="72" t="s">
        <v>2864</v>
      </c>
      <c r="Y510" s="72" t="s">
        <v>4</v>
      </c>
      <c r="Z510" s="72" t="s">
        <v>4</v>
      </c>
      <c r="AA510" s="146" t="s">
        <v>2864</v>
      </c>
    </row>
    <row r="511" spans="1:27" ht="18.600000000000001" customHeight="1">
      <c r="A511" s="139" t="str">
        <f>IF(priority(Main[[#This Row],[Comments]])&lt;&gt;0, priority(Main[[#This Row],[Comments]]),"")</f>
        <v/>
      </c>
      <c r="B511" s="89" t="s">
        <v>1328</v>
      </c>
      <c r="C511" s="72" t="s">
        <v>4</v>
      </c>
      <c r="D511" s="73" t="s">
        <v>408</v>
      </c>
      <c r="E511" s="74"/>
      <c r="F511" s="74"/>
      <c r="G511" s="75" t="str">
        <f>IF(stdProdLT(Main[[#This Row],[Comments]])=0.1,"N/A",IF(stdProdLT(Main[[#This Row],[Comments]])=0,"",stdProdLT(Main[[#This Row],[Comments]])))</f>
        <v/>
      </c>
      <c r="H511" s="76" t="str">
        <f>IF(AND(Main[[#This Row],[In Stock Date]]&lt;&gt;"",Main[[#This Row],[Revised Due Date]]&lt;&gt;""),Main[[#This Row],[In Stock Date]]-Main[[#This Row],[Revised Due Date]],"")</f>
        <v/>
      </c>
      <c r="I511" s="72" t="s">
        <v>4</v>
      </c>
      <c r="J511" s="72" t="s">
        <v>28</v>
      </c>
      <c r="K511" s="72" t="s">
        <v>4</v>
      </c>
      <c r="L511" s="74"/>
      <c r="M511" s="77" t="str">
        <f>IF(Main[[#This Row],[Tech Start Date]]&lt;1/1/1990,"",IF(Main[[#This Row],[Class]]="C",WORKDAY(Main[[#This Row],[Tech Start Date]],9),IF(Main[[#This Row],[Class]]="B", WORKDAY(Main[[#This Row],[Tech Start Date]],6),IF(Main[[#This Row],[Class]]="A",WORKDAY(Main[[#This Row],[Tech Start Date]],2),""))))</f>
        <v/>
      </c>
      <c r="N511" s="77" t="str">
        <f>IF(Main[[#This Row],[Tech Start Date]]&lt;1/1/1990,"",IF(Main[[#This Row],[Class]]="C",WORKDAY(Main[[#This Row],[Tech Start Date]],19),IF(Main[[#This Row],[Class]]="B", WORKDAY(Main[[#This Row],[Tech Start Date]],12),IF(Main[[#This Row],[Class]]="A",WORKDAY(Main[[#This Row],[Tech Start Date]],4),""))))</f>
        <v/>
      </c>
      <c r="O511" s="77" t="str">
        <f>IF(Main[[#This Row],[Tech Start Date]]&lt;1/1/1990,"",IF(Main[[#This Row],[Class]]="C",WORKDAY(Main[[#This Row],[Tech Start Date]],23),IF(Main[[#This Row],[Class]]="B", WORKDAY(Main[[#This Row],[Tech Start Date]],15),IF(Main[[#This Row],[Class]]="A",WORKDAY(Main[[#This Row],[Tech Start Date]],5),""))))</f>
        <v/>
      </c>
      <c r="P511" s="77" t="str">
        <f>IF(Main[[#This Row],[Tech Start Date]]&lt;1/1/1990,"",IF(Main[[#This Row],[Class]]="C",WORKDAY(Main[[#This Row],[Tech Start Date]],28),IF(Main[[#This Row],[Class]]="B", WORKDAY(Main[[#This Row],[Tech Start Date]],19),IF(Main[[#This Row],[Class]]="A",WORKDAY(Main[[#This Row],[Tech Start Date]],9),""))))</f>
        <v/>
      </c>
      <c r="Q511" s="74">
        <v>40471</v>
      </c>
      <c r="R511" s="74"/>
      <c r="S511" s="72" t="s">
        <v>6</v>
      </c>
      <c r="T511" s="80" t="s">
        <v>4</v>
      </c>
      <c r="U511" s="72" t="s">
        <v>14</v>
      </c>
      <c r="V511" s="72" t="s">
        <v>1920</v>
      </c>
      <c r="W511" s="72" t="s">
        <v>1919</v>
      </c>
      <c r="X511" s="72" t="s">
        <v>2828</v>
      </c>
      <c r="Y511" s="72" t="s">
        <v>2944</v>
      </c>
      <c r="Z511" s="72" t="s">
        <v>530</v>
      </c>
      <c r="AA511" s="146" t="s">
        <v>2828</v>
      </c>
    </row>
    <row r="512" spans="1:27" ht="18.600000000000001" customHeight="1">
      <c r="A512" s="155" t="str">
        <f>IF(priority(Main[[#This Row],[Comments]])&lt;&gt;0, priority(Main[[#This Row],[Comments]]),"")</f>
        <v/>
      </c>
      <c r="B512" s="156" t="s">
        <v>1329</v>
      </c>
      <c r="C512" s="157" t="s">
        <v>4</v>
      </c>
      <c r="D512" s="158" t="s">
        <v>409</v>
      </c>
      <c r="E512" s="160"/>
      <c r="F512" s="160"/>
      <c r="G512" s="162" t="str">
        <f>IF(stdProdLT(Main[[#This Row],[Comments]])=0.1,"N/A",IF(stdProdLT(Main[[#This Row],[Comments]])=0,"",stdProdLT(Main[[#This Row],[Comments]])))</f>
        <v/>
      </c>
      <c r="H512" s="164" t="str">
        <f>IF(AND(Main[[#This Row],[In Stock Date]]&lt;&gt;"",Main[[#This Row],[Revised Due Date]]&lt;&gt;""),Main[[#This Row],[In Stock Date]]-Main[[#This Row],[Revised Due Date]],"")</f>
        <v/>
      </c>
      <c r="I512" s="157" t="s">
        <v>4</v>
      </c>
      <c r="J512" s="157" t="s">
        <v>4</v>
      </c>
      <c r="K512" s="157" t="s">
        <v>4</v>
      </c>
      <c r="L512" s="160"/>
      <c r="M512" s="167" t="str">
        <f>IF(Main[[#This Row],[Tech Start Date]]&lt;1/1/1990,"",IF(Main[[#This Row],[Class]]="C",WORKDAY(Main[[#This Row],[Tech Start Date]],9),IF(Main[[#This Row],[Class]]="B", WORKDAY(Main[[#This Row],[Tech Start Date]],6),IF(Main[[#This Row],[Class]]="A",WORKDAY(Main[[#This Row],[Tech Start Date]],2),""))))</f>
        <v/>
      </c>
      <c r="N512" s="167" t="str">
        <f>IF(Main[[#This Row],[Tech Start Date]]&lt;1/1/1990,"",IF(Main[[#This Row],[Class]]="C",WORKDAY(Main[[#This Row],[Tech Start Date]],19),IF(Main[[#This Row],[Class]]="B", WORKDAY(Main[[#This Row],[Tech Start Date]],12),IF(Main[[#This Row],[Class]]="A",WORKDAY(Main[[#This Row],[Tech Start Date]],4),""))))</f>
        <v/>
      </c>
      <c r="O512" s="167" t="str">
        <f>IF(Main[[#This Row],[Tech Start Date]]&lt;1/1/1990,"",IF(Main[[#This Row],[Class]]="C",WORKDAY(Main[[#This Row],[Tech Start Date]],23),IF(Main[[#This Row],[Class]]="B", WORKDAY(Main[[#This Row],[Tech Start Date]],15),IF(Main[[#This Row],[Class]]="A",WORKDAY(Main[[#This Row],[Tech Start Date]],5),""))))</f>
        <v/>
      </c>
      <c r="P512" s="167" t="str">
        <f>IF(Main[[#This Row],[Tech Start Date]]&lt;1/1/1990,"",IF(Main[[#This Row],[Class]]="C",WORKDAY(Main[[#This Row],[Tech Start Date]],28),IF(Main[[#This Row],[Class]]="B", WORKDAY(Main[[#This Row],[Tech Start Date]],19),IF(Main[[#This Row],[Class]]="A",WORKDAY(Main[[#This Row],[Tech Start Date]],9),""))))</f>
        <v/>
      </c>
      <c r="Q512" s="160"/>
      <c r="R512" s="160"/>
      <c r="S512" s="157" t="s">
        <v>6</v>
      </c>
      <c r="T512" s="171" t="s">
        <v>4</v>
      </c>
      <c r="U512" s="157" t="s">
        <v>12</v>
      </c>
      <c r="V512" s="157" t="s">
        <v>1918</v>
      </c>
      <c r="W512" s="157" t="s">
        <v>1925</v>
      </c>
      <c r="X512" s="157" t="s">
        <v>943</v>
      </c>
      <c r="Y512" s="157" t="s">
        <v>3001</v>
      </c>
      <c r="Z512" s="157" t="s">
        <v>4</v>
      </c>
      <c r="AA512" s="153" t="s">
        <v>943</v>
      </c>
    </row>
    <row r="513" spans="1:27" ht="18.600000000000001" customHeight="1">
      <c r="A513" s="139" t="str">
        <f>IF(priority(Main[[#This Row],[Comments]])&lt;&gt;0, priority(Main[[#This Row],[Comments]]),"")</f>
        <v/>
      </c>
      <c r="B513" s="89" t="s">
        <v>1330</v>
      </c>
      <c r="C513" s="72" t="s">
        <v>4</v>
      </c>
      <c r="D513" s="73" t="s">
        <v>410</v>
      </c>
      <c r="E513" s="74"/>
      <c r="F513" s="74"/>
      <c r="G513" s="75" t="str">
        <f>IF(stdProdLT(Main[[#This Row],[Comments]])=0.1,"N/A",IF(stdProdLT(Main[[#This Row],[Comments]])=0,"",stdProdLT(Main[[#This Row],[Comments]])))</f>
        <v/>
      </c>
      <c r="H513" s="76" t="str">
        <f>IF(AND(Main[[#This Row],[In Stock Date]]&lt;&gt;"",Main[[#This Row],[Revised Due Date]]&lt;&gt;""),Main[[#This Row],[In Stock Date]]-Main[[#This Row],[Revised Due Date]],"")</f>
        <v/>
      </c>
      <c r="I513" s="72" t="s">
        <v>4</v>
      </c>
      <c r="J513" s="72" t="s">
        <v>4</v>
      </c>
      <c r="K513" s="72" t="s">
        <v>4</v>
      </c>
      <c r="L513" s="74"/>
      <c r="M513" s="77" t="str">
        <f>IF(Main[[#This Row],[Tech Start Date]]&lt;1/1/1990,"",IF(Main[[#This Row],[Class]]="C",WORKDAY(Main[[#This Row],[Tech Start Date]],9),IF(Main[[#This Row],[Class]]="B", WORKDAY(Main[[#This Row],[Tech Start Date]],6),IF(Main[[#This Row],[Class]]="A",WORKDAY(Main[[#This Row],[Tech Start Date]],2),""))))</f>
        <v/>
      </c>
      <c r="N513" s="77" t="str">
        <f>IF(Main[[#This Row],[Tech Start Date]]&lt;1/1/1990,"",IF(Main[[#This Row],[Class]]="C",WORKDAY(Main[[#This Row],[Tech Start Date]],19),IF(Main[[#This Row],[Class]]="B", WORKDAY(Main[[#This Row],[Tech Start Date]],12),IF(Main[[#This Row],[Class]]="A",WORKDAY(Main[[#This Row],[Tech Start Date]],4),""))))</f>
        <v/>
      </c>
      <c r="O513" s="77" t="str">
        <f>IF(Main[[#This Row],[Tech Start Date]]&lt;1/1/1990,"",IF(Main[[#This Row],[Class]]="C",WORKDAY(Main[[#This Row],[Tech Start Date]],23),IF(Main[[#This Row],[Class]]="B", WORKDAY(Main[[#This Row],[Tech Start Date]],15),IF(Main[[#This Row],[Class]]="A",WORKDAY(Main[[#This Row],[Tech Start Date]],5),""))))</f>
        <v/>
      </c>
      <c r="P513" s="77" t="str">
        <f>IF(Main[[#This Row],[Tech Start Date]]&lt;1/1/1990,"",IF(Main[[#This Row],[Class]]="C",WORKDAY(Main[[#This Row],[Tech Start Date]],28),IF(Main[[#This Row],[Class]]="B", WORKDAY(Main[[#This Row],[Tech Start Date]],19),IF(Main[[#This Row],[Class]]="A",WORKDAY(Main[[#This Row],[Tech Start Date]],9),""))))</f>
        <v/>
      </c>
      <c r="Q513" s="74"/>
      <c r="R513" s="74"/>
      <c r="S513" s="72" t="s">
        <v>411</v>
      </c>
      <c r="T513" s="80" t="s">
        <v>4</v>
      </c>
      <c r="U513" s="72" t="s">
        <v>14</v>
      </c>
      <c r="V513" s="72" t="s">
        <v>1918</v>
      </c>
      <c r="W513" s="72" t="s">
        <v>1921</v>
      </c>
      <c r="X513" s="72" t="s">
        <v>924</v>
      </c>
      <c r="Y513" s="72" t="s">
        <v>2988</v>
      </c>
      <c r="Z513" s="72" t="s">
        <v>4</v>
      </c>
      <c r="AA513" s="146" t="s">
        <v>924</v>
      </c>
    </row>
    <row r="514" spans="1:27" ht="18.600000000000001" customHeight="1">
      <c r="A514" s="139" t="str">
        <f>IF(priority(Main[[#This Row],[Comments]])&lt;&gt;0, priority(Main[[#This Row],[Comments]]),"")</f>
        <v/>
      </c>
      <c r="B514" s="89" t="s">
        <v>1620</v>
      </c>
      <c r="C514" s="72" t="s">
        <v>694</v>
      </c>
      <c r="D514" s="73" t="s">
        <v>695</v>
      </c>
      <c r="E514" s="74"/>
      <c r="F514" s="74"/>
      <c r="G514" s="75" t="str">
        <f>IF(stdProdLT(Main[[#This Row],[Comments]])=0.1,"N/A",IF(stdProdLT(Main[[#This Row],[Comments]])=0,"",stdProdLT(Main[[#This Row],[Comments]])))</f>
        <v/>
      </c>
      <c r="H514" s="76" t="str">
        <f>IF(AND(Main[[#This Row],[In Stock Date]]&lt;&gt;"",Main[[#This Row],[Revised Due Date]]&lt;&gt;""),Main[[#This Row],[In Stock Date]]-Main[[#This Row],[Revised Due Date]],"")</f>
        <v/>
      </c>
      <c r="I514" s="72" t="s">
        <v>4</v>
      </c>
      <c r="J514" s="72" t="s">
        <v>4</v>
      </c>
      <c r="K514" s="72" t="s">
        <v>4</v>
      </c>
      <c r="L514" s="74"/>
      <c r="M514" s="77" t="str">
        <f>IF(Main[[#This Row],[Tech Start Date]]&lt;1/1/1990,"",IF(Main[[#This Row],[Class]]="C",WORKDAY(Main[[#This Row],[Tech Start Date]],9),IF(Main[[#This Row],[Class]]="B", WORKDAY(Main[[#This Row],[Tech Start Date]],6),IF(Main[[#This Row],[Class]]="A",WORKDAY(Main[[#This Row],[Tech Start Date]],2),""))))</f>
        <v/>
      </c>
      <c r="N514" s="77" t="str">
        <f>IF(Main[[#This Row],[Tech Start Date]]&lt;1/1/1990,"",IF(Main[[#This Row],[Class]]="C",WORKDAY(Main[[#This Row],[Tech Start Date]],19),IF(Main[[#This Row],[Class]]="B", WORKDAY(Main[[#This Row],[Tech Start Date]],12),IF(Main[[#This Row],[Class]]="A",WORKDAY(Main[[#This Row],[Tech Start Date]],4),""))))</f>
        <v/>
      </c>
      <c r="O514" s="77" t="str">
        <f>IF(Main[[#This Row],[Tech Start Date]]&lt;1/1/1990,"",IF(Main[[#This Row],[Class]]="C",WORKDAY(Main[[#This Row],[Tech Start Date]],23),IF(Main[[#This Row],[Class]]="B", WORKDAY(Main[[#This Row],[Tech Start Date]],15),IF(Main[[#This Row],[Class]]="A",WORKDAY(Main[[#This Row],[Tech Start Date]],5),""))))</f>
        <v/>
      </c>
      <c r="P514" s="77" t="str">
        <f>IF(Main[[#This Row],[Tech Start Date]]&lt;1/1/1990,"",IF(Main[[#This Row],[Class]]="C",WORKDAY(Main[[#This Row],[Tech Start Date]],28),IF(Main[[#This Row],[Class]]="B", WORKDAY(Main[[#This Row],[Tech Start Date]],19),IF(Main[[#This Row],[Class]]="A",WORKDAY(Main[[#This Row],[Tech Start Date]],9),""))))</f>
        <v/>
      </c>
      <c r="Q514" s="74">
        <v>40672</v>
      </c>
      <c r="R514" s="74"/>
      <c r="S514" s="72" t="s">
        <v>11</v>
      </c>
      <c r="T514" s="80" t="s">
        <v>4</v>
      </c>
      <c r="U514" s="72" t="s">
        <v>14</v>
      </c>
      <c r="V514" s="72" t="s">
        <v>1917</v>
      </c>
      <c r="W514" s="72" t="s">
        <v>1919</v>
      </c>
      <c r="X514" s="72" t="s">
        <v>2889</v>
      </c>
      <c r="Y514" s="72" t="s">
        <v>4</v>
      </c>
      <c r="Z514" s="72" t="s">
        <v>4</v>
      </c>
      <c r="AA514" s="146" t="s">
        <v>2889</v>
      </c>
    </row>
    <row r="515" spans="1:27" ht="18.600000000000001" customHeight="1">
      <c r="A515" s="155" t="str">
        <f>IF(priority(Main[[#This Row],[Comments]])&lt;&gt;0, priority(Main[[#This Row],[Comments]]),"")</f>
        <v/>
      </c>
      <c r="B515" s="156" t="s">
        <v>1204</v>
      </c>
      <c r="C515" s="157" t="s">
        <v>169</v>
      </c>
      <c r="D515" s="158" t="s">
        <v>260</v>
      </c>
      <c r="E515" s="160"/>
      <c r="F515" s="160">
        <v>40237</v>
      </c>
      <c r="G515" s="162" t="str">
        <f>IF(stdProdLT(Main[[#This Row],[Comments]])=0.1,"N/A",IF(stdProdLT(Main[[#This Row],[Comments]])=0,"",stdProdLT(Main[[#This Row],[Comments]])))</f>
        <v/>
      </c>
      <c r="H515" s="164" t="str">
        <f>IF(AND(Main[[#This Row],[In Stock Date]]&lt;&gt;"",Main[[#This Row],[Revised Due Date]]&lt;&gt;""),Main[[#This Row],[In Stock Date]]-Main[[#This Row],[Revised Due Date]],"")</f>
        <v/>
      </c>
      <c r="I515" s="157" t="s">
        <v>4</v>
      </c>
      <c r="J515" s="157" t="s">
        <v>4</v>
      </c>
      <c r="K515" s="157" t="s">
        <v>4</v>
      </c>
      <c r="L515" s="160"/>
      <c r="M515" s="167" t="str">
        <f>IF(Main[[#This Row],[Tech Start Date]]&lt;1/1/1990,"",IF(Main[[#This Row],[Class]]="C",WORKDAY(Main[[#This Row],[Tech Start Date]],9),IF(Main[[#This Row],[Class]]="B", WORKDAY(Main[[#This Row],[Tech Start Date]],6),IF(Main[[#This Row],[Class]]="A",WORKDAY(Main[[#This Row],[Tech Start Date]],2),""))))</f>
        <v/>
      </c>
      <c r="N515" s="167" t="str">
        <f>IF(Main[[#This Row],[Tech Start Date]]&lt;1/1/1990,"",IF(Main[[#This Row],[Class]]="C",WORKDAY(Main[[#This Row],[Tech Start Date]],19),IF(Main[[#This Row],[Class]]="B", WORKDAY(Main[[#This Row],[Tech Start Date]],12),IF(Main[[#This Row],[Class]]="A",WORKDAY(Main[[#This Row],[Tech Start Date]],4),""))))</f>
        <v/>
      </c>
      <c r="O515" s="167" t="str">
        <f>IF(Main[[#This Row],[Tech Start Date]]&lt;1/1/1990,"",IF(Main[[#This Row],[Class]]="C",WORKDAY(Main[[#This Row],[Tech Start Date]],23),IF(Main[[#This Row],[Class]]="B", WORKDAY(Main[[#This Row],[Tech Start Date]],15),IF(Main[[#This Row],[Class]]="A",WORKDAY(Main[[#This Row],[Tech Start Date]],5),""))))</f>
        <v/>
      </c>
      <c r="P515" s="167" t="str">
        <f>IF(Main[[#This Row],[Tech Start Date]]&lt;1/1/1990,"",IF(Main[[#This Row],[Class]]="C",WORKDAY(Main[[#This Row],[Tech Start Date]],28),IF(Main[[#This Row],[Class]]="B", WORKDAY(Main[[#This Row],[Tech Start Date]],19),IF(Main[[#This Row],[Class]]="A",WORKDAY(Main[[#This Row],[Tech Start Date]],9),""))))</f>
        <v/>
      </c>
      <c r="Q515" s="160">
        <v>40132</v>
      </c>
      <c r="R515" s="160"/>
      <c r="S515" s="157" t="s">
        <v>11</v>
      </c>
      <c r="T515" s="171" t="s">
        <v>4</v>
      </c>
      <c r="U515" s="157" t="s">
        <v>14</v>
      </c>
      <c r="V515" s="157" t="s">
        <v>1918</v>
      </c>
      <c r="W515" s="157" t="s">
        <v>1922</v>
      </c>
      <c r="X515" s="157" t="s">
        <v>2864</v>
      </c>
      <c r="Y515" s="157" t="s">
        <v>4</v>
      </c>
      <c r="Z515" s="157" t="s">
        <v>4</v>
      </c>
      <c r="AA515" s="153" t="s">
        <v>2864</v>
      </c>
    </row>
    <row r="516" spans="1:27" ht="18.600000000000001" customHeight="1">
      <c r="A516" s="139" t="str">
        <f>IF(priority(Main[[#This Row],[Comments]])&lt;&gt;0, priority(Main[[#This Row],[Comments]]),"")</f>
        <v/>
      </c>
      <c r="B516" s="89" t="s">
        <v>1227</v>
      </c>
      <c r="C516" s="72" t="s">
        <v>33</v>
      </c>
      <c r="D516" s="73" t="s">
        <v>288</v>
      </c>
      <c r="E516" s="74"/>
      <c r="F516" s="74"/>
      <c r="G516" s="75" t="str">
        <f>IF(stdProdLT(Main[[#This Row],[Comments]])=0.1,"N/A",IF(stdProdLT(Main[[#This Row],[Comments]])=0,"",stdProdLT(Main[[#This Row],[Comments]])))</f>
        <v/>
      </c>
      <c r="H516" s="76" t="str">
        <f>IF(AND(Main[[#This Row],[In Stock Date]]&lt;&gt;"",Main[[#This Row],[Revised Due Date]]&lt;&gt;""),Main[[#This Row],[In Stock Date]]-Main[[#This Row],[Revised Due Date]],"")</f>
        <v/>
      </c>
      <c r="I516" s="72" t="s">
        <v>4</v>
      </c>
      <c r="J516" s="72" t="s">
        <v>4</v>
      </c>
      <c r="K516" s="72" t="s">
        <v>4</v>
      </c>
      <c r="L516" s="74"/>
      <c r="M516" s="77" t="str">
        <f>IF(Main[[#This Row],[Tech Start Date]]&lt;1/1/1990,"",IF(Main[[#This Row],[Class]]="C",WORKDAY(Main[[#This Row],[Tech Start Date]],9),IF(Main[[#This Row],[Class]]="B", WORKDAY(Main[[#This Row],[Tech Start Date]],6),IF(Main[[#This Row],[Class]]="A",WORKDAY(Main[[#This Row],[Tech Start Date]],2),""))))</f>
        <v/>
      </c>
      <c r="N516" s="77" t="str">
        <f>IF(Main[[#This Row],[Tech Start Date]]&lt;1/1/1990,"",IF(Main[[#This Row],[Class]]="C",WORKDAY(Main[[#This Row],[Tech Start Date]],19),IF(Main[[#This Row],[Class]]="B", WORKDAY(Main[[#This Row],[Tech Start Date]],12),IF(Main[[#This Row],[Class]]="A",WORKDAY(Main[[#This Row],[Tech Start Date]],4),""))))</f>
        <v/>
      </c>
      <c r="O516" s="77" t="str">
        <f>IF(Main[[#This Row],[Tech Start Date]]&lt;1/1/1990,"",IF(Main[[#This Row],[Class]]="C",WORKDAY(Main[[#This Row],[Tech Start Date]],23),IF(Main[[#This Row],[Class]]="B", WORKDAY(Main[[#This Row],[Tech Start Date]],15),IF(Main[[#This Row],[Class]]="A",WORKDAY(Main[[#This Row],[Tech Start Date]],5),""))))</f>
        <v/>
      </c>
      <c r="P516" s="77" t="str">
        <f>IF(Main[[#This Row],[Tech Start Date]]&lt;1/1/1990,"",IF(Main[[#This Row],[Class]]="C",WORKDAY(Main[[#This Row],[Tech Start Date]],28),IF(Main[[#This Row],[Class]]="B", WORKDAY(Main[[#This Row],[Tech Start Date]],19),IF(Main[[#This Row],[Class]]="A",WORKDAY(Main[[#This Row],[Tech Start Date]],9),""))))</f>
        <v/>
      </c>
      <c r="Q516" s="74"/>
      <c r="R516" s="74"/>
      <c r="S516" s="72" t="s">
        <v>11</v>
      </c>
      <c r="T516" s="80" t="s">
        <v>4</v>
      </c>
      <c r="U516" s="72" t="s">
        <v>14</v>
      </c>
      <c r="V516" s="72" t="s">
        <v>1918</v>
      </c>
      <c r="W516" s="72" t="s">
        <v>1925</v>
      </c>
      <c r="X516" s="72" t="s">
        <v>2833</v>
      </c>
      <c r="Y516" s="72" t="s">
        <v>2954</v>
      </c>
      <c r="Z516" s="72" t="s">
        <v>4</v>
      </c>
      <c r="AA516" s="146" t="s">
        <v>2833</v>
      </c>
    </row>
    <row r="517" spans="1:27" ht="18.600000000000001" customHeight="1">
      <c r="A517" s="155" t="str">
        <f>IF(priority(Main[[#This Row],[Comments]])&lt;&gt;0, priority(Main[[#This Row],[Comments]]),"")</f>
        <v/>
      </c>
      <c r="B517" s="156" t="s">
        <v>1324</v>
      </c>
      <c r="C517" s="157" t="s">
        <v>4</v>
      </c>
      <c r="D517" s="158" t="s">
        <v>404</v>
      </c>
      <c r="E517" s="160">
        <v>40387.702291666668</v>
      </c>
      <c r="F517" s="160"/>
      <c r="G517" s="162" t="str">
        <f>IF(stdProdLT(Main[[#This Row],[Comments]])=0.1,"N/A",IF(stdProdLT(Main[[#This Row],[Comments]])=0,"",stdProdLT(Main[[#This Row],[Comments]])))</f>
        <v/>
      </c>
      <c r="H517" s="164" t="str">
        <f>IF(AND(Main[[#This Row],[In Stock Date]]&lt;&gt;"",Main[[#This Row],[Revised Due Date]]&lt;&gt;""),Main[[#This Row],[In Stock Date]]-Main[[#This Row],[Revised Due Date]],"")</f>
        <v/>
      </c>
      <c r="I517" s="157" t="s">
        <v>4</v>
      </c>
      <c r="J517" s="157" t="s">
        <v>28</v>
      </c>
      <c r="K517" s="157" t="s">
        <v>4</v>
      </c>
      <c r="L517" s="160"/>
      <c r="M517" s="167" t="str">
        <f>IF(Main[[#This Row],[Tech Start Date]]&lt;1/1/1990,"",IF(Main[[#This Row],[Class]]="C",WORKDAY(Main[[#This Row],[Tech Start Date]],9),IF(Main[[#This Row],[Class]]="B", WORKDAY(Main[[#This Row],[Tech Start Date]],6),IF(Main[[#This Row],[Class]]="A",WORKDAY(Main[[#This Row],[Tech Start Date]],2),""))))</f>
        <v/>
      </c>
      <c r="N517" s="167" t="str">
        <f>IF(Main[[#This Row],[Tech Start Date]]&lt;1/1/1990,"",IF(Main[[#This Row],[Class]]="C",WORKDAY(Main[[#This Row],[Tech Start Date]],19),IF(Main[[#This Row],[Class]]="B", WORKDAY(Main[[#This Row],[Tech Start Date]],12),IF(Main[[#This Row],[Class]]="A",WORKDAY(Main[[#This Row],[Tech Start Date]],4),""))))</f>
        <v/>
      </c>
      <c r="O517" s="167" t="str">
        <f>IF(Main[[#This Row],[Tech Start Date]]&lt;1/1/1990,"",IF(Main[[#This Row],[Class]]="C",WORKDAY(Main[[#This Row],[Tech Start Date]],23),IF(Main[[#This Row],[Class]]="B", WORKDAY(Main[[#This Row],[Tech Start Date]],15),IF(Main[[#This Row],[Class]]="A",WORKDAY(Main[[#This Row],[Tech Start Date]],5),""))))</f>
        <v/>
      </c>
      <c r="P517" s="167" t="str">
        <f>IF(Main[[#This Row],[Tech Start Date]]&lt;1/1/1990,"",IF(Main[[#This Row],[Class]]="C",WORKDAY(Main[[#This Row],[Tech Start Date]],28),IF(Main[[#This Row],[Class]]="B", WORKDAY(Main[[#This Row],[Tech Start Date]],19),IF(Main[[#This Row],[Class]]="A",WORKDAY(Main[[#This Row],[Tech Start Date]],9),""))))</f>
        <v/>
      </c>
      <c r="Q517" s="160">
        <v>40400</v>
      </c>
      <c r="R517" s="160"/>
      <c r="S517" s="157" t="s">
        <v>6</v>
      </c>
      <c r="T517" s="171" t="s">
        <v>4</v>
      </c>
      <c r="U517" s="157" t="s">
        <v>7</v>
      </c>
      <c r="V517" s="157" t="s">
        <v>1917</v>
      </c>
      <c r="W517" s="157" t="s">
        <v>1919</v>
      </c>
      <c r="X517" s="157" t="s">
        <v>102</v>
      </c>
      <c r="Y517" s="157" t="s">
        <v>3038</v>
      </c>
      <c r="Z517" s="157" t="s">
        <v>129</v>
      </c>
      <c r="AA517" s="153" t="s">
        <v>3408</v>
      </c>
    </row>
    <row r="518" spans="1:27" ht="18.600000000000001" customHeight="1">
      <c r="A518" s="139" t="str">
        <f>IF(priority(Main[[#This Row],[Comments]])&lt;&gt;0, priority(Main[[#This Row],[Comments]]),"")</f>
        <v/>
      </c>
      <c r="B518" s="89" t="s">
        <v>1722</v>
      </c>
      <c r="C518" s="72" t="s">
        <v>277</v>
      </c>
      <c r="D518" s="73" t="s">
        <v>775</v>
      </c>
      <c r="E518" s="74"/>
      <c r="F518" s="74">
        <v>40680</v>
      </c>
      <c r="G518" s="75" t="str">
        <f>IF(stdProdLT(Main[[#This Row],[Comments]])=0.1,"N/A",IF(stdProdLT(Main[[#This Row],[Comments]])=0,"",stdProdLT(Main[[#This Row],[Comments]])))</f>
        <v/>
      </c>
      <c r="H518" s="76" t="str">
        <f>IF(AND(Main[[#This Row],[In Stock Date]]&lt;&gt;"",Main[[#This Row],[Revised Due Date]]&lt;&gt;""),Main[[#This Row],[In Stock Date]]-Main[[#This Row],[Revised Due Date]],"")</f>
        <v/>
      </c>
      <c r="I518" s="72" t="s">
        <v>4</v>
      </c>
      <c r="J518" s="72" t="s">
        <v>28</v>
      </c>
      <c r="K518" s="72" t="s">
        <v>4</v>
      </c>
      <c r="L518" s="74"/>
      <c r="M518" s="77" t="str">
        <f>IF(Main[[#This Row],[Tech Start Date]]&lt;1/1/1990,"",IF(Main[[#This Row],[Class]]="C",WORKDAY(Main[[#This Row],[Tech Start Date]],9),IF(Main[[#This Row],[Class]]="B", WORKDAY(Main[[#This Row],[Tech Start Date]],6),IF(Main[[#This Row],[Class]]="A",WORKDAY(Main[[#This Row],[Tech Start Date]],2),""))))</f>
        <v/>
      </c>
      <c r="N518" s="77" t="str">
        <f>IF(Main[[#This Row],[Tech Start Date]]&lt;1/1/1990,"",IF(Main[[#This Row],[Class]]="C",WORKDAY(Main[[#This Row],[Tech Start Date]],19),IF(Main[[#This Row],[Class]]="B", WORKDAY(Main[[#This Row],[Tech Start Date]],12),IF(Main[[#This Row],[Class]]="A",WORKDAY(Main[[#This Row],[Tech Start Date]],4),""))))</f>
        <v/>
      </c>
      <c r="O518" s="77" t="str">
        <f>IF(Main[[#This Row],[Tech Start Date]]&lt;1/1/1990,"",IF(Main[[#This Row],[Class]]="C",WORKDAY(Main[[#This Row],[Tech Start Date]],23),IF(Main[[#This Row],[Class]]="B", WORKDAY(Main[[#This Row],[Tech Start Date]],15),IF(Main[[#This Row],[Class]]="A",WORKDAY(Main[[#This Row],[Tech Start Date]],5),""))))</f>
        <v/>
      </c>
      <c r="P518" s="77" t="str">
        <f>IF(Main[[#This Row],[Tech Start Date]]&lt;1/1/1990,"",IF(Main[[#This Row],[Class]]="C",WORKDAY(Main[[#This Row],[Tech Start Date]],28),IF(Main[[#This Row],[Class]]="B", WORKDAY(Main[[#This Row],[Tech Start Date]],19),IF(Main[[#This Row],[Class]]="A",WORKDAY(Main[[#This Row],[Tech Start Date]],9),""))))</f>
        <v/>
      </c>
      <c r="Q518" s="74">
        <v>40568</v>
      </c>
      <c r="R518" s="74"/>
      <c r="S518" s="72" t="s">
        <v>11</v>
      </c>
      <c r="T518" s="80" t="s">
        <v>776</v>
      </c>
      <c r="U518" s="72" t="s">
        <v>14</v>
      </c>
      <c r="V518" s="72" t="s">
        <v>1918</v>
      </c>
      <c r="W518" s="72" t="s">
        <v>1922</v>
      </c>
      <c r="X518" s="72" t="s">
        <v>2866</v>
      </c>
      <c r="Y518" s="72" t="s">
        <v>3010</v>
      </c>
      <c r="Z518" s="72" t="s">
        <v>4</v>
      </c>
      <c r="AA518" s="146" t="s">
        <v>2866</v>
      </c>
    </row>
    <row r="519" spans="1:27" ht="18.600000000000001" customHeight="1">
      <c r="A519" s="139" t="str">
        <f>IF(priority(Main[[#This Row],[Comments]])&lt;&gt;0, priority(Main[[#This Row],[Comments]]),"")</f>
        <v/>
      </c>
      <c r="B519" s="89" t="s">
        <v>1339</v>
      </c>
      <c r="C519" s="72" t="s">
        <v>33</v>
      </c>
      <c r="D519" s="73" t="s">
        <v>419</v>
      </c>
      <c r="E519" s="74"/>
      <c r="F519" s="74">
        <v>40266</v>
      </c>
      <c r="G519" s="75" t="str">
        <f>IF(stdProdLT(Main[[#This Row],[Comments]])=0.1,"N/A",IF(stdProdLT(Main[[#This Row],[Comments]])=0,"",stdProdLT(Main[[#This Row],[Comments]])))</f>
        <v/>
      </c>
      <c r="H519" s="76" t="str">
        <f>IF(AND(Main[[#This Row],[In Stock Date]]&lt;&gt;"",Main[[#This Row],[Revised Due Date]]&lt;&gt;""),Main[[#This Row],[In Stock Date]]-Main[[#This Row],[Revised Due Date]],"")</f>
        <v/>
      </c>
      <c r="I519" s="72" t="s">
        <v>4</v>
      </c>
      <c r="J519" s="72" t="s">
        <v>4</v>
      </c>
      <c r="K519" s="72" t="s">
        <v>4</v>
      </c>
      <c r="L519" s="74"/>
      <c r="M519" s="77" t="str">
        <f>IF(Main[[#This Row],[Tech Start Date]]&lt;1/1/1990,"",IF(Main[[#This Row],[Class]]="C",WORKDAY(Main[[#This Row],[Tech Start Date]],9),IF(Main[[#This Row],[Class]]="B", WORKDAY(Main[[#This Row],[Tech Start Date]],6),IF(Main[[#This Row],[Class]]="A",WORKDAY(Main[[#This Row],[Tech Start Date]],2),""))))</f>
        <v/>
      </c>
      <c r="N519" s="77" t="str">
        <f>IF(Main[[#This Row],[Tech Start Date]]&lt;1/1/1990,"",IF(Main[[#This Row],[Class]]="C",WORKDAY(Main[[#This Row],[Tech Start Date]],19),IF(Main[[#This Row],[Class]]="B", WORKDAY(Main[[#This Row],[Tech Start Date]],12),IF(Main[[#This Row],[Class]]="A",WORKDAY(Main[[#This Row],[Tech Start Date]],4),""))))</f>
        <v/>
      </c>
      <c r="O519" s="77" t="str">
        <f>IF(Main[[#This Row],[Tech Start Date]]&lt;1/1/1990,"",IF(Main[[#This Row],[Class]]="C",WORKDAY(Main[[#This Row],[Tech Start Date]],23),IF(Main[[#This Row],[Class]]="B", WORKDAY(Main[[#This Row],[Tech Start Date]],15),IF(Main[[#This Row],[Class]]="A",WORKDAY(Main[[#This Row],[Tech Start Date]],5),""))))</f>
        <v/>
      </c>
      <c r="P519" s="77" t="str">
        <f>IF(Main[[#This Row],[Tech Start Date]]&lt;1/1/1990,"",IF(Main[[#This Row],[Class]]="C",WORKDAY(Main[[#This Row],[Tech Start Date]],28),IF(Main[[#This Row],[Class]]="B", WORKDAY(Main[[#This Row],[Tech Start Date]],19),IF(Main[[#This Row],[Class]]="A",WORKDAY(Main[[#This Row],[Tech Start Date]],9),""))))</f>
        <v/>
      </c>
      <c r="Q519" s="74">
        <v>40266</v>
      </c>
      <c r="R519" s="74"/>
      <c r="S519" s="72" t="s">
        <v>11</v>
      </c>
      <c r="T519" s="80" t="s">
        <v>4</v>
      </c>
      <c r="U519" s="72" t="s">
        <v>14</v>
      </c>
      <c r="V519" s="72" t="s">
        <v>1920</v>
      </c>
      <c r="W519" s="72" t="s">
        <v>1922</v>
      </c>
      <c r="X519" s="72" t="s">
        <v>2856</v>
      </c>
      <c r="Y519" s="72" t="s">
        <v>4</v>
      </c>
      <c r="Z519" s="72" t="s">
        <v>4</v>
      </c>
      <c r="AA519" s="146" t="s">
        <v>2856</v>
      </c>
    </row>
    <row r="520" spans="1:27" ht="18.600000000000001" customHeight="1">
      <c r="A520" s="139" t="str">
        <f>IF(priority(Main[[#This Row],[Comments]])&lt;&gt;0, priority(Main[[#This Row],[Comments]]),"")</f>
        <v/>
      </c>
      <c r="B520" s="89" t="s">
        <v>1395</v>
      </c>
      <c r="C520" s="72" t="s">
        <v>93</v>
      </c>
      <c r="D520" s="73" t="s">
        <v>420</v>
      </c>
      <c r="E520" s="74"/>
      <c r="F520" s="74">
        <v>40269</v>
      </c>
      <c r="G520" s="75" t="str">
        <f>IF(stdProdLT(Main[[#This Row],[Comments]])=0.1,"N/A",IF(stdProdLT(Main[[#This Row],[Comments]])=0,"",stdProdLT(Main[[#This Row],[Comments]])))</f>
        <v/>
      </c>
      <c r="H520" s="76" t="str">
        <f>IF(AND(Main[[#This Row],[In Stock Date]]&lt;&gt;"",Main[[#This Row],[Revised Due Date]]&lt;&gt;""),Main[[#This Row],[In Stock Date]]-Main[[#This Row],[Revised Due Date]],"")</f>
        <v/>
      </c>
      <c r="I520" s="72" t="s">
        <v>4</v>
      </c>
      <c r="J520" s="72" t="s">
        <v>4</v>
      </c>
      <c r="K520" s="72" t="s">
        <v>4</v>
      </c>
      <c r="L520" s="74"/>
      <c r="M520" s="77" t="str">
        <f>IF(Main[[#This Row],[Tech Start Date]]&lt;1/1/1990,"",IF(Main[[#This Row],[Class]]="C",WORKDAY(Main[[#This Row],[Tech Start Date]],9),IF(Main[[#This Row],[Class]]="B", WORKDAY(Main[[#This Row],[Tech Start Date]],6),IF(Main[[#This Row],[Class]]="A",WORKDAY(Main[[#This Row],[Tech Start Date]],2),""))))</f>
        <v/>
      </c>
      <c r="N520" s="77" t="str">
        <f>IF(Main[[#This Row],[Tech Start Date]]&lt;1/1/1990,"",IF(Main[[#This Row],[Class]]="C",WORKDAY(Main[[#This Row],[Tech Start Date]],19),IF(Main[[#This Row],[Class]]="B", WORKDAY(Main[[#This Row],[Tech Start Date]],12),IF(Main[[#This Row],[Class]]="A",WORKDAY(Main[[#This Row],[Tech Start Date]],4),""))))</f>
        <v/>
      </c>
      <c r="O520" s="77" t="str">
        <f>IF(Main[[#This Row],[Tech Start Date]]&lt;1/1/1990,"",IF(Main[[#This Row],[Class]]="C",WORKDAY(Main[[#This Row],[Tech Start Date]],23),IF(Main[[#This Row],[Class]]="B", WORKDAY(Main[[#This Row],[Tech Start Date]],15),IF(Main[[#This Row],[Class]]="A",WORKDAY(Main[[#This Row],[Tech Start Date]],5),""))))</f>
        <v/>
      </c>
      <c r="P520" s="77" t="str">
        <f>IF(Main[[#This Row],[Tech Start Date]]&lt;1/1/1990,"",IF(Main[[#This Row],[Class]]="C",WORKDAY(Main[[#This Row],[Tech Start Date]],28),IF(Main[[#This Row],[Class]]="B", WORKDAY(Main[[#This Row],[Tech Start Date]],19),IF(Main[[#This Row],[Class]]="A",WORKDAY(Main[[#This Row],[Tech Start Date]],9),""))))</f>
        <v/>
      </c>
      <c r="Q520" s="74">
        <v>40185</v>
      </c>
      <c r="R520" s="74"/>
      <c r="S520" s="72" t="s">
        <v>11</v>
      </c>
      <c r="T520" s="80" t="s">
        <v>4</v>
      </c>
      <c r="U520" s="72" t="s">
        <v>12</v>
      </c>
      <c r="V520" s="72" t="s">
        <v>1927</v>
      </c>
      <c r="W520" s="72" t="s">
        <v>1928</v>
      </c>
      <c r="X520" s="72" t="s">
        <v>2851</v>
      </c>
      <c r="Y520" s="72" t="s">
        <v>4</v>
      </c>
      <c r="Z520" s="72" t="s">
        <v>4</v>
      </c>
      <c r="AA520" s="146" t="s">
        <v>2851</v>
      </c>
    </row>
    <row r="521" spans="1:27" ht="18.600000000000001" customHeight="1">
      <c r="A521" s="139" t="str">
        <f>IF(priority(Main[[#This Row],[Comments]])&lt;&gt;0, priority(Main[[#This Row],[Comments]]),"")</f>
        <v/>
      </c>
      <c r="B521" s="89" t="s">
        <v>1396</v>
      </c>
      <c r="C521" s="72" t="s">
        <v>169</v>
      </c>
      <c r="D521" s="73" t="s">
        <v>421</v>
      </c>
      <c r="E521" s="74"/>
      <c r="F521" s="74">
        <v>40237</v>
      </c>
      <c r="G521" s="75" t="str">
        <f>IF(stdProdLT(Main[[#This Row],[Comments]])=0.1,"N/A",IF(stdProdLT(Main[[#This Row],[Comments]])=0,"",stdProdLT(Main[[#This Row],[Comments]])))</f>
        <v/>
      </c>
      <c r="H521" s="76" t="str">
        <f>IF(AND(Main[[#This Row],[In Stock Date]]&lt;&gt;"",Main[[#This Row],[Revised Due Date]]&lt;&gt;""),Main[[#This Row],[In Stock Date]]-Main[[#This Row],[Revised Due Date]],"")</f>
        <v/>
      </c>
      <c r="I521" s="72" t="s">
        <v>4</v>
      </c>
      <c r="J521" s="72" t="s">
        <v>4</v>
      </c>
      <c r="K521" s="72" t="s">
        <v>4</v>
      </c>
      <c r="L521" s="74"/>
      <c r="M521" s="77" t="str">
        <f>IF(Main[[#This Row],[Tech Start Date]]&lt;1/1/1990,"",IF(Main[[#This Row],[Class]]="C",WORKDAY(Main[[#This Row],[Tech Start Date]],9),IF(Main[[#This Row],[Class]]="B", WORKDAY(Main[[#This Row],[Tech Start Date]],6),IF(Main[[#This Row],[Class]]="A",WORKDAY(Main[[#This Row],[Tech Start Date]],2),""))))</f>
        <v/>
      </c>
      <c r="N521" s="77" t="str">
        <f>IF(Main[[#This Row],[Tech Start Date]]&lt;1/1/1990,"",IF(Main[[#This Row],[Class]]="C",WORKDAY(Main[[#This Row],[Tech Start Date]],19),IF(Main[[#This Row],[Class]]="B", WORKDAY(Main[[#This Row],[Tech Start Date]],12),IF(Main[[#This Row],[Class]]="A",WORKDAY(Main[[#This Row],[Tech Start Date]],4),""))))</f>
        <v/>
      </c>
      <c r="O521" s="77" t="str">
        <f>IF(Main[[#This Row],[Tech Start Date]]&lt;1/1/1990,"",IF(Main[[#This Row],[Class]]="C",WORKDAY(Main[[#This Row],[Tech Start Date]],23),IF(Main[[#This Row],[Class]]="B", WORKDAY(Main[[#This Row],[Tech Start Date]],15),IF(Main[[#This Row],[Class]]="A",WORKDAY(Main[[#This Row],[Tech Start Date]],5),""))))</f>
        <v/>
      </c>
      <c r="P521" s="77" t="str">
        <f>IF(Main[[#This Row],[Tech Start Date]]&lt;1/1/1990,"",IF(Main[[#This Row],[Class]]="C",WORKDAY(Main[[#This Row],[Tech Start Date]],28),IF(Main[[#This Row],[Class]]="B", WORKDAY(Main[[#This Row],[Tech Start Date]],19),IF(Main[[#This Row],[Class]]="A",WORKDAY(Main[[#This Row],[Tech Start Date]],9),""))))</f>
        <v/>
      </c>
      <c r="Q521" s="74">
        <v>40132</v>
      </c>
      <c r="R521" s="74"/>
      <c r="S521" s="72" t="s">
        <v>11</v>
      </c>
      <c r="T521" s="80" t="s">
        <v>4</v>
      </c>
      <c r="U521" s="72" t="s">
        <v>14</v>
      </c>
      <c r="V521" s="72" t="s">
        <v>1917</v>
      </c>
      <c r="W521" s="72" t="s">
        <v>1922</v>
      </c>
      <c r="X521" s="72" t="s">
        <v>2864</v>
      </c>
      <c r="Y521" s="72" t="s">
        <v>4</v>
      </c>
      <c r="Z521" s="72" t="s">
        <v>4</v>
      </c>
      <c r="AA521" s="146" t="s">
        <v>2864</v>
      </c>
    </row>
    <row r="522" spans="1:27" ht="18.600000000000001" customHeight="1">
      <c r="A522" s="139" t="str">
        <f>IF(priority(Main[[#This Row],[Comments]])&lt;&gt;0, priority(Main[[#This Row],[Comments]]),"")</f>
        <v/>
      </c>
      <c r="B522" s="89" t="s">
        <v>1397</v>
      </c>
      <c r="C522" s="72" t="s">
        <v>93</v>
      </c>
      <c r="D522" s="73" t="s">
        <v>422</v>
      </c>
      <c r="E522" s="74"/>
      <c r="F522" s="74">
        <v>40144</v>
      </c>
      <c r="G522" s="75" t="str">
        <f>IF(stdProdLT(Main[[#This Row],[Comments]])=0.1,"N/A",IF(stdProdLT(Main[[#This Row],[Comments]])=0,"",stdProdLT(Main[[#This Row],[Comments]])))</f>
        <v/>
      </c>
      <c r="H522" s="76" t="str">
        <f>IF(AND(Main[[#This Row],[In Stock Date]]&lt;&gt;"",Main[[#This Row],[Revised Due Date]]&lt;&gt;""),Main[[#This Row],[In Stock Date]]-Main[[#This Row],[Revised Due Date]],"")</f>
        <v/>
      </c>
      <c r="I522" s="72" t="s">
        <v>4</v>
      </c>
      <c r="J522" s="72" t="s">
        <v>4</v>
      </c>
      <c r="K522" s="72" t="s">
        <v>4</v>
      </c>
      <c r="L522" s="74"/>
      <c r="M522" s="77" t="str">
        <f>IF(Main[[#This Row],[Tech Start Date]]&lt;1/1/1990,"",IF(Main[[#This Row],[Class]]="C",WORKDAY(Main[[#This Row],[Tech Start Date]],9),IF(Main[[#This Row],[Class]]="B", WORKDAY(Main[[#This Row],[Tech Start Date]],6),IF(Main[[#This Row],[Class]]="A",WORKDAY(Main[[#This Row],[Tech Start Date]],2),""))))</f>
        <v/>
      </c>
      <c r="N522" s="77" t="str">
        <f>IF(Main[[#This Row],[Tech Start Date]]&lt;1/1/1990,"",IF(Main[[#This Row],[Class]]="C",WORKDAY(Main[[#This Row],[Tech Start Date]],19),IF(Main[[#This Row],[Class]]="B", WORKDAY(Main[[#This Row],[Tech Start Date]],12),IF(Main[[#This Row],[Class]]="A",WORKDAY(Main[[#This Row],[Tech Start Date]],4),""))))</f>
        <v/>
      </c>
      <c r="O522" s="77" t="str">
        <f>IF(Main[[#This Row],[Tech Start Date]]&lt;1/1/1990,"",IF(Main[[#This Row],[Class]]="C",WORKDAY(Main[[#This Row],[Tech Start Date]],23),IF(Main[[#This Row],[Class]]="B", WORKDAY(Main[[#This Row],[Tech Start Date]],15),IF(Main[[#This Row],[Class]]="A",WORKDAY(Main[[#This Row],[Tech Start Date]],5),""))))</f>
        <v/>
      </c>
      <c r="P522" s="77" t="str">
        <f>IF(Main[[#This Row],[Tech Start Date]]&lt;1/1/1990,"",IF(Main[[#This Row],[Class]]="C",WORKDAY(Main[[#This Row],[Tech Start Date]],28),IF(Main[[#This Row],[Class]]="B", WORKDAY(Main[[#This Row],[Tech Start Date]],19),IF(Main[[#This Row],[Class]]="A",WORKDAY(Main[[#This Row],[Tech Start Date]],9),""))))</f>
        <v/>
      </c>
      <c r="Q522" s="74">
        <v>40144</v>
      </c>
      <c r="R522" s="74"/>
      <c r="S522" s="72" t="s">
        <v>11</v>
      </c>
      <c r="T522" s="80" t="s">
        <v>4</v>
      </c>
      <c r="U522" s="72" t="s">
        <v>14</v>
      </c>
      <c r="V522" s="72" t="s">
        <v>1920</v>
      </c>
      <c r="W522" s="72" t="s">
        <v>1928</v>
      </c>
      <c r="X522" s="72" t="s">
        <v>2862</v>
      </c>
      <c r="Y522" s="72" t="s">
        <v>4</v>
      </c>
      <c r="Z522" s="72" t="s">
        <v>4</v>
      </c>
      <c r="AA522" s="146" t="s">
        <v>2862</v>
      </c>
    </row>
    <row r="523" spans="1:27" ht="18.600000000000001" customHeight="1">
      <c r="A523" s="139" t="str">
        <f>IF(priority(Main[[#This Row],[Comments]])&lt;&gt;0, priority(Main[[#This Row],[Comments]]),"")</f>
        <v/>
      </c>
      <c r="B523" s="89" t="s">
        <v>1340</v>
      </c>
      <c r="C523" s="72" t="s">
        <v>93</v>
      </c>
      <c r="D523" s="73" t="s">
        <v>423</v>
      </c>
      <c r="E523" s="74"/>
      <c r="F523" s="74">
        <v>40162</v>
      </c>
      <c r="G523" s="75" t="str">
        <f>IF(stdProdLT(Main[[#This Row],[Comments]])=0.1,"N/A",IF(stdProdLT(Main[[#This Row],[Comments]])=0,"",stdProdLT(Main[[#This Row],[Comments]])))</f>
        <v/>
      </c>
      <c r="H523" s="76" t="str">
        <f>IF(AND(Main[[#This Row],[In Stock Date]]&lt;&gt;"",Main[[#This Row],[Revised Due Date]]&lt;&gt;""),Main[[#This Row],[In Stock Date]]-Main[[#This Row],[Revised Due Date]],"")</f>
        <v/>
      </c>
      <c r="I523" s="72" t="s">
        <v>4</v>
      </c>
      <c r="J523" s="72" t="s">
        <v>4</v>
      </c>
      <c r="K523" s="81" t="s">
        <v>4</v>
      </c>
      <c r="L523" s="74"/>
      <c r="M523" s="77" t="str">
        <f>IF(Main[[#This Row],[Tech Start Date]]&lt;1/1/1990,"",IF(Main[[#This Row],[Class]]="C",WORKDAY(Main[[#This Row],[Tech Start Date]],9),IF(Main[[#This Row],[Class]]="B", WORKDAY(Main[[#This Row],[Tech Start Date]],6),IF(Main[[#This Row],[Class]]="A",WORKDAY(Main[[#This Row],[Tech Start Date]],2),""))))</f>
        <v/>
      </c>
      <c r="N523" s="77" t="str">
        <f>IF(Main[[#This Row],[Tech Start Date]]&lt;1/1/1990,"",IF(Main[[#This Row],[Class]]="C",WORKDAY(Main[[#This Row],[Tech Start Date]],19),IF(Main[[#This Row],[Class]]="B", WORKDAY(Main[[#This Row],[Tech Start Date]],12),IF(Main[[#This Row],[Class]]="A",WORKDAY(Main[[#This Row],[Tech Start Date]],4),""))))</f>
        <v/>
      </c>
      <c r="O523" s="77" t="str">
        <f>IF(Main[[#This Row],[Tech Start Date]]&lt;1/1/1990,"",IF(Main[[#This Row],[Class]]="C",WORKDAY(Main[[#This Row],[Tech Start Date]],23),IF(Main[[#This Row],[Class]]="B", WORKDAY(Main[[#This Row],[Tech Start Date]],15),IF(Main[[#This Row],[Class]]="A",WORKDAY(Main[[#This Row],[Tech Start Date]],5),""))))</f>
        <v/>
      </c>
      <c r="P523" s="77" t="str">
        <f>IF(Main[[#This Row],[Tech Start Date]]&lt;1/1/1990,"",IF(Main[[#This Row],[Class]]="C",WORKDAY(Main[[#This Row],[Tech Start Date]],28),IF(Main[[#This Row],[Class]]="B", WORKDAY(Main[[#This Row],[Tech Start Date]],19),IF(Main[[#This Row],[Class]]="A",WORKDAY(Main[[#This Row],[Tech Start Date]],9),""))))</f>
        <v/>
      </c>
      <c r="Q523" s="74">
        <v>40127</v>
      </c>
      <c r="R523" s="74"/>
      <c r="S523" s="72" t="s">
        <v>11</v>
      </c>
      <c r="T523" s="80" t="s">
        <v>4</v>
      </c>
      <c r="U523" s="72" t="s">
        <v>14</v>
      </c>
      <c r="V523" s="72" t="s">
        <v>1927</v>
      </c>
      <c r="W523" s="72" t="s">
        <v>1928</v>
      </c>
      <c r="X523" s="72" t="s">
        <v>2851</v>
      </c>
      <c r="Y523" s="72" t="s">
        <v>4</v>
      </c>
      <c r="Z523" s="72" t="s">
        <v>4</v>
      </c>
      <c r="AA523" s="146" t="s">
        <v>2851</v>
      </c>
    </row>
    <row r="524" spans="1:27" ht="18.600000000000001" customHeight="1">
      <c r="A524" s="139" t="str">
        <f>IF(priority(Main[[#This Row],[Comments]])&lt;&gt;0, priority(Main[[#This Row],[Comments]]),"")</f>
        <v/>
      </c>
      <c r="B524" s="89" t="s">
        <v>1341</v>
      </c>
      <c r="C524" s="72" t="s">
        <v>424</v>
      </c>
      <c r="D524" s="73" t="s">
        <v>425</v>
      </c>
      <c r="E524" s="74"/>
      <c r="F524" s="74">
        <v>40179</v>
      </c>
      <c r="G524" s="75" t="str">
        <f>IF(stdProdLT(Main[[#This Row],[Comments]])=0.1,"N/A",IF(stdProdLT(Main[[#This Row],[Comments]])=0,"",stdProdLT(Main[[#This Row],[Comments]])))</f>
        <v/>
      </c>
      <c r="H524" s="76" t="str">
        <f>IF(AND(Main[[#This Row],[In Stock Date]]&lt;&gt;"",Main[[#This Row],[Revised Due Date]]&lt;&gt;""),Main[[#This Row],[In Stock Date]]-Main[[#This Row],[Revised Due Date]],"")</f>
        <v/>
      </c>
      <c r="I524" s="72" t="s">
        <v>4</v>
      </c>
      <c r="J524" s="72" t="s">
        <v>4</v>
      </c>
      <c r="K524" s="72" t="s">
        <v>4</v>
      </c>
      <c r="L524" s="74"/>
      <c r="M524" s="77" t="str">
        <f>IF(Main[[#This Row],[Tech Start Date]]&lt;1/1/1990,"",IF(Main[[#This Row],[Class]]="C",WORKDAY(Main[[#This Row],[Tech Start Date]],9),IF(Main[[#This Row],[Class]]="B", WORKDAY(Main[[#This Row],[Tech Start Date]],6),IF(Main[[#This Row],[Class]]="A",WORKDAY(Main[[#This Row],[Tech Start Date]],2),""))))</f>
        <v/>
      </c>
      <c r="N524" s="77" t="str">
        <f>IF(Main[[#This Row],[Tech Start Date]]&lt;1/1/1990,"",IF(Main[[#This Row],[Class]]="C",WORKDAY(Main[[#This Row],[Tech Start Date]],19),IF(Main[[#This Row],[Class]]="B", WORKDAY(Main[[#This Row],[Tech Start Date]],12),IF(Main[[#This Row],[Class]]="A",WORKDAY(Main[[#This Row],[Tech Start Date]],4),""))))</f>
        <v/>
      </c>
      <c r="O524" s="77" t="str">
        <f>IF(Main[[#This Row],[Tech Start Date]]&lt;1/1/1990,"",IF(Main[[#This Row],[Class]]="C",WORKDAY(Main[[#This Row],[Tech Start Date]],23),IF(Main[[#This Row],[Class]]="B", WORKDAY(Main[[#This Row],[Tech Start Date]],15),IF(Main[[#This Row],[Class]]="A",WORKDAY(Main[[#This Row],[Tech Start Date]],5),""))))</f>
        <v/>
      </c>
      <c r="P524" s="77" t="str">
        <f>IF(Main[[#This Row],[Tech Start Date]]&lt;1/1/1990,"",IF(Main[[#This Row],[Class]]="C",WORKDAY(Main[[#This Row],[Tech Start Date]],28),IF(Main[[#This Row],[Class]]="B", WORKDAY(Main[[#This Row],[Tech Start Date]],19),IF(Main[[#This Row],[Class]]="A",WORKDAY(Main[[#This Row],[Tech Start Date]],9),""))))</f>
        <v/>
      </c>
      <c r="Q524" s="74">
        <v>40179</v>
      </c>
      <c r="R524" s="74"/>
      <c r="S524" s="72" t="s">
        <v>11</v>
      </c>
      <c r="T524" s="80" t="s">
        <v>4</v>
      </c>
      <c r="U524" s="72" t="s">
        <v>14</v>
      </c>
      <c r="V524" s="72" t="s">
        <v>1917</v>
      </c>
      <c r="W524" s="72" t="s">
        <v>1922</v>
      </c>
      <c r="X524" s="72" t="s">
        <v>2860</v>
      </c>
      <c r="Y524" s="72" t="s">
        <v>4</v>
      </c>
      <c r="Z524" s="72" t="s">
        <v>4</v>
      </c>
      <c r="AA524" s="146" t="s">
        <v>2860</v>
      </c>
    </row>
    <row r="525" spans="1:27" ht="18.600000000000001" customHeight="1">
      <c r="A525" s="139" t="str">
        <f>IF(priority(Main[[#This Row],[Comments]])&lt;&gt;0, priority(Main[[#This Row],[Comments]]),"")</f>
        <v/>
      </c>
      <c r="B525" s="123" t="s">
        <v>1342</v>
      </c>
      <c r="C525" s="116" t="s">
        <v>197</v>
      </c>
      <c r="D525" s="117" t="s">
        <v>426</v>
      </c>
      <c r="E525" s="118"/>
      <c r="F525" s="118"/>
      <c r="G525" s="119" t="str">
        <f>IF(stdProdLT(Main[[#This Row],[Comments]])=0.1,"N/A",IF(stdProdLT(Main[[#This Row],[Comments]])=0,"",stdProdLT(Main[[#This Row],[Comments]])))</f>
        <v/>
      </c>
      <c r="H525" s="120" t="str">
        <f>IF(AND(Main[[#This Row],[In Stock Date]]&lt;&gt;"",Main[[#This Row],[Revised Due Date]]&lt;&gt;""),Main[[#This Row],[In Stock Date]]-Main[[#This Row],[Revised Due Date]],"")</f>
        <v/>
      </c>
      <c r="I525" s="116" t="s">
        <v>4</v>
      </c>
      <c r="J525" s="116" t="s">
        <v>4</v>
      </c>
      <c r="K525" s="116" t="s">
        <v>4</v>
      </c>
      <c r="L525" s="118"/>
      <c r="M525" s="121" t="str">
        <f>IF(Main[[#This Row],[Tech Start Date]]&lt;1/1/1990,"",IF(Main[[#This Row],[Class]]="C",WORKDAY(Main[[#This Row],[Tech Start Date]],9),IF(Main[[#This Row],[Class]]="B", WORKDAY(Main[[#This Row],[Tech Start Date]],6),IF(Main[[#This Row],[Class]]="A",WORKDAY(Main[[#This Row],[Tech Start Date]],2),""))))</f>
        <v/>
      </c>
      <c r="N525" s="121" t="str">
        <f>IF(Main[[#This Row],[Tech Start Date]]&lt;1/1/1990,"",IF(Main[[#This Row],[Class]]="C",WORKDAY(Main[[#This Row],[Tech Start Date]],19),IF(Main[[#This Row],[Class]]="B", WORKDAY(Main[[#This Row],[Tech Start Date]],12),IF(Main[[#This Row],[Class]]="A",WORKDAY(Main[[#This Row],[Tech Start Date]],4),""))))</f>
        <v/>
      </c>
      <c r="O525" s="121" t="str">
        <f>IF(Main[[#This Row],[Tech Start Date]]&lt;1/1/1990,"",IF(Main[[#This Row],[Class]]="C",WORKDAY(Main[[#This Row],[Tech Start Date]],23),IF(Main[[#This Row],[Class]]="B", WORKDAY(Main[[#This Row],[Tech Start Date]],15),IF(Main[[#This Row],[Class]]="A",WORKDAY(Main[[#This Row],[Tech Start Date]],5),""))))</f>
        <v/>
      </c>
      <c r="P525" s="121" t="str">
        <f>IF(Main[[#This Row],[Tech Start Date]]&lt;1/1/1990,"",IF(Main[[#This Row],[Class]]="C",WORKDAY(Main[[#This Row],[Tech Start Date]],28),IF(Main[[#This Row],[Class]]="B", WORKDAY(Main[[#This Row],[Tech Start Date]],19),IF(Main[[#This Row],[Class]]="A",WORKDAY(Main[[#This Row],[Tech Start Date]],9),""))))</f>
        <v/>
      </c>
      <c r="Q525" s="118">
        <v>40165</v>
      </c>
      <c r="R525" s="118"/>
      <c r="S525" s="116" t="s">
        <v>11</v>
      </c>
      <c r="T525" s="122" t="s">
        <v>4</v>
      </c>
      <c r="U525" s="116" t="s">
        <v>14</v>
      </c>
      <c r="V525" s="116" t="s">
        <v>1927</v>
      </c>
      <c r="W525" s="116" t="s">
        <v>1923</v>
      </c>
      <c r="X525" s="116" t="s">
        <v>885</v>
      </c>
      <c r="Y525" s="116" t="s">
        <v>2969</v>
      </c>
      <c r="Z525" s="116" t="s">
        <v>4</v>
      </c>
      <c r="AA525" s="146" t="s">
        <v>885</v>
      </c>
    </row>
    <row r="526" spans="1:27" ht="18.600000000000001" customHeight="1">
      <c r="A526" s="139" t="str">
        <f>IF(priority(Main[[#This Row],[Comments]])&lt;&gt;0, priority(Main[[#This Row],[Comments]]),"")</f>
        <v/>
      </c>
      <c r="B526" s="89" t="s">
        <v>1343</v>
      </c>
      <c r="C526" s="72" t="s">
        <v>4</v>
      </c>
      <c r="D526" s="73" t="s">
        <v>427</v>
      </c>
      <c r="E526" s="74"/>
      <c r="F526" s="74"/>
      <c r="G526" s="75" t="str">
        <f>IF(stdProdLT(Main[[#This Row],[Comments]])=0.1,"N/A",IF(stdProdLT(Main[[#This Row],[Comments]])=0,"",stdProdLT(Main[[#This Row],[Comments]])))</f>
        <v/>
      </c>
      <c r="H526" s="76" t="str">
        <f>IF(AND(Main[[#This Row],[In Stock Date]]&lt;&gt;"",Main[[#This Row],[Revised Due Date]]&lt;&gt;""),Main[[#This Row],[In Stock Date]]-Main[[#This Row],[Revised Due Date]],"")</f>
        <v/>
      </c>
      <c r="I526" s="72" t="s">
        <v>4</v>
      </c>
      <c r="J526" s="72" t="s">
        <v>4</v>
      </c>
      <c r="K526" s="72" t="s">
        <v>4</v>
      </c>
      <c r="L526" s="74"/>
      <c r="M526" s="77" t="str">
        <f>IF(Main[[#This Row],[Tech Start Date]]&lt;1/1/1990,"",IF(Main[[#This Row],[Class]]="C",WORKDAY(Main[[#This Row],[Tech Start Date]],9),IF(Main[[#This Row],[Class]]="B", WORKDAY(Main[[#This Row],[Tech Start Date]],6),IF(Main[[#This Row],[Class]]="A",WORKDAY(Main[[#This Row],[Tech Start Date]],2),""))))</f>
        <v/>
      </c>
      <c r="N526" s="77" t="str">
        <f>IF(Main[[#This Row],[Tech Start Date]]&lt;1/1/1990,"",IF(Main[[#This Row],[Class]]="C",WORKDAY(Main[[#This Row],[Tech Start Date]],19),IF(Main[[#This Row],[Class]]="B", WORKDAY(Main[[#This Row],[Tech Start Date]],12),IF(Main[[#This Row],[Class]]="A",WORKDAY(Main[[#This Row],[Tech Start Date]],4),""))))</f>
        <v/>
      </c>
      <c r="O526" s="77" t="str">
        <f>IF(Main[[#This Row],[Tech Start Date]]&lt;1/1/1990,"",IF(Main[[#This Row],[Class]]="C",WORKDAY(Main[[#This Row],[Tech Start Date]],23),IF(Main[[#This Row],[Class]]="B", WORKDAY(Main[[#This Row],[Tech Start Date]],15),IF(Main[[#This Row],[Class]]="A",WORKDAY(Main[[#This Row],[Tech Start Date]],5),""))))</f>
        <v/>
      </c>
      <c r="P526" s="77" t="str">
        <f>IF(Main[[#This Row],[Tech Start Date]]&lt;1/1/1990,"",IF(Main[[#This Row],[Class]]="C",WORKDAY(Main[[#This Row],[Tech Start Date]],28),IF(Main[[#This Row],[Class]]="B", WORKDAY(Main[[#This Row],[Tech Start Date]],19),IF(Main[[#This Row],[Class]]="A",WORKDAY(Main[[#This Row],[Tech Start Date]],9),""))))</f>
        <v/>
      </c>
      <c r="Q526" s="74"/>
      <c r="R526" s="74"/>
      <c r="S526" s="72" t="s">
        <v>6</v>
      </c>
      <c r="T526" s="80" t="s">
        <v>4</v>
      </c>
      <c r="U526" s="72" t="s">
        <v>12</v>
      </c>
      <c r="V526" s="72" t="s">
        <v>1917</v>
      </c>
      <c r="W526" s="72" t="s">
        <v>4</v>
      </c>
      <c r="X526" s="72" t="s">
        <v>914</v>
      </c>
      <c r="Y526" s="72" t="s">
        <v>4</v>
      </c>
      <c r="Z526" s="72" t="s">
        <v>4</v>
      </c>
      <c r="AA526" s="146" t="s">
        <v>4</v>
      </c>
    </row>
    <row r="527" spans="1:27" ht="18.600000000000001" customHeight="1">
      <c r="A527" s="139" t="str">
        <f>IF(priority(Main[[#This Row],[Comments]])&lt;&gt;0, priority(Main[[#This Row],[Comments]]),"")</f>
        <v/>
      </c>
      <c r="B527" s="89" t="s">
        <v>1344</v>
      </c>
      <c r="C527" s="72" t="s">
        <v>4</v>
      </c>
      <c r="D527" s="73" t="s">
        <v>428</v>
      </c>
      <c r="E527" s="74">
        <v>40367.39403935185</v>
      </c>
      <c r="F527" s="74"/>
      <c r="G527" s="75" t="str">
        <f>IF(stdProdLT(Main[[#This Row],[Comments]])=0.1,"N/A",IF(stdProdLT(Main[[#This Row],[Comments]])=0,"",stdProdLT(Main[[#This Row],[Comments]])))</f>
        <v/>
      </c>
      <c r="H527" s="76" t="str">
        <f>IF(AND(Main[[#This Row],[In Stock Date]]&lt;&gt;"",Main[[#This Row],[Revised Due Date]]&lt;&gt;""),Main[[#This Row],[In Stock Date]]-Main[[#This Row],[Revised Due Date]],"")</f>
        <v/>
      </c>
      <c r="I527" s="72" t="s">
        <v>126</v>
      </c>
      <c r="J527" s="72" t="s">
        <v>28</v>
      </c>
      <c r="K527" s="72" t="s">
        <v>1926</v>
      </c>
      <c r="L527" s="74"/>
      <c r="M527" s="77" t="str">
        <f>IF(Main[[#This Row],[Tech Start Date]]&lt;1/1/1990,"",IF(Main[[#This Row],[Class]]="C",WORKDAY(Main[[#This Row],[Tech Start Date]],9),IF(Main[[#This Row],[Class]]="B", WORKDAY(Main[[#This Row],[Tech Start Date]],6),IF(Main[[#This Row],[Class]]="A",WORKDAY(Main[[#This Row],[Tech Start Date]],2),""))))</f>
        <v/>
      </c>
      <c r="N527" s="77" t="str">
        <f>IF(Main[[#This Row],[Tech Start Date]]&lt;1/1/1990,"",IF(Main[[#This Row],[Class]]="C",WORKDAY(Main[[#This Row],[Tech Start Date]],19),IF(Main[[#This Row],[Class]]="B", WORKDAY(Main[[#This Row],[Tech Start Date]],12),IF(Main[[#This Row],[Class]]="A",WORKDAY(Main[[#This Row],[Tech Start Date]],4),""))))</f>
        <v/>
      </c>
      <c r="O527" s="77" t="str">
        <f>IF(Main[[#This Row],[Tech Start Date]]&lt;1/1/1990,"",IF(Main[[#This Row],[Class]]="C",WORKDAY(Main[[#This Row],[Tech Start Date]],23),IF(Main[[#This Row],[Class]]="B", WORKDAY(Main[[#This Row],[Tech Start Date]],15),IF(Main[[#This Row],[Class]]="A",WORKDAY(Main[[#This Row],[Tech Start Date]],5),""))))</f>
        <v/>
      </c>
      <c r="P527" s="77" t="str">
        <f>IF(Main[[#This Row],[Tech Start Date]]&lt;1/1/1990,"",IF(Main[[#This Row],[Class]]="C",WORKDAY(Main[[#This Row],[Tech Start Date]],28),IF(Main[[#This Row],[Class]]="B", WORKDAY(Main[[#This Row],[Tech Start Date]],19),IF(Main[[#This Row],[Class]]="A",WORKDAY(Main[[#This Row],[Tech Start Date]],9),""))))</f>
        <v/>
      </c>
      <c r="Q527" s="74">
        <v>40405</v>
      </c>
      <c r="R527" s="74"/>
      <c r="S527" s="72" t="s">
        <v>6</v>
      </c>
      <c r="T527" s="80" t="s">
        <v>4</v>
      </c>
      <c r="U527" s="72" t="s">
        <v>29</v>
      </c>
      <c r="V527" s="72" t="s">
        <v>1917</v>
      </c>
      <c r="W527" s="72" t="s">
        <v>1925</v>
      </c>
      <c r="X527" s="72" t="s">
        <v>2055</v>
      </c>
      <c r="Y527" s="72" t="s">
        <v>2978</v>
      </c>
      <c r="Z527" s="72" t="s">
        <v>129</v>
      </c>
      <c r="AA527" s="146" t="s">
        <v>2055</v>
      </c>
    </row>
    <row r="528" spans="1:27" ht="18.600000000000001" customHeight="1">
      <c r="A528" s="139" t="str">
        <f>IF(priority(Main[[#This Row],[Comments]])&lt;&gt;0, priority(Main[[#This Row],[Comments]]),"")</f>
        <v/>
      </c>
      <c r="B528" s="89" t="s">
        <v>1816</v>
      </c>
      <c r="C528" s="72" t="s">
        <v>95</v>
      </c>
      <c r="D528" s="73" t="s">
        <v>866</v>
      </c>
      <c r="E528" s="74"/>
      <c r="F528" s="74"/>
      <c r="G528" s="75" t="str">
        <f>IF(stdProdLT(Main[[#This Row],[Comments]])=0.1,"N/A",IF(stdProdLT(Main[[#This Row],[Comments]])=0,"",stdProdLT(Main[[#This Row],[Comments]])))</f>
        <v/>
      </c>
      <c r="H528" s="76" t="str">
        <f>IF(AND(Main[[#This Row],[In Stock Date]]&lt;&gt;"",Main[[#This Row],[Revised Due Date]]&lt;&gt;""),Main[[#This Row],[In Stock Date]]-Main[[#This Row],[Revised Due Date]],"")</f>
        <v/>
      </c>
      <c r="I528" s="72" t="s">
        <v>4</v>
      </c>
      <c r="J528" s="72" t="s">
        <v>4</v>
      </c>
      <c r="K528" s="72" t="s">
        <v>4</v>
      </c>
      <c r="L528" s="74"/>
      <c r="M528" s="77" t="str">
        <f>IF(Main[[#This Row],[Tech Start Date]]&lt;1/1/1990,"",IF(Main[[#This Row],[Class]]="C",WORKDAY(Main[[#This Row],[Tech Start Date]],9),IF(Main[[#This Row],[Class]]="B", WORKDAY(Main[[#This Row],[Tech Start Date]],6),IF(Main[[#This Row],[Class]]="A",WORKDAY(Main[[#This Row],[Tech Start Date]],2),""))))</f>
        <v/>
      </c>
      <c r="N528" s="77" t="str">
        <f>IF(Main[[#This Row],[Tech Start Date]]&lt;1/1/1990,"",IF(Main[[#This Row],[Class]]="C",WORKDAY(Main[[#This Row],[Tech Start Date]],19),IF(Main[[#This Row],[Class]]="B", WORKDAY(Main[[#This Row],[Tech Start Date]],12),IF(Main[[#This Row],[Class]]="A",WORKDAY(Main[[#This Row],[Tech Start Date]],4),""))))</f>
        <v/>
      </c>
      <c r="O528" s="77" t="str">
        <f>IF(Main[[#This Row],[Tech Start Date]]&lt;1/1/1990,"",IF(Main[[#This Row],[Class]]="C",WORKDAY(Main[[#This Row],[Tech Start Date]],23),IF(Main[[#This Row],[Class]]="B", WORKDAY(Main[[#This Row],[Tech Start Date]],15),IF(Main[[#This Row],[Class]]="A",WORKDAY(Main[[#This Row],[Tech Start Date]],5),""))))</f>
        <v/>
      </c>
      <c r="P528" s="77" t="str">
        <f>IF(Main[[#This Row],[Tech Start Date]]&lt;1/1/1990,"",IF(Main[[#This Row],[Class]]="C",WORKDAY(Main[[#This Row],[Tech Start Date]],28),IF(Main[[#This Row],[Class]]="B", WORKDAY(Main[[#This Row],[Tech Start Date]],19),IF(Main[[#This Row],[Class]]="A",WORKDAY(Main[[#This Row],[Tech Start Date]],9),""))))</f>
        <v/>
      </c>
      <c r="Q528" s="74">
        <v>40206</v>
      </c>
      <c r="R528" s="74">
        <v>40284</v>
      </c>
      <c r="S528" s="72" t="s">
        <v>11</v>
      </c>
      <c r="T528" s="80" t="s">
        <v>4</v>
      </c>
      <c r="U528" s="72" t="s">
        <v>14</v>
      </c>
      <c r="V528" s="72" t="s">
        <v>1918</v>
      </c>
      <c r="W528" s="72" t="s">
        <v>1919</v>
      </c>
      <c r="X528" s="72" t="s">
        <v>2843</v>
      </c>
      <c r="Y528" s="72" t="s">
        <v>3041</v>
      </c>
      <c r="Z528" s="72" t="s">
        <v>4</v>
      </c>
      <c r="AA528" s="146" t="s">
        <v>3424</v>
      </c>
    </row>
    <row r="529" spans="1:27" ht="18.600000000000001" customHeight="1">
      <c r="A529" s="139" t="str">
        <f>IF(priority(Main[[#This Row],[Comments]])&lt;&gt;0, priority(Main[[#This Row],[Comments]]),"")</f>
        <v/>
      </c>
      <c r="B529" s="89" t="s">
        <v>1607</v>
      </c>
      <c r="C529" s="72" t="s">
        <v>4</v>
      </c>
      <c r="D529" s="73" t="s">
        <v>680</v>
      </c>
      <c r="E529" s="74">
        <v>40619.658206018517</v>
      </c>
      <c r="F529" s="74"/>
      <c r="G529" s="75" t="str">
        <f>IF(stdProdLT(Main[[#This Row],[Comments]])=0.1,"N/A",IF(stdProdLT(Main[[#This Row],[Comments]])=0,"",stdProdLT(Main[[#This Row],[Comments]])))</f>
        <v/>
      </c>
      <c r="H529" s="76" t="str">
        <f>IF(AND(Main[[#This Row],[In Stock Date]]&lt;&gt;"",Main[[#This Row],[Revised Due Date]]&lt;&gt;""),Main[[#This Row],[In Stock Date]]-Main[[#This Row],[Revised Due Date]],"")</f>
        <v/>
      </c>
      <c r="I529" s="72" t="s">
        <v>924</v>
      </c>
      <c r="J529" s="72" t="s">
        <v>28</v>
      </c>
      <c r="K529" s="81" t="s">
        <v>1926</v>
      </c>
      <c r="L529" s="74"/>
      <c r="M529" s="77" t="str">
        <f>IF(Main[[#This Row],[Tech Start Date]]&lt;1/1/1990,"",IF(Main[[#This Row],[Class]]="C",WORKDAY(Main[[#This Row],[Tech Start Date]],9),IF(Main[[#This Row],[Class]]="B", WORKDAY(Main[[#This Row],[Tech Start Date]],6),IF(Main[[#This Row],[Class]]="A",WORKDAY(Main[[#This Row],[Tech Start Date]],2),""))))</f>
        <v/>
      </c>
      <c r="N529" s="77" t="str">
        <f>IF(Main[[#This Row],[Tech Start Date]]&lt;1/1/1990,"",IF(Main[[#This Row],[Class]]="C",WORKDAY(Main[[#This Row],[Tech Start Date]],19),IF(Main[[#This Row],[Class]]="B", WORKDAY(Main[[#This Row],[Tech Start Date]],12),IF(Main[[#This Row],[Class]]="A",WORKDAY(Main[[#This Row],[Tech Start Date]],4),""))))</f>
        <v/>
      </c>
      <c r="O529" s="77" t="str">
        <f>IF(Main[[#This Row],[Tech Start Date]]&lt;1/1/1990,"",IF(Main[[#This Row],[Class]]="C",WORKDAY(Main[[#This Row],[Tech Start Date]],23),IF(Main[[#This Row],[Class]]="B", WORKDAY(Main[[#This Row],[Tech Start Date]],15),IF(Main[[#This Row],[Class]]="A",WORKDAY(Main[[#This Row],[Tech Start Date]],5),""))))</f>
        <v/>
      </c>
      <c r="P529" s="77" t="str">
        <f>IF(Main[[#This Row],[Tech Start Date]]&lt;1/1/1990,"",IF(Main[[#This Row],[Class]]="C",WORKDAY(Main[[#This Row],[Tech Start Date]],28),IF(Main[[#This Row],[Class]]="B", WORKDAY(Main[[#This Row],[Tech Start Date]],19),IF(Main[[#This Row],[Class]]="A",WORKDAY(Main[[#This Row],[Tech Start Date]],9),""))))</f>
        <v/>
      </c>
      <c r="Q529" s="74"/>
      <c r="R529" s="74"/>
      <c r="S529" s="72" t="s">
        <v>6</v>
      </c>
      <c r="T529" s="80" t="s">
        <v>4</v>
      </c>
      <c r="U529" s="72" t="s">
        <v>29</v>
      </c>
      <c r="V529" s="72" t="s">
        <v>1932</v>
      </c>
      <c r="W529" s="72" t="s">
        <v>1919</v>
      </c>
      <c r="X529" s="72" t="s">
        <v>924</v>
      </c>
      <c r="Y529" s="72" t="s">
        <v>2988</v>
      </c>
      <c r="Z529" s="72" t="s">
        <v>2214</v>
      </c>
      <c r="AA529" s="146" t="s">
        <v>924</v>
      </c>
    </row>
    <row r="530" spans="1:27" ht="18.600000000000001" customHeight="1">
      <c r="A530" s="139" t="str">
        <f>IF(priority(Main[[#This Row],[Comments]])&lt;&gt;0, priority(Main[[#This Row],[Comments]]),"")</f>
        <v/>
      </c>
      <c r="B530" s="89" t="s">
        <v>1346</v>
      </c>
      <c r="C530" s="72" t="s">
        <v>4</v>
      </c>
      <c r="D530" s="73" t="s">
        <v>430</v>
      </c>
      <c r="E530" s="74">
        <v>40585.693101851852</v>
      </c>
      <c r="F530" s="74"/>
      <c r="G530" s="75" t="str">
        <f>IF(stdProdLT(Main[[#This Row],[Comments]])=0.1,"N/A",IF(stdProdLT(Main[[#This Row],[Comments]])=0,"",stdProdLT(Main[[#This Row],[Comments]])))</f>
        <v/>
      </c>
      <c r="H530" s="76" t="str">
        <f>IF(AND(Main[[#This Row],[In Stock Date]]&lt;&gt;"",Main[[#This Row],[Revised Due Date]]&lt;&gt;""),Main[[#This Row],[In Stock Date]]-Main[[#This Row],[Revised Due Date]],"")</f>
        <v/>
      </c>
      <c r="I530" s="72" t="s">
        <v>431</v>
      </c>
      <c r="J530" s="72" t="s">
        <v>21</v>
      </c>
      <c r="K530" s="81" t="s">
        <v>4</v>
      </c>
      <c r="L530" s="74"/>
      <c r="M530" s="77" t="str">
        <f>IF(Main[[#This Row],[Tech Start Date]]&lt;1/1/1990,"",IF(Main[[#This Row],[Class]]="C",WORKDAY(Main[[#This Row],[Tech Start Date]],9),IF(Main[[#This Row],[Class]]="B", WORKDAY(Main[[#This Row],[Tech Start Date]],6),IF(Main[[#This Row],[Class]]="A",WORKDAY(Main[[#This Row],[Tech Start Date]],2),""))))</f>
        <v/>
      </c>
      <c r="N530" s="77" t="str">
        <f>IF(Main[[#This Row],[Tech Start Date]]&lt;1/1/1990,"",IF(Main[[#This Row],[Class]]="C",WORKDAY(Main[[#This Row],[Tech Start Date]],19),IF(Main[[#This Row],[Class]]="B", WORKDAY(Main[[#This Row],[Tech Start Date]],12),IF(Main[[#This Row],[Class]]="A",WORKDAY(Main[[#This Row],[Tech Start Date]],4),""))))</f>
        <v/>
      </c>
      <c r="O530" s="77" t="str">
        <f>IF(Main[[#This Row],[Tech Start Date]]&lt;1/1/1990,"",IF(Main[[#This Row],[Class]]="C",WORKDAY(Main[[#This Row],[Tech Start Date]],23),IF(Main[[#This Row],[Class]]="B", WORKDAY(Main[[#This Row],[Tech Start Date]],15),IF(Main[[#This Row],[Class]]="A",WORKDAY(Main[[#This Row],[Tech Start Date]],5),""))))</f>
        <v/>
      </c>
      <c r="P530" s="77" t="str">
        <f>IF(Main[[#This Row],[Tech Start Date]]&lt;1/1/1990,"",IF(Main[[#This Row],[Class]]="C",WORKDAY(Main[[#This Row],[Tech Start Date]],28),IF(Main[[#This Row],[Class]]="B", WORKDAY(Main[[#This Row],[Tech Start Date]],19),IF(Main[[#This Row],[Class]]="A",WORKDAY(Main[[#This Row],[Tech Start Date]],9),""))))</f>
        <v/>
      </c>
      <c r="Q530" s="74">
        <v>40602</v>
      </c>
      <c r="R530" s="74"/>
      <c r="S530" s="72" t="s">
        <v>6</v>
      </c>
      <c r="T530" s="80" t="s">
        <v>4</v>
      </c>
      <c r="U530" s="72" t="s">
        <v>29</v>
      </c>
      <c r="V530" s="72" t="s">
        <v>1920</v>
      </c>
      <c r="W530" s="72" t="s">
        <v>1921</v>
      </c>
      <c r="X530" s="72" t="s">
        <v>30</v>
      </c>
      <c r="Y530" s="72" t="s">
        <v>2963</v>
      </c>
      <c r="Z530" s="72" t="s">
        <v>415</v>
      </c>
      <c r="AA530" s="146" t="s">
        <v>30</v>
      </c>
    </row>
    <row r="531" spans="1:27" ht="18.600000000000001" customHeight="1">
      <c r="A531" s="139" t="str">
        <f>IF(priority(Main[[#This Row],[Comments]])&lt;&gt;0, priority(Main[[#This Row],[Comments]]),"")</f>
        <v/>
      </c>
      <c r="B531" s="89" t="s">
        <v>1347</v>
      </c>
      <c r="C531" s="72" t="s">
        <v>4</v>
      </c>
      <c r="D531" s="73" t="s">
        <v>432</v>
      </c>
      <c r="E531" s="74"/>
      <c r="F531" s="74"/>
      <c r="G531" s="75" t="str">
        <f>IF(stdProdLT(Main[[#This Row],[Comments]])=0.1,"N/A",IF(stdProdLT(Main[[#This Row],[Comments]])=0,"",stdProdLT(Main[[#This Row],[Comments]])))</f>
        <v/>
      </c>
      <c r="H531" s="76" t="str">
        <f>IF(AND(Main[[#This Row],[In Stock Date]]&lt;&gt;"",Main[[#This Row],[Revised Due Date]]&lt;&gt;""),Main[[#This Row],[In Stock Date]]-Main[[#This Row],[Revised Due Date]],"")</f>
        <v/>
      </c>
      <c r="I531" s="72" t="s">
        <v>4</v>
      </c>
      <c r="J531" s="72" t="s">
        <v>4</v>
      </c>
      <c r="K531" s="72" t="s">
        <v>4</v>
      </c>
      <c r="L531" s="74"/>
      <c r="M531" s="77" t="str">
        <f>IF(Main[[#This Row],[Tech Start Date]]&lt;1/1/1990,"",IF(Main[[#This Row],[Class]]="C",WORKDAY(Main[[#This Row],[Tech Start Date]],9),IF(Main[[#This Row],[Class]]="B", WORKDAY(Main[[#This Row],[Tech Start Date]],6),IF(Main[[#This Row],[Class]]="A",WORKDAY(Main[[#This Row],[Tech Start Date]],2),""))))</f>
        <v/>
      </c>
      <c r="N531" s="77" t="str">
        <f>IF(Main[[#This Row],[Tech Start Date]]&lt;1/1/1990,"",IF(Main[[#This Row],[Class]]="C",WORKDAY(Main[[#This Row],[Tech Start Date]],19),IF(Main[[#This Row],[Class]]="B", WORKDAY(Main[[#This Row],[Tech Start Date]],12),IF(Main[[#This Row],[Class]]="A",WORKDAY(Main[[#This Row],[Tech Start Date]],4),""))))</f>
        <v/>
      </c>
      <c r="O531" s="77" t="str">
        <f>IF(Main[[#This Row],[Tech Start Date]]&lt;1/1/1990,"",IF(Main[[#This Row],[Class]]="C",WORKDAY(Main[[#This Row],[Tech Start Date]],23),IF(Main[[#This Row],[Class]]="B", WORKDAY(Main[[#This Row],[Tech Start Date]],15),IF(Main[[#This Row],[Class]]="A",WORKDAY(Main[[#This Row],[Tech Start Date]],5),""))))</f>
        <v/>
      </c>
      <c r="P531" s="77" t="str">
        <f>IF(Main[[#This Row],[Tech Start Date]]&lt;1/1/1990,"",IF(Main[[#This Row],[Class]]="C",WORKDAY(Main[[#This Row],[Tech Start Date]],28),IF(Main[[#This Row],[Class]]="B", WORKDAY(Main[[#This Row],[Tech Start Date]],19),IF(Main[[#This Row],[Class]]="A",WORKDAY(Main[[#This Row],[Tech Start Date]],9),""))))</f>
        <v/>
      </c>
      <c r="Q531" s="74"/>
      <c r="R531" s="74"/>
      <c r="S531" s="72" t="s">
        <v>4</v>
      </c>
      <c r="T531" s="80" t="s">
        <v>4</v>
      </c>
      <c r="U531" s="72" t="s">
        <v>14</v>
      </c>
      <c r="V531" s="72" t="s">
        <v>1917</v>
      </c>
      <c r="W531" s="72" t="s">
        <v>1931</v>
      </c>
      <c r="X531" s="72" t="s">
        <v>924</v>
      </c>
      <c r="Y531" s="72" t="s">
        <v>4</v>
      </c>
      <c r="Z531" s="72" t="s">
        <v>4</v>
      </c>
      <c r="AA531" s="146" t="s">
        <v>4</v>
      </c>
    </row>
    <row r="532" spans="1:27" ht="18.600000000000001" customHeight="1">
      <c r="A532" s="155" t="str">
        <f>IF(priority(Main[[#This Row],[Comments]])&lt;&gt;0, priority(Main[[#This Row],[Comments]]),"")</f>
        <v/>
      </c>
      <c r="B532" s="156" t="s">
        <v>1349</v>
      </c>
      <c r="C532" s="157" t="s">
        <v>31</v>
      </c>
      <c r="D532" s="158" t="s">
        <v>435</v>
      </c>
      <c r="E532" s="160"/>
      <c r="F532" s="160"/>
      <c r="G532" s="162" t="str">
        <f>IF(stdProdLT(Main[[#This Row],[Comments]])=0.1,"N/A",IF(stdProdLT(Main[[#This Row],[Comments]])=0,"",stdProdLT(Main[[#This Row],[Comments]])))</f>
        <v/>
      </c>
      <c r="H532" s="164" t="str">
        <f>IF(AND(Main[[#This Row],[In Stock Date]]&lt;&gt;"",Main[[#This Row],[Revised Due Date]]&lt;&gt;""),Main[[#This Row],[In Stock Date]]-Main[[#This Row],[Revised Due Date]],"")</f>
        <v/>
      </c>
      <c r="I532" s="157" t="s">
        <v>4</v>
      </c>
      <c r="J532" s="157" t="s">
        <v>4</v>
      </c>
      <c r="K532" s="157" t="s">
        <v>4</v>
      </c>
      <c r="L532" s="160"/>
      <c r="M532" s="167" t="str">
        <f>IF(Main[[#This Row],[Tech Start Date]]&lt;1/1/1990,"",IF(Main[[#This Row],[Class]]="C",WORKDAY(Main[[#This Row],[Tech Start Date]],9),IF(Main[[#This Row],[Class]]="B", WORKDAY(Main[[#This Row],[Tech Start Date]],6),IF(Main[[#This Row],[Class]]="A",WORKDAY(Main[[#This Row],[Tech Start Date]],2),""))))</f>
        <v/>
      </c>
      <c r="N532" s="167" t="str">
        <f>IF(Main[[#This Row],[Tech Start Date]]&lt;1/1/1990,"",IF(Main[[#This Row],[Class]]="C",WORKDAY(Main[[#This Row],[Tech Start Date]],19),IF(Main[[#This Row],[Class]]="B", WORKDAY(Main[[#This Row],[Tech Start Date]],12),IF(Main[[#This Row],[Class]]="A",WORKDAY(Main[[#This Row],[Tech Start Date]],4),""))))</f>
        <v/>
      </c>
      <c r="O532" s="167" t="str">
        <f>IF(Main[[#This Row],[Tech Start Date]]&lt;1/1/1990,"",IF(Main[[#This Row],[Class]]="C",WORKDAY(Main[[#This Row],[Tech Start Date]],23),IF(Main[[#This Row],[Class]]="B", WORKDAY(Main[[#This Row],[Tech Start Date]],15),IF(Main[[#This Row],[Class]]="A",WORKDAY(Main[[#This Row],[Tech Start Date]],5),""))))</f>
        <v/>
      </c>
      <c r="P532" s="167" t="str">
        <f>IF(Main[[#This Row],[Tech Start Date]]&lt;1/1/1990,"",IF(Main[[#This Row],[Class]]="C",WORKDAY(Main[[#This Row],[Tech Start Date]],28),IF(Main[[#This Row],[Class]]="B", WORKDAY(Main[[#This Row],[Tech Start Date]],19),IF(Main[[#This Row],[Class]]="A",WORKDAY(Main[[#This Row],[Tech Start Date]],9),""))))</f>
        <v/>
      </c>
      <c r="Q532" s="160">
        <v>40318</v>
      </c>
      <c r="R532" s="160"/>
      <c r="S532" s="157" t="s">
        <v>11</v>
      </c>
      <c r="T532" s="171" t="s">
        <v>4</v>
      </c>
      <c r="U532" s="157" t="s">
        <v>14</v>
      </c>
      <c r="V532" s="157" t="s">
        <v>1920</v>
      </c>
      <c r="W532" s="157" t="s">
        <v>1919</v>
      </c>
      <c r="X532" s="157" t="s">
        <v>2836</v>
      </c>
      <c r="Y532" s="157" t="s">
        <v>4</v>
      </c>
      <c r="Z532" s="157" t="s">
        <v>4</v>
      </c>
      <c r="AA532" s="153" t="s">
        <v>2836</v>
      </c>
    </row>
    <row r="533" spans="1:27" ht="18.600000000000001" customHeight="1">
      <c r="A533" s="139" t="str">
        <f>IF(priority(Main[[#This Row],[Comments]])&lt;&gt;0, priority(Main[[#This Row],[Comments]]),"")</f>
        <v/>
      </c>
      <c r="B533" s="89" t="s">
        <v>1350</v>
      </c>
      <c r="C533" s="72" t="s">
        <v>436</v>
      </c>
      <c r="D533" s="73" t="s">
        <v>437</v>
      </c>
      <c r="E533" s="74"/>
      <c r="F533" s="74">
        <v>40056</v>
      </c>
      <c r="G533" s="75" t="str">
        <f>IF(stdProdLT(Main[[#This Row],[Comments]])=0.1,"N/A",IF(stdProdLT(Main[[#This Row],[Comments]])=0,"",stdProdLT(Main[[#This Row],[Comments]])))</f>
        <v/>
      </c>
      <c r="H533" s="76" t="str">
        <f>IF(AND(Main[[#This Row],[In Stock Date]]&lt;&gt;"",Main[[#This Row],[Revised Due Date]]&lt;&gt;""),Main[[#This Row],[In Stock Date]]-Main[[#This Row],[Revised Due Date]],"")</f>
        <v/>
      </c>
      <c r="I533" s="72" t="s">
        <v>4</v>
      </c>
      <c r="J533" s="72" t="s">
        <v>4</v>
      </c>
      <c r="K533" s="72" t="s">
        <v>4</v>
      </c>
      <c r="L533" s="74"/>
      <c r="M533" s="77" t="str">
        <f>IF(Main[[#This Row],[Tech Start Date]]&lt;1/1/1990,"",IF(Main[[#This Row],[Class]]="C",WORKDAY(Main[[#This Row],[Tech Start Date]],9),IF(Main[[#This Row],[Class]]="B", WORKDAY(Main[[#This Row],[Tech Start Date]],6),IF(Main[[#This Row],[Class]]="A",WORKDAY(Main[[#This Row],[Tech Start Date]],2),""))))</f>
        <v/>
      </c>
      <c r="N533" s="77" t="str">
        <f>IF(Main[[#This Row],[Tech Start Date]]&lt;1/1/1990,"",IF(Main[[#This Row],[Class]]="C",WORKDAY(Main[[#This Row],[Tech Start Date]],19),IF(Main[[#This Row],[Class]]="B", WORKDAY(Main[[#This Row],[Tech Start Date]],12),IF(Main[[#This Row],[Class]]="A",WORKDAY(Main[[#This Row],[Tech Start Date]],4),""))))</f>
        <v/>
      </c>
      <c r="O533" s="77" t="str">
        <f>IF(Main[[#This Row],[Tech Start Date]]&lt;1/1/1990,"",IF(Main[[#This Row],[Class]]="C",WORKDAY(Main[[#This Row],[Tech Start Date]],23),IF(Main[[#This Row],[Class]]="B", WORKDAY(Main[[#This Row],[Tech Start Date]],15),IF(Main[[#This Row],[Class]]="A",WORKDAY(Main[[#This Row],[Tech Start Date]],5),""))))</f>
        <v/>
      </c>
      <c r="P533" s="77" t="str">
        <f>IF(Main[[#This Row],[Tech Start Date]]&lt;1/1/1990,"",IF(Main[[#This Row],[Class]]="C",WORKDAY(Main[[#This Row],[Tech Start Date]],28),IF(Main[[#This Row],[Class]]="B", WORKDAY(Main[[#This Row],[Tech Start Date]],19),IF(Main[[#This Row],[Class]]="A",WORKDAY(Main[[#This Row],[Tech Start Date]],9),""))))</f>
        <v/>
      </c>
      <c r="Q533" s="74"/>
      <c r="R533" s="74"/>
      <c r="S533" s="72" t="s">
        <v>11</v>
      </c>
      <c r="T533" s="80" t="s">
        <v>4</v>
      </c>
      <c r="U533" s="72" t="s">
        <v>14</v>
      </c>
      <c r="V533" s="72" t="s">
        <v>1917</v>
      </c>
      <c r="W533" s="72" t="s">
        <v>1925</v>
      </c>
      <c r="X533" s="72" t="s">
        <v>2859</v>
      </c>
      <c r="Y533" s="72" t="s">
        <v>2997</v>
      </c>
      <c r="Z533" s="72" t="s">
        <v>4</v>
      </c>
      <c r="AA533" s="146" t="s">
        <v>2859</v>
      </c>
    </row>
    <row r="534" spans="1:27" ht="18.600000000000001" customHeight="1">
      <c r="A534" s="139" t="str">
        <f>IF(priority(Main[[#This Row],[Comments]])&lt;&gt;0, priority(Main[[#This Row],[Comments]]),"")</f>
        <v/>
      </c>
      <c r="B534" s="89" t="s">
        <v>1351</v>
      </c>
      <c r="C534" s="72" t="s">
        <v>31</v>
      </c>
      <c r="D534" s="73" t="s">
        <v>438</v>
      </c>
      <c r="E534" s="74"/>
      <c r="F534" s="74"/>
      <c r="G534" s="75" t="str">
        <f>IF(stdProdLT(Main[[#This Row],[Comments]])=0.1,"N/A",IF(stdProdLT(Main[[#This Row],[Comments]])=0,"",stdProdLT(Main[[#This Row],[Comments]])))</f>
        <v/>
      </c>
      <c r="H534" s="76" t="str">
        <f>IF(AND(Main[[#This Row],[In Stock Date]]&lt;&gt;"",Main[[#This Row],[Revised Due Date]]&lt;&gt;""),Main[[#This Row],[In Stock Date]]-Main[[#This Row],[Revised Due Date]],"")</f>
        <v/>
      </c>
      <c r="I534" s="72" t="s">
        <v>4</v>
      </c>
      <c r="J534" s="72" t="s">
        <v>4</v>
      </c>
      <c r="K534" s="72" t="s">
        <v>4</v>
      </c>
      <c r="L534" s="74"/>
      <c r="M534" s="77" t="str">
        <f>IF(Main[[#This Row],[Tech Start Date]]&lt;1/1/1990,"",IF(Main[[#This Row],[Class]]="C",WORKDAY(Main[[#This Row],[Tech Start Date]],9),IF(Main[[#This Row],[Class]]="B", WORKDAY(Main[[#This Row],[Tech Start Date]],6),IF(Main[[#This Row],[Class]]="A",WORKDAY(Main[[#This Row],[Tech Start Date]],2),""))))</f>
        <v/>
      </c>
      <c r="N534" s="77" t="str">
        <f>IF(Main[[#This Row],[Tech Start Date]]&lt;1/1/1990,"",IF(Main[[#This Row],[Class]]="C",WORKDAY(Main[[#This Row],[Tech Start Date]],19),IF(Main[[#This Row],[Class]]="B", WORKDAY(Main[[#This Row],[Tech Start Date]],12),IF(Main[[#This Row],[Class]]="A",WORKDAY(Main[[#This Row],[Tech Start Date]],4),""))))</f>
        <v/>
      </c>
      <c r="O534" s="77" t="str">
        <f>IF(Main[[#This Row],[Tech Start Date]]&lt;1/1/1990,"",IF(Main[[#This Row],[Class]]="C",WORKDAY(Main[[#This Row],[Tech Start Date]],23),IF(Main[[#This Row],[Class]]="B", WORKDAY(Main[[#This Row],[Tech Start Date]],15),IF(Main[[#This Row],[Class]]="A",WORKDAY(Main[[#This Row],[Tech Start Date]],5),""))))</f>
        <v/>
      </c>
      <c r="P534" s="77" t="str">
        <f>IF(Main[[#This Row],[Tech Start Date]]&lt;1/1/1990,"",IF(Main[[#This Row],[Class]]="C",WORKDAY(Main[[#This Row],[Tech Start Date]],28),IF(Main[[#This Row],[Class]]="B", WORKDAY(Main[[#This Row],[Tech Start Date]],19),IF(Main[[#This Row],[Class]]="A",WORKDAY(Main[[#This Row],[Tech Start Date]],9),""))))</f>
        <v/>
      </c>
      <c r="Q534" s="74">
        <v>40318</v>
      </c>
      <c r="R534" s="74"/>
      <c r="S534" s="72" t="s">
        <v>11</v>
      </c>
      <c r="T534" s="80" t="s">
        <v>4</v>
      </c>
      <c r="U534" s="72" t="s">
        <v>14</v>
      </c>
      <c r="V534" s="72" t="s">
        <v>1920</v>
      </c>
      <c r="W534" s="72" t="s">
        <v>1928</v>
      </c>
      <c r="X534" s="72" t="s">
        <v>2836</v>
      </c>
      <c r="Y534" s="72" t="s">
        <v>4</v>
      </c>
      <c r="Z534" s="72" t="s">
        <v>4</v>
      </c>
      <c r="AA534" s="146" t="s">
        <v>2836</v>
      </c>
    </row>
    <row r="535" spans="1:27" ht="18.600000000000001" customHeight="1">
      <c r="A535" s="139" t="str">
        <f>IF(priority(Main[[#This Row],[Comments]])&lt;&gt;0, priority(Main[[#This Row],[Comments]]),"")</f>
        <v/>
      </c>
      <c r="B535" s="89" t="s">
        <v>1352</v>
      </c>
      <c r="C535" s="72" t="s">
        <v>31</v>
      </c>
      <c r="D535" s="73" t="s">
        <v>439</v>
      </c>
      <c r="E535" s="74"/>
      <c r="F535" s="74"/>
      <c r="G535" s="75" t="str">
        <f>IF(stdProdLT(Main[[#This Row],[Comments]])=0.1,"N/A",IF(stdProdLT(Main[[#This Row],[Comments]])=0,"",stdProdLT(Main[[#This Row],[Comments]])))</f>
        <v/>
      </c>
      <c r="H535" s="76" t="str">
        <f>IF(AND(Main[[#This Row],[In Stock Date]]&lt;&gt;"",Main[[#This Row],[Revised Due Date]]&lt;&gt;""),Main[[#This Row],[In Stock Date]]-Main[[#This Row],[Revised Due Date]],"")</f>
        <v/>
      </c>
      <c r="I535" s="72" t="s">
        <v>4</v>
      </c>
      <c r="J535" s="72" t="s">
        <v>4</v>
      </c>
      <c r="K535" s="72" t="s">
        <v>4</v>
      </c>
      <c r="L535" s="74"/>
      <c r="M535" s="77" t="str">
        <f>IF(Main[[#This Row],[Tech Start Date]]&lt;1/1/1990,"",IF(Main[[#This Row],[Class]]="C",WORKDAY(Main[[#This Row],[Tech Start Date]],9),IF(Main[[#This Row],[Class]]="B", WORKDAY(Main[[#This Row],[Tech Start Date]],6),IF(Main[[#This Row],[Class]]="A",WORKDAY(Main[[#This Row],[Tech Start Date]],2),""))))</f>
        <v/>
      </c>
      <c r="N535" s="77" t="str">
        <f>IF(Main[[#This Row],[Tech Start Date]]&lt;1/1/1990,"",IF(Main[[#This Row],[Class]]="C",WORKDAY(Main[[#This Row],[Tech Start Date]],19),IF(Main[[#This Row],[Class]]="B", WORKDAY(Main[[#This Row],[Tech Start Date]],12),IF(Main[[#This Row],[Class]]="A",WORKDAY(Main[[#This Row],[Tech Start Date]],4),""))))</f>
        <v/>
      </c>
      <c r="O535" s="77" t="str">
        <f>IF(Main[[#This Row],[Tech Start Date]]&lt;1/1/1990,"",IF(Main[[#This Row],[Class]]="C",WORKDAY(Main[[#This Row],[Tech Start Date]],23),IF(Main[[#This Row],[Class]]="B", WORKDAY(Main[[#This Row],[Tech Start Date]],15),IF(Main[[#This Row],[Class]]="A",WORKDAY(Main[[#This Row],[Tech Start Date]],5),""))))</f>
        <v/>
      </c>
      <c r="P535" s="77" t="str">
        <f>IF(Main[[#This Row],[Tech Start Date]]&lt;1/1/1990,"",IF(Main[[#This Row],[Class]]="C",WORKDAY(Main[[#This Row],[Tech Start Date]],28),IF(Main[[#This Row],[Class]]="B", WORKDAY(Main[[#This Row],[Tech Start Date]],19),IF(Main[[#This Row],[Class]]="A",WORKDAY(Main[[#This Row],[Tech Start Date]],9),""))))</f>
        <v/>
      </c>
      <c r="Q535" s="74">
        <v>40318</v>
      </c>
      <c r="R535" s="74"/>
      <c r="S535" s="72" t="s">
        <v>11</v>
      </c>
      <c r="T535" s="80" t="s">
        <v>4</v>
      </c>
      <c r="U535" s="72" t="s">
        <v>14</v>
      </c>
      <c r="V535" s="72" t="s">
        <v>1920</v>
      </c>
      <c r="W535" s="72" t="s">
        <v>1919</v>
      </c>
      <c r="X535" s="72" t="s">
        <v>2836</v>
      </c>
      <c r="Y535" s="72" t="s">
        <v>4</v>
      </c>
      <c r="Z535" s="72" t="s">
        <v>4</v>
      </c>
      <c r="AA535" s="146" t="s">
        <v>2836</v>
      </c>
    </row>
    <row r="536" spans="1:27" ht="18.600000000000001" customHeight="1">
      <c r="A536" s="139" t="str">
        <f>IF(priority(Main[[#This Row],[Comments]])&lt;&gt;0, priority(Main[[#This Row],[Comments]]),"")</f>
        <v/>
      </c>
      <c r="B536" s="89" t="s">
        <v>1354</v>
      </c>
      <c r="C536" s="72" t="s">
        <v>4</v>
      </c>
      <c r="D536" s="73" t="s">
        <v>441</v>
      </c>
      <c r="E536" s="74">
        <v>40371.342870370368</v>
      </c>
      <c r="F536" s="74"/>
      <c r="G536" s="75" t="str">
        <f>IF(stdProdLT(Main[[#This Row],[Comments]])=0.1,"N/A",IF(stdProdLT(Main[[#This Row],[Comments]])=0,"",stdProdLT(Main[[#This Row],[Comments]])))</f>
        <v/>
      </c>
      <c r="H536" s="76" t="str">
        <f>IF(AND(Main[[#This Row],[In Stock Date]]&lt;&gt;"",Main[[#This Row],[Revised Due Date]]&lt;&gt;""),Main[[#This Row],[In Stock Date]]-Main[[#This Row],[Revised Due Date]],"")</f>
        <v/>
      </c>
      <c r="I536" s="72" t="s">
        <v>4</v>
      </c>
      <c r="J536" s="72" t="s">
        <v>4</v>
      </c>
      <c r="K536" s="72" t="s">
        <v>4</v>
      </c>
      <c r="L536" s="74"/>
      <c r="M536" s="77" t="str">
        <f>IF(Main[[#This Row],[Tech Start Date]]&lt;1/1/1990,"",IF(Main[[#This Row],[Class]]="C",WORKDAY(Main[[#This Row],[Tech Start Date]],9),IF(Main[[#This Row],[Class]]="B", WORKDAY(Main[[#This Row],[Tech Start Date]],6),IF(Main[[#This Row],[Class]]="A",WORKDAY(Main[[#This Row],[Tech Start Date]],2),""))))</f>
        <v/>
      </c>
      <c r="N536" s="77" t="str">
        <f>IF(Main[[#This Row],[Tech Start Date]]&lt;1/1/1990,"",IF(Main[[#This Row],[Class]]="C",WORKDAY(Main[[#This Row],[Tech Start Date]],19),IF(Main[[#This Row],[Class]]="B", WORKDAY(Main[[#This Row],[Tech Start Date]],12),IF(Main[[#This Row],[Class]]="A",WORKDAY(Main[[#This Row],[Tech Start Date]],4),""))))</f>
        <v/>
      </c>
      <c r="O536" s="77" t="str">
        <f>IF(Main[[#This Row],[Tech Start Date]]&lt;1/1/1990,"",IF(Main[[#This Row],[Class]]="C",WORKDAY(Main[[#This Row],[Tech Start Date]],23),IF(Main[[#This Row],[Class]]="B", WORKDAY(Main[[#This Row],[Tech Start Date]],15),IF(Main[[#This Row],[Class]]="A",WORKDAY(Main[[#This Row],[Tech Start Date]],5),""))))</f>
        <v/>
      </c>
      <c r="P536" s="77" t="str">
        <f>IF(Main[[#This Row],[Tech Start Date]]&lt;1/1/1990,"",IF(Main[[#This Row],[Class]]="C",WORKDAY(Main[[#This Row],[Tech Start Date]],28),IF(Main[[#This Row],[Class]]="B", WORKDAY(Main[[#This Row],[Tech Start Date]],19),IF(Main[[#This Row],[Class]]="A",WORKDAY(Main[[#This Row],[Tech Start Date]],9),""))))</f>
        <v/>
      </c>
      <c r="Q536" s="74">
        <v>40385</v>
      </c>
      <c r="R536" s="74"/>
      <c r="S536" s="72" t="s">
        <v>6</v>
      </c>
      <c r="T536" s="80" t="s">
        <v>4</v>
      </c>
      <c r="U536" s="72" t="s">
        <v>7</v>
      </c>
      <c r="V536" s="72" t="s">
        <v>1917</v>
      </c>
      <c r="W536" s="72" t="s">
        <v>1919</v>
      </c>
      <c r="X536" s="72" t="s">
        <v>102</v>
      </c>
      <c r="Y536" s="72" t="s">
        <v>3038</v>
      </c>
      <c r="Z536" s="72" t="s">
        <v>4</v>
      </c>
      <c r="AA536" s="146" t="s">
        <v>3408</v>
      </c>
    </row>
    <row r="537" spans="1:27" ht="18.600000000000001" customHeight="1">
      <c r="A537" s="139" t="str">
        <f>IF(priority(Main[[#This Row],[Comments]])&lt;&gt;0, priority(Main[[#This Row],[Comments]]),"")</f>
        <v/>
      </c>
      <c r="B537" s="89" t="s">
        <v>1355</v>
      </c>
      <c r="C537" s="72" t="s">
        <v>4</v>
      </c>
      <c r="D537" s="73" t="s">
        <v>442</v>
      </c>
      <c r="E537" s="74">
        <v>40679.250891203701</v>
      </c>
      <c r="F537" s="74"/>
      <c r="G537" s="75" t="str">
        <f>IF(stdProdLT(Main[[#This Row],[Comments]])=0.1,"N/A",IF(stdProdLT(Main[[#This Row],[Comments]])=0,"",stdProdLT(Main[[#This Row],[Comments]])))</f>
        <v/>
      </c>
      <c r="H537" s="76" t="str">
        <f>IF(AND(Main[[#This Row],[In Stock Date]]&lt;&gt;"",Main[[#This Row],[Revised Due Date]]&lt;&gt;""),Main[[#This Row],[In Stock Date]]-Main[[#This Row],[Revised Due Date]],"")</f>
        <v/>
      </c>
      <c r="I537" s="72" t="s">
        <v>4</v>
      </c>
      <c r="J537" s="72" t="s">
        <v>4</v>
      </c>
      <c r="K537" s="72" t="s">
        <v>4</v>
      </c>
      <c r="L537" s="74"/>
      <c r="M537" s="77" t="str">
        <f>IF(Main[[#This Row],[Tech Start Date]]&lt;1/1/1990,"",IF(Main[[#This Row],[Class]]="C",WORKDAY(Main[[#This Row],[Tech Start Date]],9),IF(Main[[#This Row],[Class]]="B", WORKDAY(Main[[#This Row],[Tech Start Date]],6),IF(Main[[#This Row],[Class]]="A",WORKDAY(Main[[#This Row],[Tech Start Date]],2),""))))</f>
        <v/>
      </c>
      <c r="N537" s="77" t="str">
        <f>IF(Main[[#This Row],[Tech Start Date]]&lt;1/1/1990,"",IF(Main[[#This Row],[Class]]="C",WORKDAY(Main[[#This Row],[Tech Start Date]],19),IF(Main[[#This Row],[Class]]="B", WORKDAY(Main[[#This Row],[Tech Start Date]],12),IF(Main[[#This Row],[Class]]="A",WORKDAY(Main[[#This Row],[Tech Start Date]],4),""))))</f>
        <v/>
      </c>
      <c r="O537" s="77" t="str">
        <f>IF(Main[[#This Row],[Tech Start Date]]&lt;1/1/1990,"",IF(Main[[#This Row],[Class]]="C",WORKDAY(Main[[#This Row],[Tech Start Date]],23),IF(Main[[#This Row],[Class]]="B", WORKDAY(Main[[#This Row],[Tech Start Date]],15),IF(Main[[#This Row],[Class]]="A",WORKDAY(Main[[#This Row],[Tech Start Date]],5),""))))</f>
        <v/>
      </c>
      <c r="P537" s="77" t="str">
        <f>IF(Main[[#This Row],[Tech Start Date]]&lt;1/1/1990,"",IF(Main[[#This Row],[Class]]="C",WORKDAY(Main[[#This Row],[Tech Start Date]],28),IF(Main[[#This Row],[Class]]="B", WORKDAY(Main[[#This Row],[Tech Start Date]],19),IF(Main[[#This Row],[Class]]="A",WORKDAY(Main[[#This Row],[Tech Start Date]],9),""))))</f>
        <v/>
      </c>
      <c r="Q537" s="74">
        <v>40724</v>
      </c>
      <c r="R537" s="74"/>
      <c r="S537" s="72" t="s">
        <v>6</v>
      </c>
      <c r="T537" s="80" t="s">
        <v>4</v>
      </c>
      <c r="U537" s="72" t="s">
        <v>7</v>
      </c>
      <c r="V537" s="72" t="s">
        <v>1917</v>
      </c>
      <c r="W537" s="72" t="s">
        <v>4</v>
      </c>
      <c r="X537" s="72" t="s">
        <v>2828</v>
      </c>
      <c r="Y537" s="72" t="s">
        <v>2944</v>
      </c>
      <c r="Z537" s="72" t="s">
        <v>4</v>
      </c>
      <c r="AA537" s="146" t="s">
        <v>2828</v>
      </c>
    </row>
    <row r="538" spans="1:27" ht="18.600000000000001" customHeight="1">
      <c r="A538" s="139" t="str">
        <f>IF(priority(Main[[#This Row],[Comments]])&lt;&gt;0, priority(Main[[#This Row],[Comments]]),"")</f>
        <v/>
      </c>
      <c r="B538" s="89" t="s">
        <v>1356</v>
      </c>
      <c r="C538" s="72" t="s">
        <v>4</v>
      </c>
      <c r="D538" s="73" t="s">
        <v>443</v>
      </c>
      <c r="E538" s="74"/>
      <c r="F538" s="74"/>
      <c r="G538" s="75" t="str">
        <f>IF(stdProdLT(Main[[#This Row],[Comments]])=0.1,"N/A",IF(stdProdLT(Main[[#This Row],[Comments]])=0,"",stdProdLT(Main[[#This Row],[Comments]])))</f>
        <v/>
      </c>
      <c r="H538" s="76" t="str">
        <f>IF(AND(Main[[#This Row],[In Stock Date]]&lt;&gt;"",Main[[#This Row],[Revised Due Date]]&lt;&gt;""),Main[[#This Row],[In Stock Date]]-Main[[#This Row],[Revised Due Date]],"")</f>
        <v/>
      </c>
      <c r="I538" s="72" t="s">
        <v>4</v>
      </c>
      <c r="J538" s="72" t="s">
        <v>4</v>
      </c>
      <c r="K538" s="72" t="s">
        <v>4</v>
      </c>
      <c r="L538" s="74"/>
      <c r="M538" s="77" t="str">
        <f>IF(Main[[#This Row],[Tech Start Date]]&lt;1/1/1990,"",IF(Main[[#This Row],[Class]]="C",WORKDAY(Main[[#This Row],[Tech Start Date]],9),IF(Main[[#This Row],[Class]]="B", WORKDAY(Main[[#This Row],[Tech Start Date]],6),IF(Main[[#This Row],[Class]]="A",WORKDAY(Main[[#This Row],[Tech Start Date]],2),""))))</f>
        <v/>
      </c>
      <c r="N538" s="77" t="str">
        <f>IF(Main[[#This Row],[Tech Start Date]]&lt;1/1/1990,"",IF(Main[[#This Row],[Class]]="C",WORKDAY(Main[[#This Row],[Tech Start Date]],19),IF(Main[[#This Row],[Class]]="B", WORKDAY(Main[[#This Row],[Tech Start Date]],12),IF(Main[[#This Row],[Class]]="A",WORKDAY(Main[[#This Row],[Tech Start Date]],4),""))))</f>
        <v/>
      </c>
      <c r="O538" s="77" t="str">
        <f>IF(Main[[#This Row],[Tech Start Date]]&lt;1/1/1990,"",IF(Main[[#This Row],[Class]]="C",WORKDAY(Main[[#This Row],[Tech Start Date]],23),IF(Main[[#This Row],[Class]]="B", WORKDAY(Main[[#This Row],[Tech Start Date]],15),IF(Main[[#This Row],[Class]]="A",WORKDAY(Main[[#This Row],[Tech Start Date]],5),""))))</f>
        <v/>
      </c>
      <c r="P538" s="77" t="str">
        <f>IF(Main[[#This Row],[Tech Start Date]]&lt;1/1/1990,"",IF(Main[[#This Row],[Class]]="C",WORKDAY(Main[[#This Row],[Tech Start Date]],28),IF(Main[[#This Row],[Class]]="B", WORKDAY(Main[[#This Row],[Tech Start Date]],19),IF(Main[[#This Row],[Class]]="A",WORKDAY(Main[[#This Row],[Tech Start Date]],9),""))))</f>
        <v/>
      </c>
      <c r="Q538" s="74"/>
      <c r="R538" s="74"/>
      <c r="S538" s="72" t="s">
        <v>11</v>
      </c>
      <c r="T538" s="80" t="s">
        <v>4</v>
      </c>
      <c r="U538" s="72" t="s">
        <v>14</v>
      </c>
      <c r="V538" s="72" t="s">
        <v>1927</v>
      </c>
      <c r="W538" s="72" t="s">
        <v>1923</v>
      </c>
      <c r="X538" s="72" t="s">
        <v>2874</v>
      </c>
      <c r="Y538" s="72" t="s">
        <v>3042</v>
      </c>
      <c r="Z538" s="72" t="s">
        <v>4</v>
      </c>
      <c r="AA538" s="146" t="s">
        <v>2874</v>
      </c>
    </row>
    <row r="539" spans="1:27" ht="18.600000000000001" customHeight="1">
      <c r="A539" s="139" t="str">
        <f>IF(priority(Main[[#This Row],[Comments]])&lt;&gt;0, priority(Main[[#This Row],[Comments]]),"")</f>
        <v/>
      </c>
      <c r="B539" s="89" t="s">
        <v>1357</v>
      </c>
      <c r="C539" s="72" t="s">
        <v>436</v>
      </c>
      <c r="D539" s="73" t="s">
        <v>444</v>
      </c>
      <c r="E539" s="74"/>
      <c r="F539" s="74"/>
      <c r="G539" s="75" t="str">
        <f>IF(stdProdLT(Main[[#This Row],[Comments]])=0.1,"N/A",IF(stdProdLT(Main[[#This Row],[Comments]])=0,"",stdProdLT(Main[[#This Row],[Comments]])))</f>
        <v/>
      </c>
      <c r="H539" s="76" t="str">
        <f>IF(AND(Main[[#This Row],[In Stock Date]]&lt;&gt;"",Main[[#This Row],[Revised Due Date]]&lt;&gt;""),Main[[#This Row],[In Stock Date]]-Main[[#This Row],[Revised Due Date]],"")</f>
        <v/>
      </c>
      <c r="I539" s="72" t="s">
        <v>4</v>
      </c>
      <c r="J539" s="72" t="s">
        <v>4</v>
      </c>
      <c r="K539" s="72" t="s">
        <v>4</v>
      </c>
      <c r="L539" s="74"/>
      <c r="M539" s="77" t="str">
        <f>IF(Main[[#This Row],[Tech Start Date]]&lt;1/1/1990,"",IF(Main[[#This Row],[Class]]="C",WORKDAY(Main[[#This Row],[Tech Start Date]],9),IF(Main[[#This Row],[Class]]="B", WORKDAY(Main[[#This Row],[Tech Start Date]],6),IF(Main[[#This Row],[Class]]="A",WORKDAY(Main[[#This Row],[Tech Start Date]],2),""))))</f>
        <v/>
      </c>
      <c r="N539" s="77" t="str">
        <f>IF(Main[[#This Row],[Tech Start Date]]&lt;1/1/1990,"",IF(Main[[#This Row],[Class]]="C",WORKDAY(Main[[#This Row],[Tech Start Date]],19),IF(Main[[#This Row],[Class]]="B", WORKDAY(Main[[#This Row],[Tech Start Date]],12),IF(Main[[#This Row],[Class]]="A",WORKDAY(Main[[#This Row],[Tech Start Date]],4),""))))</f>
        <v/>
      </c>
      <c r="O539" s="77" t="str">
        <f>IF(Main[[#This Row],[Tech Start Date]]&lt;1/1/1990,"",IF(Main[[#This Row],[Class]]="C",WORKDAY(Main[[#This Row],[Tech Start Date]],23),IF(Main[[#This Row],[Class]]="B", WORKDAY(Main[[#This Row],[Tech Start Date]],15),IF(Main[[#This Row],[Class]]="A",WORKDAY(Main[[#This Row],[Tech Start Date]],5),""))))</f>
        <v/>
      </c>
      <c r="P539" s="77" t="str">
        <f>IF(Main[[#This Row],[Tech Start Date]]&lt;1/1/1990,"",IF(Main[[#This Row],[Class]]="C",WORKDAY(Main[[#This Row],[Tech Start Date]],28),IF(Main[[#This Row],[Class]]="B", WORKDAY(Main[[#This Row],[Tech Start Date]],19),IF(Main[[#This Row],[Class]]="A",WORKDAY(Main[[#This Row],[Tech Start Date]],9),""))))</f>
        <v/>
      </c>
      <c r="Q539" s="74"/>
      <c r="R539" s="74"/>
      <c r="S539" s="72" t="s">
        <v>11</v>
      </c>
      <c r="T539" s="80" t="s">
        <v>4</v>
      </c>
      <c r="U539" s="72" t="s">
        <v>14</v>
      </c>
      <c r="V539" s="72" t="s">
        <v>1918</v>
      </c>
      <c r="W539" s="72" t="s">
        <v>1925</v>
      </c>
      <c r="X539" s="72" t="s">
        <v>2833</v>
      </c>
      <c r="Y539" s="72" t="s">
        <v>2954</v>
      </c>
      <c r="Z539" s="72" t="s">
        <v>4</v>
      </c>
      <c r="AA539" s="146" t="s">
        <v>2833</v>
      </c>
    </row>
    <row r="540" spans="1:27" ht="18.600000000000001" customHeight="1">
      <c r="A540" s="139" t="str">
        <f>IF(priority(Main[[#This Row],[Comments]])&lt;&gt;0, priority(Main[[#This Row],[Comments]]),"")</f>
        <v/>
      </c>
      <c r="B540" s="89" t="s">
        <v>1358</v>
      </c>
      <c r="C540" s="72" t="s">
        <v>47</v>
      </c>
      <c r="D540" s="73" t="s">
        <v>445</v>
      </c>
      <c r="E540" s="74"/>
      <c r="F540" s="74"/>
      <c r="G540" s="75" t="str">
        <f>IF(stdProdLT(Main[[#This Row],[Comments]])=0.1,"N/A",IF(stdProdLT(Main[[#This Row],[Comments]])=0,"",stdProdLT(Main[[#This Row],[Comments]])))</f>
        <v/>
      </c>
      <c r="H540" s="76" t="str">
        <f>IF(AND(Main[[#This Row],[In Stock Date]]&lt;&gt;"",Main[[#This Row],[Revised Due Date]]&lt;&gt;""),Main[[#This Row],[In Stock Date]]-Main[[#This Row],[Revised Due Date]],"")</f>
        <v/>
      </c>
      <c r="I540" s="72" t="s">
        <v>4</v>
      </c>
      <c r="J540" s="72" t="s">
        <v>4</v>
      </c>
      <c r="K540" s="72" t="s">
        <v>4</v>
      </c>
      <c r="L540" s="74"/>
      <c r="M540" s="77" t="str">
        <f>IF(Main[[#This Row],[Tech Start Date]]&lt;1/1/1990,"",IF(Main[[#This Row],[Class]]="C",WORKDAY(Main[[#This Row],[Tech Start Date]],9),IF(Main[[#This Row],[Class]]="B", WORKDAY(Main[[#This Row],[Tech Start Date]],6),IF(Main[[#This Row],[Class]]="A",WORKDAY(Main[[#This Row],[Tech Start Date]],2),""))))</f>
        <v/>
      </c>
      <c r="N540" s="77" t="str">
        <f>IF(Main[[#This Row],[Tech Start Date]]&lt;1/1/1990,"",IF(Main[[#This Row],[Class]]="C",WORKDAY(Main[[#This Row],[Tech Start Date]],19),IF(Main[[#This Row],[Class]]="B", WORKDAY(Main[[#This Row],[Tech Start Date]],12),IF(Main[[#This Row],[Class]]="A",WORKDAY(Main[[#This Row],[Tech Start Date]],4),""))))</f>
        <v/>
      </c>
      <c r="O540" s="77" t="str">
        <f>IF(Main[[#This Row],[Tech Start Date]]&lt;1/1/1990,"",IF(Main[[#This Row],[Class]]="C",WORKDAY(Main[[#This Row],[Tech Start Date]],23),IF(Main[[#This Row],[Class]]="B", WORKDAY(Main[[#This Row],[Tech Start Date]],15),IF(Main[[#This Row],[Class]]="A",WORKDAY(Main[[#This Row],[Tech Start Date]],5),""))))</f>
        <v/>
      </c>
      <c r="P540" s="77" t="str">
        <f>IF(Main[[#This Row],[Tech Start Date]]&lt;1/1/1990,"",IF(Main[[#This Row],[Class]]="C",WORKDAY(Main[[#This Row],[Tech Start Date]],28),IF(Main[[#This Row],[Class]]="B", WORKDAY(Main[[#This Row],[Tech Start Date]],19),IF(Main[[#This Row],[Class]]="A",WORKDAY(Main[[#This Row],[Tech Start Date]],9),""))))</f>
        <v/>
      </c>
      <c r="Q540" s="74"/>
      <c r="R540" s="74"/>
      <c r="S540" s="72" t="s">
        <v>49</v>
      </c>
      <c r="T540" s="80" t="s">
        <v>4</v>
      </c>
      <c r="U540" s="72" t="s">
        <v>14</v>
      </c>
      <c r="V540" s="72" t="s">
        <v>1920</v>
      </c>
      <c r="W540" s="72" t="s">
        <v>1921</v>
      </c>
      <c r="X540" s="72" t="s">
        <v>306</v>
      </c>
      <c r="Y540" s="72" t="s">
        <v>2947</v>
      </c>
      <c r="Z540" s="72" t="s">
        <v>4</v>
      </c>
      <c r="AA540" s="146" t="s">
        <v>3388</v>
      </c>
    </row>
    <row r="541" spans="1:27" ht="18.600000000000001" customHeight="1">
      <c r="A541" s="139" t="str">
        <f>IF(priority(Main[[#This Row],[Comments]])&lt;&gt;0, priority(Main[[#This Row],[Comments]]),"")</f>
        <v/>
      </c>
      <c r="B541" s="89" t="s">
        <v>1359</v>
      </c>
      <c r="C541" s="72" t="s">
        <v>47</v>
      </c>
      <c r="D541" s="73" t="s">
        <v>446</v>
      </c>
      <c r="E541" s="74">
        <v>40323.347812499997</v>
      </c>
      <c r="F541" s="74"/>
      <c r="G541" s="75" t="str">
        <f>IF(stdProdLT(Main[[#This Row],[Comments]])=0.1,"N/A",IF(stdProdLT(Main[[#This Row],[Comments]])=0,"",stdProdLT(Main[[#This Row],[Comments]])))</f>
        <v/>
      </c>
      <c r="H541" s="76" t="str">
        <f>IF(AND(Main[[#This Row],[In Stock Date]]&lt;&gt;"",Main[[#This Row],[Revised Due Date]]&lt;&gt;""),Main[[#This Row],[In Stock Date]]-Main[[#This Row],[Revised Due Date]],"")</f>
        <v/>
      </c>
      <c r="I541" s="72" t="s">
        <v>129</v>
      </c>
      <c r="J541" s="72" t="s">
        <v>4</v>
      </c>
      <c r="K541" s="72" t="s">
        <v>4</v>
      </c>
      <c r="L541" s="74"/>
      <c r="M541" s="77" t="str">
        <f>IF(Main[[#This Row],[Tech Start Date]]&lt;1/1/1990,"",IF(Main[[#This Row],[Class]]="C",WORKDAY(Main[[#This Row],[Tech Start Date]],9),IF(Main[[#This Row],[Class]]="B", WORKDAY(Main[[#This Row],[Tech Start Date]],6),IF(Main[[#This Row],[Class]]="A",WORKDAY(Main[[#This Row],[Tech Start Date]],2),""))))</f>
        <v/>
      </c>
      <c r="N541" s="77" t="str">
        <f>IF(Main[[#This Row],[Tech Start Date]]&lt;1/1/1990,"",IF(Main[[#This Row],[Class]]="C",WORKDAY(Main[[#This Row],[Tech Start Date]],19),IF(Main[[#This Row],[Class]]="B", WORKDAY(Main[[#This Row],[Tech Start Date]],12),IF(Main[[#This Row],[Class]]="A",WORKDAY(Main[[#This Row],[Tech Start Date]],4),""))))</f>
        <v/>
      </c>
      <c r="O541" s="77" t="str">
        <f>IF(Main[[#This Row],[Tech Start Date]]&lt;1/1/1990,"",IF(Main[[#This Row],[Class]]="C",WORKDAY(Main[[#This Row],[Tech Start Date]],23),IF(Main[[#This Row],[Class]]="B", WORKDAY(Main[[#This Row],[Tech Start Date]],15),IF(Main[[#This Row],[Class]]="A",WORKDAY(Main[[#This Row],[Tech Start Date]],5),""))))</f>
        <v/>
      </c>
      <c r="P541" s="77" t="str">
        <f>IF(Main[[#This Row],[Tech Start Date]]&lt;1/1/1990,"",IF(Main[[#This Row],[Class]]="C",WORKDAY(Main[[#This Row],[Tech Start Date]],28),IF(Main[[#This Row],[Class]]="B", WORKDAY(Main[[#This Row],[Tech Start Date]],19),IF(Main[[#This Row],[Class]]="A",WORKDAY(Main[[#This Row],[Tech Start Date]],9),""))))</f>
        <v/>
      </c>
      <c r="Q541" s="74">
        <v>40340</v>
      </c>
      <c r="R541" s="74"/>
      <c r="S541" s="72" t="s">
        <v>6</v>
      </c>
      <c r="T541" s="80" t="s">
        <v>4</v>
      </c>
      <c r="U541" s="72" t="s">
        <v>29</v>
      </c>
      <c r="V541" s="72" t="s">
        <v>1917</v>
      </c>
      <c r="W541" s="72" t="s">
        <v>1921</v>
      </c>
      <c r="X541" s="72" t="s">
        <v>306</v>
      </c>
      <c r="Y541" s="72" t="s">
        <v>4</v>
      </c>
      <c r="Z541" s="72" t="s">
        <v>129</v>
      </c>
      <c r="AA541" s="146" t="s">
        <v>3422</v>
      </c>
    </row>
    <row r="542" spans="1:27" ht="18.600000000000001" customHeight="1">
      <c r="A542" s="139" t="str">
        <f>IF(priority(Main[[#This Row],[Comments]])&lt;&gt;0, priority(Main[[#This Row],[Comments]]),"")</f>
        <v/>
      </c>
      <c r="B542" s="89" t="s">
        <v>1360</v>
      </c>
      <c r="C542" s="72" t="s">
        <v>31</v>
      </c>
      <c r="D542" s="73" t="s">
        <v>447</v>
      </c>
      <c r="E542" s="74"/>
      <c r="F542" s="74"/>
      <c r="G542" s="75" t="str">
        <f>IF(stdProdLT(Main[[#This Row],[Comments]])=0.1,"N/A",IF(stdProdLT(Main[[#This Row],[Comments]])=0,"",stdProdLT(Main[[#This Row],[Comments]])))</f>
        <v/>
      </c>
      <c r="H542" s="76" t="str">
        <f>IF(AND(Main[[#This Row],[In Stock Date]]&lt;&gt;"",Main[[#This Row],[Revised Due Date]]&lt;&gt;""),Main[[#This Row],[In Stock Date]]-Main[[#This Row],[Revised Due Date]],"")</f>
        <v/>
      </c>
      <c r="I542" s="72" t="s">
        <v>4</v>
      </c>
      <c r="J542" s="72" t="s">
        <v>4</v>
      </c>
      <c r="K542" s="81" t="s">
        <v>4</v>
      </c>
      <c r="L542" s="74"/>
      <c r="M542" s="77" t="str">
        <f>IF(Main[[#This Row],[Tech Start Date]]&lt;1/1/1990,"",IF(Main[[#This Row],[Class]]="C",WORKDAY(Main[[#This Row],[Tech Start Date]],9),IF(Main[[#This Row],[Class]]="B", WORKDAY(Main[[#This Row],[Tech Start Date]],6),IF(Main[[#This Row],[Class]]="A",WORKDAY(Main[[#This Row],[Tech Start Date]],2),""))))</f>
        <v/>
      </c>
      <c r="N542" s="77" t="str">
        <f>IF(Main[[#This Row],[Tech Start Date]]&lt;1/1/1990,"",IF(Main[[#This Row],[Class]]="C",WORKDAY(Main[[#This Row],[Tech Start Date]],19),IF(Main[[#This Row],[Class]]="B", WORKDAY(Main[[#This Row],[Tech Start Date]],12),IF(Main[[#This Row],[Class]]="A",WORKDAY(Main[[#This Row],[Tech Start Date]],4),""))))</f>
        <v/>
      </c>
      <c r="O542" s="77" t="str">
        <f>IF(Main[[#This Row],[Tech Start Date]]&lt;1/1/1990,"",IF(Main[[#This Row],[Class]]="C",WORKDAY(Main[[#This Row],[Tech Start Date]],23),IF(Main[[#This Row],[Class]]="B", WORKDAY(Main[[#This Row],[Tech Start Date]],15),IF(Main[[#This Row],[Class]]="A",WORKDAY(Main[[#This Row],[Tech Start Date]],5),""))))</f>
        <v/>
      </c>
      <c r="P542" s="77" t="str">
        <f>IF(Main[[#This Row],[Tech Start Date]]&lt;1/1/1990,"",IF(Main[[#This Row],[Class]]="C",WORKDAY(Main[[#This Row],[Tech Start Date]],28),IF(Main[[#This Row],[Class]]="B", WORKDAY(Main[[#This Row],[Tech Start Date]],19),IF(Main[[#This Row],[Class]]="A",WORKDAY(Main[[#This Row],[Tech Start Date]],9),""))))</f>
        <v/>
      </c>
      <c r="Q542" s="74">
        <v>40318</v>
      </c>
      <c r="R542" s="74"/>
      <c r="S542" s="72" t="s">
        <v>11</v>
      </c>
      <c r="T542" s="80" t="s">
        <v>4</v>
      </c>
      <c r="U542" s="72" t="s">
        <v>14</v>
      </c>
      <c r="V542" s="72" t="s">
        <v>1920</v>
      </c>
      <c r="W542" s="72" t="s">
        <v>1928</v>
      </c>
      <c r="X542" s="72" t="s">
        <v>2836</v>
      </c>
      <c r="Y542" s="72" t="s">
        <v>4</v>
      </c>
      <c r="Z542" s="72" t="s">
        <v>4</v>
      </c>
      <c r="AA542" s="146" t="s">
        <v>2836</v>
      </c>
    </row>
    <row r="543" spans="1:27" ht="18.600000000000001" customHeight="1">
      <c r="A543" s="139" t="str">
        <f>IF(priority(Main[[#This Row],[Comments]])&lt;&gt;0, priority(Main[[#This Row],[Comments]]),"")</f>
        <v/>
      </c>
      <c r="B543" s="89" t="s">
        <v>1361</v>
      </c>
      <c r="C543" s="72" t="s">
        <v>31</v>
      </c>
      <c r="D543" s="73" t="s">
        <v>448</v>
      </c>
      <c r="E543" s="74"/>
      <c r="F543" s="74"/>
      <c r="G543" s="75" t="str">
        <f>IF(stdProdLT(Main[[#This Row],[Comments]])=0.1,"N/A",IF(stdProdLT(Main[[#This Row],[Comments]])=0,"",stdProdLT(Main[[#This Row],[Comments]])))</f>
        <v/>
      </c>
      <c r="H543" s="76" t="str">
        <f>IF(AND(Main[[#This Row],[In Stock Date]]&lt;&gt;"",Main[[#This Row],[Revised Due Date]]&lt;&gt;""),Main[[#This Row],[In Stock Date]]-Main[[#This Row],[Revised Due Date]],"")</f>
        <v/>
      </c>
      <c r="I543" s="72" t="s">
        <v>4</v>
      </c>
      <c r="J543" s="72" t="s">
        <v>4</v>
      </c>
      <c r="K543" s="72" t="s">
        <v>4</v>
      </c>
      <c r="L543" s="74"/>
      <c r="M543" s="77" t="str">
        <f>IF(Main[[#This Row],[Tech Start Date]]&lt;1/1/1990,"",IF(Main[[#This Row],[Class]]="C",WORKDAY(Main[[#This Row],[Tech Start Date]],9),IF(Main[[#This Row],[Class]]="B", WORKDAY(Main[[#This Row],[Tech Start Date]],6),IF(Main[[#This Row],[Class]]="A",WORKDAY(Main[[#This Row],[Tech Start Date]],2),""))))</f>
        <v/>
      </c>
      <c r="N543" s="77" t="str">
        <f>IF(Main[[#This Row],[Tech Start Date]]&lt;1/1/1990,"",IF(Main[[#This Row],[Class]]="C",WORKDAY(Main[[#This Row],[Tech Start Date]],19),IF(Main[[#This Row],[Class]]="B", WORKDAY(Main[[#This Row],[Tech Start Date]],12),IF(Main[[#This Row],[Class]]="A",WORKDAY(Main[[#This Row],[Tech Start Date]],4),""))))</f>
        <v/>
      </c>
      <c r="O543" s="77" t="str">
        <f>IF(Main[[#This Row],[Tech Start Date]]&lt;1/1/1990,"",IF(Main[[#This Row],[Class]]="C",WORKDAY(Main[[#This Row],[Tech Start Date]],23),IF(Main[[#This Row],[Class]]="B", WORKDAY(Main[[#This Row],[Tech Start Date]],15),IF(Main[[#This Row],[Class]]="A",WORKDAY(Main[[#This Row],[Tech Start Date]],5),""))))</f>
        <v/>
      </c>
      <c r="P543" s="77" t="str">
        <f>IF(Main[[#This Row],[Tech Start Date]]&lt;1/1/1990,"",IF(Main[[#This Row],[Class]]="C",WORKDAY(Main[[#This Row],[Tech Start Date]],28),IF(Main[[#This Row],[Class]]="B", WORKDAY(Main[[#This Row],[Tech Start Date]],19),IF(Main[[#This Row],[Class]]="A",WORKDAY(Main[[#This Row],[Tech Start Date]],9),""))))</f>
        <v/>
      </c>
      <c r="Q543" s="74">
        <v>40318</v>
      </c>
      <c r="R543" s="74"/>
      <c r="S543" s="72" t="s">
        <v>11</v>
      </c>
      <c r="T543" s="80" t="s">
        <v>4</v>
      </c>
      <c r="U543" s="72" t="s">
        <v>14</v>
      </c>
      <c r="V543" s="72" t="s">
        <v>1920</v>
      </c>
      <c r="W543" s="72" t="s">
        <v>1928</v>
      </c>
      <c r="X543" s="72" t="s">
        <v>2836</v>
      </c>
      <c r="Y543" s="72" t="s">
        <v>4</v>
      </c>
      <c r="Z543" s="72" t="s">
        <v>4</v>
      </c>
      <c r="AA543" s="146" t="s">
        <v>2836</v>
      </c>
    </row>
    <row r="544" spans="1:27" ht="18.600000000000001" customHeight="1">
      <c r="A544" s="139" t="str">
        <f>IF(priority(Main[[#This Row],[Comments]])&lt;&gt;0, priority(Main[[#This Row],[Comments]]),"")</f>
        <v/>
      </c>
      <c r="B544" s="89" t="s">
        <v>1362</v>
      </c>
      <c r="C544" s="72" t="s">
        <v>275</v>
      </c>
      <c r="D544" s="73" t="s">
        <v>449</v>
      </c>
      <c r="E544" s="74"/>
      <c r="F544" s="74">
        <v>40444</v>
      </c>
      <c r="G544" s="75" t="str">
        <f>IF(stdProdLT(Main[[#This Row],[Comments]])=0.1,"N/A",IF(stdProdLT(Main[[#This Row],[Comments]])=0,"",stdProdLT(Main[[#This Row],[Comments]])))</f>
        <v/>
      </c>
      <c r="H544" s="76" t="str">
        <f>IF(AND(Main[[#This Row],[In Stock Date]]&lt;&gt;"",Main[[#This Row],[Revised Due Date]]&lt;&gt;""),Main[[#This Row],[In Stock Date]]-Main[[#This Row],[Revised Due Date]],"")</f>
        <v/>
      </c>
      <c r="I544" s="72" t="s">
        <v>4</v>
      </c>
      <c r="J544" s="72" t="s">
        <v>4</v>
      </c>
      <c r="K544" s="72" t="s">
        <v>4</v>
      </c>
      <c r="L544" s="74"/>
      <c r="M544" s="77" t="str">
        <f>IF(Main[[#This Row],[Tech Start Date]]&lt;1/1/1990,"",IF(Main[[#This Row],[Class]]="C",WORKDAY(Main[[#This Row],[Tech Start Date]],9),IF(Main[[#This Row],[Class]]="B", WORKDAY(Main[[#This Row],[Tech Start Date]],6),IF(Main[[#This Row],[Class]]="A",WORKDAY(Main[[#This Row],[Tech Start Date]],2),""))))</f>
        <v/>
      </c>
      <c r="N544" s="77" t="str">
        <f>IF(Main[[#This Row],[Tech Start Date]]&lt;1/1/1990,"",IF(Main[[#This Row],[Class]]="C",WORKDAY(Main[[#This Row],[Tech Start Date]],19),IF(Main[[#This Row],[Class]]="B", WORKDAY(Main[[#This Row],[Tech Start Date]],12),IF(Main[[#This Row],[Class]]="A",WORKDAY(Main[[#This Row],[Tech Start Date]],4),""))))</f>
        <v/>
      </c>
      <c r="O544" s="77" t="str">
        <f>IF(Main[[#This Row],[Tech Start Date]]&lt;1/1/1990,"",IF(Main[[#This Row],[Class]]="C",WORKDAY(Main[[#This Row],[Tech Start Date]],23),IF(Main[[#This Row],[Class]]="B", WORKDAY(Main[[#This Row],[Tech Start Date]],15),IF(Main[[#This Row],[Class]]="A",WORKDAY(Main[[#This Row],[Tech Start Date]],5),""))))</f>
        <v/>
      </c>
      <c r="P544" s="77" t="str">
        <f>IF(Main[[#This Row],[Tech Start Date]]&lt;1/1/1990,"",IF(Main[[#This Row],[Class]]="C",WORKDAY(Main[[#This Row],[Tech Start Date]],28),IF(Main[[#This Row],[Class]]="B", WORKDAY(Main[[#This Row],[Tech Start Date]],19),IF(Main[[#This Row],[Class]]="A",WORKDAY(Main[[#This Row],[Tech Start Date]],9),""))))</f>
        <v/>
      </c>
      <c r="Q544" s="74">
        <v>40262</v>
      </c>
      <c r="R544" s="74"/>
      <c r="S544" s="72" t="s">
        <v>17</v>
      </c>
      <c r="T544" s="80" t="s">
        <v>4</v>
      </c>
      <c r="U544" s="72" t="s">
        <v>14</v>
      </c>
      <c r="V544" s="72" t="s">
        <v>1920</v>
      </c>
      <c r="W544" s="72" t="s">
        <v>1922</v>
      </c>
      <c r="X544" s="72" t="s">
        <v>306</v>
      </c>
      <c r="Y544" s="72" t="s">
        <v>4</v>
      </c>
      <c r="Z544" s="72" t="s">
        <v>4</v>
      </c>
      <c r="AA544" s="146" t="s">
        <v>65</v>
      </c>
    </row>
    <row r="545" spans="1:27" ht="18.600000000000001" customHeight="1">
      <c r="A545" s="139" t="str">
        <f>IF(priority(Main[[#This Row],[Comments]])&lt;&gt;0, priority(Main[[#This Row],[Comments]]),"")</f>
        <v/>
      </c>
      <c r="B545" s="89" t="s">
        <v>1363</v>
      </c>
      <c r="C545" s="72" t="s">
        <v>67</v>
      </c>
      <c r="D545" s="73" t="s">
        <v>450</v>
      </c>
      <c r="E545" s="74"/>
      <c r="F545" s="74"/>
      <c r="G545" s="75" t="str">
        <f>IF(stdProdLT(Main[[#This Row],[Comments]])=0.1,"N/A",IF(stdProdLT(Main[[#This Row],[Comments]])=0,"",stdProdLT(Main[[#This Row],[Comments]])))</f>
        <v/>
      </c>
      <c r="H545" s="76" t="str">
        <f>IF(AND(Main[[#This Row],[In Stock Date]]&lt;&gt;"",Main[[#This Row],[Revised Due Date]]&lt;&gt;""),Main[[#This Row],[In Stock Date]]-Main[[#This Row],[Revised Due Date]],"")</f>
        <v/>
      </c>
      <c r="I545" s="72" t="s">
        <v>4</v>
      </c>
      <c r="J545" s="72" t="s">
        <v>4</v>
      </c>
      <c r="K545" s="72" t="s">
        <v>4</v>
      </c>
      <c r="L545" s="74"/>
      <c r="M545" s="77" t="str">
        <f>IF(Main[[#This Row],[Tech Start Date]]&lt;1/1/1990,"",IF(Main[[#This Row],[Class]]="C",WORKDAY(Main[[#This Row],[Tech Start Date]],9),IF(Main[[#This Row],[Class]]="B", WORKDAY(Main[[#This Row],[Tech Start Date]],6),IF(Main[[#This Row],[Class]]="A",WORKDAY(Main[[#This Row],[Tech Start Date]],2),""))))</f>
        <v/>
      </c>
      <c r="N545" s="77" t="str">
        <f>IF(Main[[#This Row],[Tech Start Date]]&lt;1/1/1990,"",IF(Main[[#This Row],[Class]]="C",WORKDAY(Main[[#This Row],[Tech Start Date]],19),IF(Main[[#This Row],[Class]]="B", WORKDAY(Main[[#This Row],[Tech Start Date]],12),IF(Main[[#This Row],[Class]]="A",WORKDAY(Main[[#This Row],[Tech Start Date]],4),""))))</f>
        <v/>
      </c>
      <c r="O545" s="77" t="str">
        <f>IF(Main[[#This Row],[Tech Start Date]]&lt;1/1/1990,"",IF(Main[[#This Row],[Class]]="C",WORKDAY(Main[[#This Row],[Tech Start Date]],23),IF(Main[[#This Row],[Class]]="B", WORKDAY(Main[[#This Row],[Tech Start Date]],15),IF(Main[[#This Row],[Class]]="A",WORKDAY(Main[[#This Row],[Tech Start Date]],5),""))))</f>
        <v/>
      </c>
      <c r="P545" s="77" t="str">
        <f>IF(Main[[#This Row],[Tech Start Date]]&lt;1/1/1990,"",IF(Main[[#This Row],[Class]]="C",WORKDAY(Main[[#This Row],[Tech Start Date]],28),IF(Main[[#This Row],[Class]]="B", WORKDAY(Main[[#This Row],[Tech Start Date]],19),IF(Main[[#This Row],[Class]]="A",WORKDAY(Main[[#This Row],[Tech Start Date]],9),""))))</f>
        <v/>
      </c>
      <c r="Q545" s="74"/>
      <c r="R545" s="74"/>
      <c r="S545" s="72" t="s">
        <v>11</v>
      </c>
      <c r="T545" s="80" t="s">
        <v>4</v>
      </c>
      <c r="U545" s="72" t="s">
        <v>12</v>
      </c>
      <c r="V545" s="72" t="s">
        <v>1918</v>
      </c>
      <c r="W545" s="72" t="s">
        <v>1925</v>
      </c>
      <c r="X545" s="72" t="s">
        <v>2868</v>
      </c>
      <c r="Y545" s="72" t="s">
        <v>3012</v>
      </c>
      <c r="Z545" s="72" t="s">
        <v>4</v>
      </c>
      <c r="AA545" s="146" t="s">
        <v>2868</v>
      </c>
    </row>
    <row r="546" spans="1:27" ht="18.600000000000001" customHeight="1">
      <c r="A546" s="139" t="str">
        <f>IF(priority(Main[[#This Row],[Comments]])&lt;&gt;0, priority(Main[[#This Row],[Comments]]),"")</f>
        <v/>
      </c>
      <c r="B546" s="89" t="s">
        <v>1364</v>
      </c>
      <c r="C546" s="72" t="s">
        <v>83</v>
      </c>
      <c r="D546" s="73" t="s">
        <v>451</v>
      </c>
      <c r="E546" s="74"/>
      <c r="F546" s="74"/>
      <c r="G546" s="75" t="str">
        <f>IF(stdProdLT(Main[[#This Row],[Comments]])=0.1,"N/A",IF(stdProdLT(Main[[#This Row],[Comments]])=0,"",stdProdLT(Main[[#This Row],[Comments]])))</f>
        <v/>
      </c>
      <c r="H546" s="76" t="str">
        <f>IF(AND(Main[[#This Row],[In Stock Date]]&lt;&gt;"",Main[[#This Row],[Revised Due Date]]&lt;&gt;""),Main[[#This Row],[In Stock Date]]-Main[[#This Row],[Revised Due Date]],"")</f>
        <v/>
      </c>
      <c r="I546" s="72" t="s">
        <v>4</v>
      </c>
      <c r="J546" s="72" t="s">
        <v>4</v>
      </c>
      <c r="K546" s="72" t="s">
        <v>4</v>
      </c>
      <c r="L546" s="74"/>
      <c r="M546" s="77" t="str">
        <f>IF(Main[[#This Row],[Tech Start Date]]&lt;1/1/1990,"",IF(Main[[#This Row],[Class]]="C",WORKDAY(Main[[#This Row],[Tech Start Date]],9),IF(Main[[#This Row],[Class]]="B", WORKDAY(Main[[#This Row],[Tech Start Date]],6),IF(Main[[#This Row],[Class]]="A",WORKDAY(Main[[#This Row],[Tech Start Date]],2),""))))</f>
        <v/>
      </c>
      <c r="N546" s="77" t="str">
        <f>IF(Main[[#This Row],[Tech Start Date]]&lt;1/1/1990,"",IF(Main[[#This Row],[Class]]="C",WORKDAY(Main[[#This Row],[Tech Start Date]],19),IF(Main[[#This Row],[Class]]="B", WORKDAY(Main[[#This Row],[Tech Start Date]],12),IF(Main[[#This Row],[Class]]="A",WORKDAY(Main[[#This Row],[Tech Start Date]],4),""))))</f>
        <v/>
      </c>
      <c r="O546" s="77" t="str">
        <f>IF(Main[[#This Row],[Tech Start Date]]&lt;1/1/1990,"",IF(Main[[#This Row],[Class]]="C",WORKDAY(Main[[#This Row],[Tech Start Date]],23),IF(Main[[#This Row],[Class]]="B", WORKDAY(Main[[#This Row],[Tech Start Date]],15),IF(Main[[#This Row],[Class]]="A",WORKDAY(Main[[#This Row],[Tech Start Date]],5),""))))</f>
        <v/>
      </c>
      <c r="P546" s="77" t="str">
        <f>IF(Main[[#This Row],[Tech Start Date]]&lt;1/1/1990,"",IF(Main[[#This Row],[Class]]="C",WORKDAY(Main[[#This Row],[Tech Start Date]],28),IF(Main[[#This Row],[Class]]="B", WORKDAY(Main[[#This Row],[Tech Start Date]],19),IF(Main[[#This Row],[Class]]="A",WORKDAY(Main[[#This Row],[Tech Start Date]],9),""))))</f>
        <v/>
      </c>
      <c r="Q546" s="74">
        <v>40252</v>
      </c>
      <c r="R546" s="154"/>
      <c r="S546" s="72" t="s">
        <v>11</v>
      </c>
      <c r="T546" s="80" t="s">
        <v>4</v>
      </c>
      <c r="U546" s="72" t="s">
        <v>14</v>
      </c>
      <c r="V546" s="72" t="s">
        <v>1917</v>
      </c>
      <c r="W546" s="72" t="s">
        <v>1928</v>
      </c>
      <c r="X546" s="72" t="s">
        <v>2823</v>
      </c>
      <c r="Y546" s="72" t="s">
        <v>4</v>
      </c>
      <c r="Z546" s="72" t="s">
        <v>4</v>
      </c>
      <c r="AA546" s="146" t="s">
        <v>2823</v>
      </c>
    </row>
    <row r="547" spans="1:27" ht="18.600000000000001" customHeight="1">
      <c r="A547" s="139" t="str">
        <f>IF(priority(Main[[#This Row],[Comments]])&lt;&gt;0, priority(Main[[#This Row],[Comments]]),"")</f>
        <v/>
      </c>
      <c r="B547" s="89" t="s">
        <v>1365</v>
      </c>
      <c r="C547" s="72" t="s">
        <v>42</v>
      </c>
      <c r="D547" s="73" t="s">
        <v>452</v>
      </c>
      <c r="E547" s="74">
        <v>39932.393530092595</v>
      </c>
      <c r="F547" s="74"/>
      <c r="G547" s="75" t="str">
        <f>IF(stdProdLT(Main[[#This Row],[Comments]])=0.1,"N/A",IF(stdProdLT(Main[[#This Row],[Comments]])=0,"",stdProdLT(Main[[#This Row],[Comments]])))</f>
        <v/>
      </c>
      <c r="H547" s="76" t="str">
        <f>IF(AND(Main[[#This Row],[In Stock Date]]&lt;&gt;"",Main[[#This Row],[Revised Due Date]]&lt;&gt;""),Main[[#This Row],[In Stock Date]]-Main[[#This Row],[Revised Due Date]],"")</f>
        <v/>
      </c>
      <c r="I547" s="72" t="s">
        <v>4</v>
      </c>
      <c r="J547" s="72" t="s">
        <v>4</v>
      </c>
      <c r="K547" s="72" t="s">
        <v>4</v>
      </c>
      <c r="L547" s="74"/>
      <c r="M547" s="77" t="str">
        <f>IF(Main[[#This Row],[Tech Start Date]]&lt;1/1/1990,"",IF(Main[[#This Row],[Class]]="C",WORKDAY(Main[[#This Row],[Tech Start Date]],9),IF(Main[[#This Row],[Class]]="B", WORKDAY(Main[[#This Row],[Tech Start Date]],6),IF(Main[[#This Row],[Class]]="A",WORKDAY(Main[[#This Row],[Tech Start Date]],2),""))))</f>
        <v/>
      </c>
      <c r="N547" s="77" t="str">
        <f>IF(Main[[#This Row],[Tech Start Date]]&lt;1/1/1990,"",IF(Main[[#This Row],[Class]]="C",WORKDAY(Main[[#This Row],[Tech Start Date]],19),IF(Main[[#This Row],[Class]]="B", WORKDAY(Main[[#This Row],[Tech Start Date]],12),IF(Main[[#This Row],[Class]]="A",WORKDAY(Main[[#This Row],[Tech Start Date]],4),""))))</f>
        <v/>
      </c>
      <c r="O547" s="77" t="str">
        <f>IF(Main[[#This Row],[Tech Start Date]]&lt;1/1/1990,"",IF(Main[[#This Row],[Class]]="C",WORKDAY(Main[[#This Row],[Tech Start Date]],23),IF(Main[[#This Row],[Class]]="B", WORKDAY(Main[[#This Row],[Tech Start Date]],15),IF(Main[[#This Row],[Class]]="A",WORKDAY(Main[[#This Row],[Tech Start Date]],5),""))))</f>
        <v/>
      </c>
      <c r="P547" s="77" t="str">
        <f>IF(Main[[#This Row],[Tech Start Date]]&lt;1/1/1990,"",IF(Main[[#This Row],[Class]]="C",WORKDAY(Main[[#This Row],[Tech Start Date]],28),IF(Main[[#This Row],[Class]]="B", WORKDAY(Main[[#This Row],[Tech Start Date]],19),IF(Main[[#This Row],[Class]]="A",WORKDAY(Main[[#This Row],[Tech Start Date]],9),""))))</f>
        <v/>
      </c>
      <c r="Q547" s="74"/>
      <c r="R547" s="74"/>
      <c r="S547" s="72" t="s">
        <v>17</v>
      </c>
      <c r="T547" s="80" t="s">
        <v>4</v>
      </c>
      <c r="U547" s="72" t="s">
        <v>7</v>
      </c>
      <c r="V547" s="72" t="s">
        <v>1920</v>
      </c>
      <c r="W547" s="72" t="s">
        <v>4</v>
      </c>
      <c r="X547" s="72" t="s">
        <v>399</v>
      </c>
      <c r="Y547" s="72" t="s">
        <v>4</v>
      </c>
      <c r="Z547" s="72" t="s">
        <v>4</v>
      </c>
      <c r="AA547" s="146" t="s">
        <v>4</v>
      </c>
    </row>
    <row r="548" spans="1:27" ht="18.600000000000001" customHeight="1">
      <c r="A548" s="139" t="str">
        <f>IF(priority(Main[[#This Row],[Comments]])&lt;&gt;0, priority(Main[[#This Row],[Comments]]),"")</f>
        <v/>
      </c>
      <c r="B548" s="89" t="s">
        <v>1366</v>
      </c>
      <c r="C548" s="72" t="s">
        <v>453</v>
      </c>
      <c r="D548" s="73" t="s">
        <v>454</v>
      </c>
      <c r="E548" s="74"/>
      <c r="F548" s="74"/>
      <c r="G548" s="75" t="str">
        <f>IF(stdProdLT(Main[[#This Row],[Comments]])=0.1,"N/A",IF(stdProdLT(Main[[#This Row],[Comments]])=0,"",stdProdLT(Main[[#This Row],[Comments]])))</f>
        <v/>
      </c>
      <c r="H548" s="76" t="str">
        <f>IF(AND(Main[[#This Row],[In Stock Date]]&lt;&gt;"",Main[[#This Row],[Revised Due Date]]&lt;&gt;""),Main[[#This Row],[In Stock Date]]-Main[[#This Row],[Revised Due Date]],"")</f>
        <v/>
      </c>
      <c r="I548" s="72" t="s">
        <v>4</v>
      </c>
      <c r="J548" s="72" t="s">
        <v>4</v>
      </c>
      <c r="K548" s="72" t="s">
        <v>4</v>
      </c>
      <c r="L548" s="74"/>
      <c r="M548" s="77" t="str">
        <f>IF(Main[[#This Row],[Tech Start Date]]&lt;1/1/1990,"",IF(Main[[#This Row],[Class]]="C",WORKDAY(Main[[#This Row],[Tech Start Date]],9),IF(Main[[#This Row],[Class]]="B", WORKDAY(Main[[#This Row],[Tech Start Date]],6),IF(Main[[#This Row],[Class]]="A",WORKDAY(Main[[#This Row],[Tech Start Date]],2),""))))</f>
        <v/>
      </c>
      <c r="N548" s="77" t="str">
        <f>IF(Main[[#This Row],[Tech Start Date]]&lt;1/1/1990,"",IF(Main[[#This Row],[Class]]="C",WORKDAY(Main[[#This Row],[Tech Start Date]],19),IF(Main[[#This Row],[Class]]="B", WORKDAY(Main[[#This Row],[Tech Start Date]],12),IF(Main[[#This Row],[Class]]="A",WORKDAY(Main[[#This Row],[Tech Start Date]],4),""))))</f>
        <v/>
      </c>
      <c r="O548" s="77" t="str">
        <f>IF(Main[[#This Row],[Tech Start Date]]&lt;1/1/1990,"",IF(Main[[#This Row],[Class]]="C",WORKDAY(Main[[#This Row],[Tech Start Date]],23),IF(Main[[#This Row],[Class]]="B", WORKDAY(Main[[#This Row],[Tech Start Date]],15),IF(Main[[#This Row],[Class]]="A",WORKDAY(Main[[#This Row],[Tech Start Date]],5),""))))</f>
        <v/>
      </c>
      <c r="P548" s="77" t="str">
        <f>IF(Main[[#This Row],[Tech Start Date]]&lt;1/1/1990,"",IF(Main[[#This Row],[Class]]="C",WORKDAY(Main[[#This Row],[Tech Start Date]],28),IF(Main[[#This Row],[Class]]="B", WORKDAY(Main[[#This Row],[Tech Start Date]],19),IF(Main[[#This Row],[Class]]="A",WORKDAY(Main[[#This Row],[Tech Start Date]],9),""))))</f>
        <v/>
      </c>
      <c r="Q548" s="74"/>
      <c r="R548" s="74"/>
      <c r="S548" s="72" t="s">
        <v>11</v>
      </c>
      <c r="T548" s="80" t="s">
        <v>4</v>
      </c>
      <c r="U548" s="72" t="s">
        <v>14</v>
      </c>
      <c r="V548" s="72" t="s">
        <v>1918</v>
      </c>
      <c r="W548" s="72" t="s">
        <v>1925</v>
      </c>
      <c r="X548" s="72" t="s">
        <v>399</v>
      </c>
      <c r="Y548" s="72" t="s">
        <v>4</v>
      </c>
      <c r="Z548" s="72" t="s">
        <v>4</v>
      </c>
      <c r="AA548" s="146" t="s">
        <v>4</v>
      </c>
    </row>
    <row r="549" spans="1:27" ht="18.600000000000001" customHeight="1">
      <c r="A549" s="139" t="str">
        <f>IF(priority(Main[[#This Row],[Comments]])&lt;&gt;0, priority(Main[[#This Row],[Comments]]),"")</f>
        <v/>
      </c>
      <c r="B549" s="89" t="s">
        <v>1367</v>
      </c>
      <c r="C549" s="72" t="s">
        <v>455</v>
      </c>
      <c r="D549" s="73" t="s">
        <v>456</v>
      </c>
      <c r="E549" s="74"/>
      <c r="F549" s="74"/>
      <c r="G549" s="75" t="str">
        <f>IF(stdProdLT(Main[[#This Row],[Comments]])=0.1,"N/A",IF(stdProdLT(Main[[#This Row],[Comments]])=0,"",stdProdLT(Main[[#This Row],[Comments]])))</f>
        <v/>
      </c>
      <c r="H549" s="76" t="str">
        <f>IF(AND(Main[[#This Row],[In Stock Date]]&lt;&gt;"",Main[[#This Row],[Revised Due Date]]&lt;&gt;""),Main[[#This Row],[In Stock Date]]-Main[[#This Row],[Revised Due Date]],"")</f>
        <v/>
      </c>
      <c r="I549" s="72" t="s">
        <v>4</v>
      </c>
      <c r="J549" s="72" t="s">
        <v>4</v>
      </c>
      <c r="K549" s="72" t="s">
        <v>4</v>
      </c>
      <c r="L549" s="74"/>
      <c r="M549" s="77" t="str">
        <f>IF(Main[[#This Row],[Tech Start Date]]&lt;1/1/1990,"",IF(Main[[#This Row],[Class]]="C",WORKDAY(Main[[#This Row],[Tech Start Date]],9),IF(Main[[#This Row],[Class]]="B", WORKDAY(Main[[#This Row],[Tech Start Date]],6),IF(Main[[#This Row],[Class]]="A",WORKDAY(Main[[#This Row],[Tech Start Date]],2),""))))</f>
        <v/>
      </c>
      <c r="N549" s="77" t="str">
        <f>IF(Main[[#This Row],[Tech Start Date]]&lt;1/1/1990,"",IF(Main[[#This Row],[Class]]="C",WORKDAY(Main[[#This Row],[Tech Start Date]],19),IF(Main[[#This Row],[Class]]="B", WORKDAY(Main[[#This Row],[Tech Start Date]],12),IF(Main[[#This Row],[Class]]="A",WORKDAY(Main[[#This Row],[Tech Start Date]],4),""))))</f>
        <v/>
      </c>
      <c r="O549" s="77" t="str">
        <f>IF(Main[[#This Row],[Tech Start Date]]&lt;1/1/1990,"",IF(Main[[#This Row],[Class]]="C",WORKDAY(Main[[#This Row],[Tech Start Date]],23),IF(Main[[#This Row],[Class]]="B", WORKDAY(Main[[#This Row],[Tech Start Date]],15),IF(Main[[#This Row],[Class]]="A",WORKDAY(Main[[#This Row],[Tech Start Date]],5),""))))</f>
        <v/>
      </c>
      <c r="P549" s="77" t="str">
        <f>IF(Main[[#This Row],[Tech Start Date]]&lt;1/1/1990,"",IF(Main[[#This Row],[Class]]="C",WORKDAY(Main[[#This Row],[Tech Start Date]],28),IF(Main[[#This Row],[Class]]="B", WORKDAY(Main[[#This Row],[Tech Start Date]],19),IF(Main[[#This Row],[Class]]="A",WORKDAY(Main[[#This Row],[Tech Start Date]],9),""))))</f>
        <v/>
      </c>
      <c r="Q549" s="74"/>
      <c r="R549" s="154"/>
      <c r="S549" s="72" t="s">
        <v>11</v>
      </c>
      <c r="T549" s="80" t="s">
        <v>4</v>
      </c>
      <c r="U549" s="72" t="s">
        <v>14</v>
      </c>
      <c r="V549" s="72" t="s">
        <v>1918</v>
      </c>
      <c r="W549" s="72" t="s">
        <v>1925</v>
      </c>
      <c r="X549" s="72" t="s">
        <v>399</v>
      </c>
      <c r="Y549" s="72" t="s">
        <v>4</v>
      </c>
      <c r="Z549" s="72" t="s">
        <v>4</v>
      </c>
      <c r="AA549" s="146" t="s">
        <v>3423</v>
      </c>
    </row>
    <row r="550" spans="1:27" ht="18.600000000000001" customHeight="1">
      <c r="A550" s="139" t="str">
        <f>IF(priority(Main[[#This Row],[Comments]])&lt;&gt;0, priority(Main[[#This Row],[Comments]]),"")</f>
        <v/>
      </c>
      <c r="B550" s="89" t="s">
        <v>1368</v>
      </c>
      <c r="C550" s="72" t="s">
        <v>457</v>
      </c>
      <c r="D550" s="73" t="s">
        <v>458</v>
      </c>
      <c r="E550" s="74"/>
      <c r="F550" s="74">
        <v>40214</v>
      </c>
      <c r="G550" s="75" t="str">
        <f>IF(stdProdLT(Main[[#This Row],[Comments]])=0.1,"N/A",IF(stdProdLT(Main[[#This Row],[Comments]])=0,"",stdProdLT(Main[[#This Row],[Comments]])))</f>
        <v/>
      </c>
      <c r="H550" s="76" t="str">
        <f>IF(AND(Main[[#This Row],[In Stock Date]]&lt;&gt;"",Main[[#This Row],[Revised Due Date]]&lt;&gt;""),Main[[#This Row],[In Stock Date]]-Main[[#This Row],[Revised Due Date]],"")</f>
        <v/>
      </c>
      <c r="I550" s="72" t="s">
        <v>4</v>
      </c>
      <c r="J550" s="72" t="s">
        <v>4</v>
      </c>
      <c r="K550" s="72" t="s">
        <v>4</v>
      </c>
      <c r="L550" s="74"/>
      <c r="M550" s="77" t="str">
        <f>IF(Main[[#This Row],[Tech Start Date]]&lt;1/1/1990,"",IF(Main[[#This Row],[Class]]="C",WORKDAY(Main[[#This Row],[Tech Start Date]],9),IF(Main[[#This Row],[Class]]="B", WORKDAY(Main[[#This Row],[Tech Start Date]],6),IF(Main[[#This Row],[Class]]="A",WORKDAY(Main[[#This Row],[Tech Start Date]],2),""))))</f>
        <v/>
      </c>
      <c r="N550" s="77" t="str">
        <f>IF(Main[[#This Row],[Tech Start Date]]&lt;1/1/1990,"",IF(Main[[#This Row],[Class]]="C",WORKDAY(Main[[#This Row],[Tech Start Date]],19),IF(Main[[#This Row],[Class]]="B", WORKDAY(Main[[#This Row],[Tech Start Date]],12),IF(Main[[#This Row],[Class]]="A",WORKDAY(Main[[#This Row],[Tech Start Date]],4),""))))</f>
        <v/>
      </c>
      <c r="O550" s="77" t="str">
        <f>IF(Main[[#This Row],[Tech Start Date]]&lt;1/1/1990,"",IF(Main[[#This Row],[Class]]="C",WORKDAY(Main[[#This Row],[Tech Start Date]],23),IF(Main[[#This Row],[Class]]="B", WORKDAY(Main[[#This Row],[Tech Start Date]],15),IF(Main[[#This Row],[Class]]="A",WORKDAY(Main[[#This Row],[Tech Start Date]],5),""))))</f>
        <v/>
      </c>
      <c r="P550" s="77" t="str">
        <f>IF(Main[[#This Row],[Tech Start Date]]&lt;1/1/1990,"",IF(Main[[#This Row],[Class]]="C",WORKDAY(Main[[#This Row],[Tech Start Date]],28),IF(Main[[#This Row],[Class]]="B", WORKDAY(Main[[#This Row],[Tech Start Date]],19),IF(Main[[#This Row],[Class]]="A",WORKDAY(Main[[#This Row],[Tech Start Date]],9),""))))</f>
        <v/>
      </c>
      <c r="Q550" s="74">
        <v>40149</v>
      </c>
      <c r="R550" s="154"/>
      <c r="S550" s="72" t="s">
        <v>11</v>
      </c>
      <c r="T550" s="80" t="s">
        <v>4</v>
      </c>
      <c r="U550" s="72" t="s">
        <v>14</v>
      </c>
      <c r="V550" s="72" t="s">
        <v>1920</v>
      </c>
      <c r="W550" s="72" t="s">
        <v>1923</v>
      </c>
      <c r="X550" s="72" t="s">
        <v>2869</v>
      </c>
      <c r="Y550" s="72" t="s">
        <v>4</v>
      </c>
      <c r="Z550" s="72" t="s">
        <v>4</v>
      </c>
      <c r="AA550" s="146" t="s">
        <v>2869</v>
      </c>
    </row>
    <row r="551" spans="1:27" ht="18.600000000000001" customHeight="1">
      <c r="A551" s="139" t="str">
        <f>IF(priority(Main[[#This Row],[Comments]])&lt;&gt;0, priority(Main[[#This Row],[Comments]]),"")</f>
        <v/>
      </c>
      <c r="B551" s="89" t="s">
        <v>1369</v>
      </c>
      <c r="C551" s="72" t="s">
        <v>93</v>
      </c>
      <c r="D551" s="73" t="s">
        <v>459</v>
      </c>
      <c r="E551" s="74"/>
      <c r="F551" s="74">
        <v>40210</v>
      </c>
      <c r="G551" s="75" t="str">
        <f>IF(stdProdLT(Main[[#This Row],[Comments]])=0.1,"N/A",IF(stdProdLT(Main[[#This Row],[Comments]])=0,"",stdProdLT(Main[[#This Row],[Comments]])))</f>
        <v/>
      </c>
      <c r="H551" s="76" t="str">
        <f>IF(AND(Main[[#This Row],[In Stock Date]]&lt;&gt;"",Main[[#This Row],[Revised Due Date]]&lt;&gt;""),Main[[#This Row],[In Stock Date]]-Main[[#This Row],[Revised Due Date]],"")</f>
        <v/>
      </c>
      <c r="I551" s="72" t="s">
        <v>4</v>
      </c>
      <c r="J551" s="72" t="s">
        <v>4</v>
      </c>
      <c r="K551" s="72" t="s">
        <v>4</v>
      </c>
      <c r="L551" s="74"/>
      <c r="M551" s="77" t="str">
        <f>IF(Main[[#This Row],[Tech Start Date]]&lt;1/1/1990,"",IF(Main[[#This Row],[Class]]="C",WORKDAY(Main[[#This Row],[Tech Start Date]],9),IF(Main[[#This Row],[Class]]="B", WORKDAY(Main[[#This Row],[Tech Start Date]],6),IF(Main[[#This Row],[Class]]="A",WORKDAY(Main[[#This Row],[Tech Start Date]],2),""))))</f>
        <v/>
      </c>
      <c r="N551" s="77" t="str">
        <f>IF(Main[[#This Row],[Tech Start Date]]&lt;1/1/1990,"",IF(Main[[#This Row],[Class]]="C",WORKDAY(Main[[#This Row],[Tech Start Date]],19),IF(Main[[#This Row],[Class]]="B", WORKDAY(Main[[#This Row],[Tech Start Date]],12),IF(Main[[#This Row],[Class]]="A",WORKDAY(Main[[#This Row],[Tech Start Date]],4),""))))</f>
        <v/>
      </c>
      <c r="O551" s="77" t="str">
        <f>IF(Main[[#This Row],[Tech Start Date]]&lt;1/1/1990,"",IF(Main[[#This Row],[Class]]="C",WORKDAY(Main[[#This Row],[Tech Start Date]],23),IF(Main[[#This Row],[Class]]="B", WORKDAY(Main[[#This Row],[Tech Start Date]],15),IF(Main[[#This Row],[Class]]="A",WORKDAY(Main[[#This Row],[Tech Start Date]],5),""))))</f>
        <v/>
      </c>
      <c r="P551" s="77" t="str">
        <f>IF(Main[[#This Row],[Tech Start Date]]&lt;1/1/1990,"",IF(Main[[#This Row],[Class]]="C",WORKDAY(Main[[#This Row],[Tech Start Date]],28),IF(Main[[#This Row],[Class]]="B", WORKDAY(Main[[#This Row],[Tech Start Date]],19),IF(Main[[#This Row],[Class]]="A",WORKDAY(Main[[#This Row],[Tech Start Date]],9),""))))</f>
        <v/>
      </c>
      <c r="Q551" s="74">
        <v>40195</v>
      </c>
      <c r="R551" s="74"/>
      <c r="S551" s="72" t="s">
        <v>11</v>
      </c>
      <c r="T551" s="80" t="s">
        <v>4</v>
      </c>
      <c r="U551" s="72" t="s">
        <v>12</v>
      </c>
      <c r="V551" s="72" t="s">
        <v>1927</v>
      </c>
      <c r="W551" s="72" t="s">
        <v>1928</v>
      </c>
      <c r="X551" s="72" t="s">
        <v>2851</v>
      </c>
      <c r="Y551" s="72" t="s">
        <v>4</v>
      </c>
      <c r="Z551" s="72" t="s">
        <v>4</v>
      </c>
      <c r="AA551" s="146" t="s">
        <v>2851</v>
      </c>
    </row>
    <row r="552" spans="1:27" ht="18.600000000000001" customHeight="1">
      <c r="A552" s="139" t="str">
        <f>IF(priority(Main[[#This Row],[Comments]])&lt;&gt;0, priority(Main[[#This Row],[Comments]]),"")</f>
        <v/>
      </c>
      <c r="B552" s="89" t="s">
        <v>1370</v>
      </c>
      <c r="C552" s="72" t="s">
        <v>457</v>
      </c>
      <c r="D552" s="73" t="s">
        <v>460</v>
      </c>
      <c r="E552" s="74"/>
      <c r="F552" s="74">
        <v>40214</v>
      </c>
      <c r="G552" s="75" t="str">
        <f>IF(stdProdLT(Main[[#This Row],[Comments]])=0.1,"N/A",IF(stdProdLT(Main[[#This Row],[Comments]])=0,"",stdProdLT(Main[[#This Row],[Comments]])))</f>
        <v/>
      </c>
      <c r="H552" s="76" t="str">
        <f>IF(AND(Main[[#This Row],[In Stock Date]]&lt;&gt;"",Main[[#This Row],[Revised Due Date]]&lt;&gt;""),Main[[#This Row],[In Stock Date]]-Main[[#This Row],[Revised Due Date]],"")</f>
        <v/>
      </c>
      <c r="I552" s="72" t="s">
        <v>4</v>
      </c>
      <c r="J552" s="72" t="s">
        <v>4</v>
      </c>
      <c r="K552" s="72" t="s">
        <v>4</v>
      </c>
      <c r="L552" s="74"/>
      <c r="M552" s="77" t="str">
        <f>IF(Main[[#This Row],[Tech Start Date]]&lt;1/1/1990,"",IF(Main[[#This Row],[Class]]="C",WORKDAY(Main[[#This Row],[Tech Start Date]],9),IF(Main[[#This Row],[Class]]="B", WORKDAY(Main[[#This Row],[Tech Start Date]],6),IF(Main[[#This Row],[Class]]="A",WORKDAY(Main[[#This Row],[Tech Start Date]],2),""))))</f>
        <v/>
      </c>
      <c r="N552" s="77" t="str">
        <f>IF(Main[[#This Row],[Tech Start Date]]&lt;1/1/1990,"",IF(Main[[#This Row],[Class]]="C",WORKDAY(Main[[#This Row],[Tech Start Date]],19),IF(Main[[#This Row],[Class]]="B", WORKDAY(Main[[#This Row],[Tech Start Date]],12),IF(Main[[#This Row],[Class]]="A",WORKDAY(Main[[#This Row],[Tech Start Date]],4),""))))</f>
        <v/>
      </c>
      <c r="O552" s="77" t="str">
        <f>IF(Main[[#This Row],[Tech Start Date]]&lt;1/1/1990,"",IF(Main[[#This Row],[Class]]="C",WORKDAY(Main[[#This Row],[Tech Start Date]],23),IF(Main[[#This Row],[Class]]="B", WORKDAY(Main[[#This Row],[Tech Start Date]],15),IF(Main[[#This Row],[Class]]="A",WORKDAY(Main[[#This Row],[Tech Start Date]],5),""))))</f>
        <v/>
      </c>
      <c r="P552" s="77" t="str">
        <f>IF(Main[[#This Row],[Tech Start Date]]&lt;1/1/1990,"",IF(Main[[#This Row],[Class]]="C",WORKDAY(Main[[#This Row],[Tech Start Date]],28),IF(Main[[#This Row],[Class]]="B", WORKDAY(Main[[#This Row],[Tech Start Date]],19),IF(Main[[#This Row],[Class]]="A",WORKDAY(Main[[#This Row],[Tech Start Date]],9),""))))</f>
        <v/>
      </c>
      <c r="Q552" s="74">
        <v>40149</v>
      </c>
      <c r="R552" s="74"/>
      <c r="S552" s="72" t="s">
        <v>11</v>
      </c>
      <c r="T552" s="80" t="s">
        <v>4</v>
      </c>
      <c r="U552" s="72" t="s">
        <v>14</v>
      </c>
      <c r="V552" s="72" t="s">
        <v>1920</v>
      </c>
      <c r="W552" s="72" t="s">
        <v>1923</v>
      </c>
      <c r="X552" s="72" t="s">
        <v>2869</v>
      </c>
      <c r="Y552" s="72" t="s">
        <v>4</v>
      </c>
      <c r="Z552" s="72" t="s">
        <v>4</v>
      </c>
      <c r="AA552" s="146" t="s">
        <v>2869</v>
      </c>
    </row>
    <row r="553" spans="1:27" ht="18.600000000000001" customHeight="1">
      <c r="A553" s="139" t="str">
        <f>IF(priority(Main[[#This Row],[Comments]])&lt;&gt;0, priority(Main[[#This Row],[Comments]]),"")</f>
        <v/>
      </c>
      <c r="B553" s="89" t="s">
        <v>1371</v>
      </c>
      <c r="C553" s="72" t="s">
        <v>31</v>
      </c>
      <c r="D553" s="73" t="s">
        <v>461</v>
      </c>
      <c r="E553" s="74"/>
      <c r="F553" s="74"/>
      <c r="G553" s="75" t="str">
        <f>IF(stdProdLT(Main[[#This Row],[Comments]])=0.1,"N/A",IF(stdProdLT(Main[[#This Row],[Comments]])=0,"",stdProdLT(Main[[#This Row],[Comments]])))</f>
        <v/>
      </c>
      <c r="H553" s="76" t="str">
        <f>IF(AND(Main[[#This Row],[In Stock Date]]&lt;&gt;"",Main[[#This Row],[Revised Due Date]]&lt;&gt;""),Main[[#This Row],[In Stock Date]]-Main[[#This Row],[Revised Due Date]],"")</f>
        <v/>
      </c>
      <c r="I553" s="72" t="s">
        <v>4</v>
      </c>
      <c r="J553" s="72" t="s">
        <v>4</v>
      </c>
      <c r="K553" s="72" t="s">
        <v>4</v>
      </c>
      <c r="L553" s="74"/>
      <c r="M553" s="77" t="str">
        <f>IF(Main[[#This Row],[Tech Start Date]]&lt;1/1/1990,"",IF(Main[[#This Row],[Class]]="C",WORKDAY(Main[[#This Row],[Tech Start Date]],9),IF(Main[[#This Row],[Class]]="B", WORKDAY(Main[[#This Row],[Tech Start Date]],6),IF(Main[[#This Row],[Class]]="A",WORKDAY(Main[[#This Row],[Tech Start Date]],2),""))))</f>
        <v/>
      </c>
      <c r="N553" s="77" t="str">
        <f>IF(Main[[#This Row],[Tech Start Date]]&lt;1/1/1990,"",IF(Main[[#This Row],[Class]]="C",WORKDAY(Main[[#This Row],[Tech Start Date]],19),IF(Main[[#This Row],[Class]]="B", WORKDAY(Main[[#This Row],[Tech Start Date]],12),IF(Main[[#This Row],[Class]]="A",WORKDAY(Main[[#This Row],[Tech Start Date]],4),""))))</f>
        <v/>
      </c>
      <c r="O553" s="77" t="str">
        <f>IF(Main[[#This Row],[Tech Start Date]]&lt;1/1/1990,"",IF(Main[[#This Row],[Class]]="C",WORKDAY(Main[[#This Row],[Tech Start Date]],23),IF(Main[[#This Row],[Class]]="B", WORKDAY(Main[[#This Row],[Tech Start Date]],15),IF(Main[[#This Row],[Class]]="A",WORKDAY(Main[[#This Row],[Tech Start Date]],5),""))))</f>
        <v/>
      </c>
      <c r="P553" s="77" t="str">
        <f>IF(Main[[#This Row],[Tech Start Date]]&lt;1/1/1990,"",IF(Main[[#This Row],[Class]]="C",WORKDAY(Main[[#This Row],[Tech Start Date]],28),IF(Main[[#This Row],[Class]]="B", WORKDAY(Main[[#This Row],[Tech Start Date]],19),IF(Main[[#This Row],[Class]]="A",WORKDAY(Main[[#This Row],[Tech Start Date]],9),""))))</f>
        <v/>
      </c>
      <c r="Q553" s="74">
        <v>40318</v>
      </c>
      <c r="R553" s="74"/>
      <c r="S553" s="72" t="s">
        <v>11</v>
      </c>
      <c r="T553" s="80" t="s">
        <v>4</v>
      </c>
      <c r="U553" s="72" t="s">
        <v>14</v>
      </c>
      <c r="V553" s="72" t="s">
        <v>1920</v>
      </c>
      <c r="W553" s="72" t="s">
        <v>1919</v>
      </c>
      <c r="X553" s="72" t="s">
        <v>2836</v>
      </c>
      <c r="Y553" s="72" t="s">
        <v>4</v>
      </c>
      <c r="Z553" s="72" t="s">
        <v>4</v>
      </c>
      <c r="AA553" s="146" t="s">
        <v>2836</v>
      </c>
    </row>
    <row r="554" spans="1:27" ht="18.600000000000001" customHeight="1">
      <c r="A554" s="139" t="str">
        <f>IF(priority(Main[[#This Row],[Comments]])&lt;&gt;0, priority(Main[[#This Row],[Comments]]),"")</f>
        <v/>
      </c>
      <c r="B554" s="89" t="s">
        <v>1372</v>
      </c>
      <c r="C554" s="72" t="s">
        <v>31</v>
      </c>
      <c r="D554" s="73" t="s">
        <v>462</v>
      </c>
      <c r="E554" s="74">
        <v>40494.184537037036</v>
      </c>
      <c r="F554" s="74">
        <v>40546</v>
      </c>
      <c r="G554" s="75" t="str">
        <f>IF(stdProdLT(Main[[#This Row],[Comments]])=0.1,"N/A",IF(stdProdLT(Main[[#This Row],[Comments]])=0,"",stdProdLT(Main[[#This Row],[Comments]])))</f>
        <v/>
      </c>
      <c r="H554" s="76" t="str">
        <f>IF(AND(Main[[#This Row],[In Stock Date]]&lt;&gt;"",Main[[#This Row],[Revised Due Date]]&lt;&gt;""),Main[[#This Row],[In Stock Date]]-Main[[#This Row],[Revised Due Date]],"")</f>
        <v/>
      </c>
      <c r="I554" s="72" t="s">
        <v>4</v>
      </c>
      <c r="J554" s="72" t="s">
        <v>4</v>
      </c>
      <c r="K554" s="72" t="s">
        <v>4</v>
      </c>
      <c r="L554" s="74"/>
      <c r="M554" s="77" t="str">
        <f>IF(Main[[#This Row],[Tech Start Date]]&lt;1/1/1990,"",IF(Main[[#This Row],[Class]]="C",WORKDAY(Main[[#This Row],[Tech Start Date]],9),IF(Main[[#This Row],[Class]]="B", WORKDAY(Main[[#This Row],[Tech Start Date]],6),IF(Main[[#This Row],[Class]]="A",WORKDAY(Main[[#This Row],[Tech Start Date]],2),""))))</f>
        <v/>
      </c>
      <c r="N554" s="77" t="str">
        <f>IF(Main[[#This Row],[Tech Start Date]]&lt;1/1/1990,"",IF(Main[[#This Row],[Class]]="C",WORKDAY(Main[[#This Row],[Tech Start Date]],19),IF(Main[[#This Row],[Class]]="B", WORKDAY(Main[[#This Row],[Tech Start Date]],12),IF(Main[[#This Row],[Class]]="A",WORKDAY(Main[[#This Row],[Tech Start Date]],4),""))))</f>
        <v/>
      </c>
      <c r="O554" s="77" t="str">
        <f>IF(Main[[#This Row],[Tech Start Date]]&lt;1/1/1990,"",IF(Main[[#This Row],[Class]]="C",WORKDAY(Main[[#This Row],[Tech Start Date]],23),IF(Main[[#This Row],[Class]]="B", WORKDAY(Main[[#This Row],[Tech Start Date]],15),IF(Main[[#This Row],[Class]]="A",WORKDAY(Main[[#This Row],[Tech Start Date]],5),""))))</f>
        <v/>
      </c>
      <c r="P554" s="77" t="str">
        <f>IF(Main[[#This Row],[Tech Start Date]]&lt;1/1/1990,"",IF(Main[[#This Row],[Class]]="C",WORKDAY(Main[[#This Row],[Tech Start Date]],28),IF(Main[[#This Row],[Class]]="B", WORKDAY(Main[[#This Row],[Tech Start Date]],19),IF(Main[[#This Row],[Class]]="A",WORKDAY(Main[[#This Row],[Tech Start Date]],9),""))))</f>
        <v/>
      </c>
      <c r="Q554" s="74">
        <v>40527</v>
      </c>
      <c r="R554" s="154"/>
      <c r="S554" s="72" t="s">
        <v>17</v>
      </c>
      <c r="T554" s="80" t="s">
        <v>4</v>
      </c>
      <c r="U554" s="72" t="s">
        <v>7</v>
      </c>
      <c r="V554" s="72" t="s">
        <v>1920</v>
      </c>
      <c r="W554" s="72" t="s">
        <v>4</v>
      </c>
      <c r="X554" s="72" t="s">
        <v>2862</v>
      </c>
      <c r="Y554" s="72" t="s">
        <v>3003</v>
      </c>
      <c r="Z554" s="72" t="s">
        <v>4</v>
      </c>
      <c r="AA554" s="146" t="s">
        <v>2862</v>
      </c>
    </row>
    <row r="555" spans="1:27" ht="18.600000000000001" customHeight="1">
      <c r="A555" s="139" t="str">
        <f>IF(priority(Main[[#This Row],[Comments]])&lt;&gt;0, priority(Main[[#This Row],[Comments]]),"")</f>
        <v/>
      </c>
      <c r="B555" s="89" t="s">
        <v>1373</v>
      </c>
      <c r="C555" s="72" t="s">
        <v>4</v>
      </c>
      <c r="D555" s="73" t="s">
        <v>463</v>
      </c>
      <c r="E555" s="74"/>
      <c r="F555" s="74">
        <v>40374</v>
      </c>
      <c r="G555" s="75" t="str">
        <f>IF(stdProdLT(Main[[#This Row],[Comments]])=0.1,"N/A",IF(stdProdLT(Main[[#This Row],[Comments]])=0,"",stdProdLT(Main[[#This Row],[Comments]])))</f>
        <v/>
      </c>
      <c r="H555" s="76" t="str">
        <f>IF(AND(Main[[#This Row],[In Stock Date]]&lt;&gt;"",Main[[#This Row],[Revised Due Date]]&lt;&gt;""),Main[[#This Row],[In Stock Date]]-Main[[#This Row],[Revised Due Date]],"")</f>
        <v/>
      </c>
      <c r="I555" s="72" t="s">
        <v>4</v>
      </c>
      <c r="J555" s="72" t="s">
        <v>4</v>
      </c>
      <c r="K555" s="72" t="s">
        <v>4</v>
      </c>
      <c r="L555" s="74"/>
      <c r="M555" s="77" t="str">
        <f>IF(Main[[#This Row],[Tech Start Date]]&lt;1/1/1990,"",IF(Main[[#This Row],[Class]]="C",WORKDAY(Main[[#This Row],[Tech Start Date]],9),IF(Main[[#This Row],[Class]]="B", WORKDAY(Main[[#This Row],[Tech Start Date]],6),IF(Main[[#This Row],[Class]]="A",WORKDAY(Main[[#This Row],[Tech Start Date]],2),""))))</f>
        <v/>
      </c>
      <c r="N555" s="77" t="str">
        <f>IF(Main[[#This Row],[Tech Start Date]]&lt;1/1/1990,"",IF(Main[[#This Row],[Class]]="C",WORKDAY(Main[[#This Row],[Tech Start Date]],19),IF(Main[[#This Row],[Class]]="B", WORKDAY(Main[[#This Row],[Tech Start Date]],12),IF(Main[[#This Row],[Class]]="A",WORKDAY(Main[[#This Row],[Tech Start Date]],4),""))))</f>
        <v/>
      </c>
      <c r="O555" s="77" t="str">
        <f>IF(Main[[#This Row],[Tech Start Date]]&lt;1/1/1990,"",IF(Main[[#This Row],[Class]]="C",WORKDAY(Main[[#This Row],[Tech Start Date]],23),IF(Main[[#This Row],[Class]]="B", WORKDAY(Main[[#This Row],[Tech Start Date]],15),IF(Main[[#This Row],[Class]]="A",WORKDAY(Main[[#This Row],[Tech Start Date]],5),""))))</f>
        <v/>
      </c>
      <c r="P555" s="77" t="str">
        <f>IF(Main[[#This Row],[Tech Start Date]]&lt;1/1/1990,"",IF(Main[[#This Row],[Class]]="C",WORKDAY(Main[[#This Row],[Tech Start Date]],28),IF(Main[[#This Row],[Class]]="B", WORKDAY(Main[[#This Row],[Tech Start Date]],19),IF(Main[[#This Row],[Class]]="A",WORKDAY(Main[[#This Row],[Tech Start Date]],9),""))))</f>
        <v/>
      </c>
      <c r="Q555" s="74">
        <v>40297</v>
      </c>
      <c r="R555" s="154"/>
      <c r="S555" s="72" t="s">
        <v>11</v>
      </c>
      <c r="T555" s="80" t="s">
        <v>4</v>
      </c>
      <c r="U555" s="72" t="s">
        <v>12</v>
      </c>
      <c r="V555" s="72" t="s">
        <v>1917</v>
      </c>
      <c r="W555" s="72" t="s">
        <v>1925</v>
      </c>
      <c r="X555" s="72" t="s">
        <v>2830</v>
      </c>
      <c r="Y555" s="72" t="s">
        <v>2949</v>
      </c>
      <c r="Z555" s="72" t="s">
        <v>4</v>
      </c>
      <c r="AA555" s="146" t="s">
        <v>2830</v>
      </c>
    </row>
    <row r="556" spans="1:27" ht="18.600000000000001" customHeight="1">
      <c r="A556" s="139" t="str">
        <f>IF(priority(Main[[#This Row],[Comments]])&lt;&gt;0, priority(Main[[#This Row],[Comments]]),"")</f>
        <v/>
      </c>
      <c r="B556" s="89" t="s">
        <v>1374</v>
      </c>
      <c r="C556" s="72" t="s">
        <v>31</v>
      </c>
      <c r="D556" s="73" t="s">
        <v>464</v>
      </c>
      <c r="E556" s="74"/>
      <c r="F556" s="74">
        <v>40568</v>
      </c>
      <c r="G556" s="75" t="str">
        <f>IF(stdProdLT(Main[[#This Row],[Comments]])=0.1,"N/A",IF(stdProdLT(Main[[#This Row],[Comments]])=0,"",stdProdLT(Main[[#This Row],[Comments]])))</f>
        <v/>
      </c>
      <c r="H556" s="76" t="str">
        <f>IF(AND(Main[[#This Row],[In Stock Date]]&lt;&gt;"",Main[[#This Row],[Revised Due Date]]&lt;&gt;""),Main[[#This Row],[In Stock Date]]-Main[[#This Row],[Revised Due Date]],"")</f>
        <v/>
      </c>
      <c r="I556" s="72" t="s">
        <v>4</v>
      </c>
      <c r="J556" s="72" t="s">
        <v>51</v>
      </c>
      <c r="K556" s="72" t="s">
        <v>4</v>
      </c>
      <c r="L556" s="74"/>
      <c r="M556" s="77" t="str">
        <f>IF(Main[[#This Row],[Tech Start Date]]&lt;1/1/1990,"",IF(Main[[#This Row],[Class]]="C",WORKDAY(Main[[#This Row],[Tech Start Date]],9),IF(Main[[#This Row],[Class]]="B", WORKDAY(Main[[#This Row],[Tech Start Date]],6),IF(Main[[#This Row],[Class]]="A",WORKDAY(Main[[#This Row],[Tech Start Date]],2),""))))</f>
        <v/>
      </c>
      <c r="N556" s="77" t="str">
        <f>IF(Main[[#This Row],[Tech Start Date]]&lt;1/1/1990,"",IF(Main[[#This Row],[Class]]="C",WORKDAY(Main[[#This Row],[Tech Start Date]],19),IF(Main[[#This Row],[Class]]="B", WORKDAY(Main[[#This Row],[Tech Start Date]],12),IF(Main[[#This Row],[Class]]="A",WORKDAY(Main[[#This Row],[Tech Start Date]],4),""))))</f>
        <v/>
      </c>
      <c r="O556" s="77" t="str">
        <f>IF(Main[[#This Row],[Tech Start Date]]&lt;1/1/1990,"",IF(Main[[#This Row],[Class]]="C",WORKDAY(Main[[#This Row],[Tech Start Date]],23),IF(Main[[#This Row],[Class]]="B", WORKDAY(Main[[#This Row],[Tech Start Date]],15),IF(Main[[#This Row],[Class]]="A",WORKDAY(Main[[#This Row],[Tech Start Date]],5),""))))</f>
        <v/>
      </c>
      <c r="P556" s="77" t="str">
        <f>IF(Main[[#This Row],[Tech Start Date]]&lt;1/1/1990,"",IF(Main[[#This Row],[Class]]="C",WORKDAY(Main[[#This Row],[Tech Start Date]],28),IF(Main[[#This Row],[Class]]="B", WORKDAY(Main[[#This Row],[Tech Start Date]],19),IF(Main[[#This Row],[Class]]="A",WORKDAY(Main[[#This Row],[Tech Start Date]],9),""))))</f>
        <v/>
      </c>
      <c r="Q556" s="74">
        <v>40396</v>
      </c>
      <c r="R556" s="154"/>
      <c r="S556" s="72" t="s">
        <v>11</v>
      </c>
      <c r="T556" s="80" t="s">
        <v>4</v>
      </c>
      <c r="U556" s="72" t="s">
        <v>14</v>
      </c>
      <c r="V556" s="72" t="s">
        <v>1927</v>
      </c>
      <c r="W556" s="72" t="s">
        <v>1923</v>
      </c>
      <c r="X556" s="72" t="s">
        <v>2890</v>
      </c>
      <c r="Y556" s="72" t="s">
        <v>3043</v>
      </c>
      <c r="Z556" s="72" t="s">
        <v>885</v>
      </c>
      <c r="AA556" s="146" t="s">
        <v>2890</v>
      </c>
    </row>
    <row r="557" spans="1:27" ht="18.600000000000001" customHeight="1">
      <c r="A557" s="139" t="str">
        <f>IF(priority(Main[[#This Row],[Comments]])&lt;&gt;0, priority(Main[[#This Row],[Comments]]),"")</f>
        <v/>
      </c>
      <c r="B557" s="89" t="s">
        <v>1375</v>
      </c>
      <c r="C557" s="72" t="s">
        <v>465</v>
      </c>
      <c r="D557" s="73" t="s">
        <v>466</v>
      </c>
      <c r="E557" s="74"/>
      <c r="F557" s="74">
        <v>40179</v>
      </c>
      <c r="G557" s="75" t="str">
        <f>IF(stdProdLT(Main[[#This Row],[Comments]])=0.1,"N/A",IF(stdProdLT(Main[[#This Row],[Comments]])=0,"",stdProdLT(Main[[#This Row],[Comments]])))</f>
        <v/>
      </c>
      <c r="H557" s="76" t="str">
        <f>IF(AND(Main[[#This Row],[In Stock Date]]&lt;&gt;"",Main[[#This Row],[Revised Due Date]]&lt;&gt;""),Main[[#This Row],[In Stock Date]]-Main[[#This Row],[Revised Due Date]],"")</f>
        <v/>
      </c>
      <c r="I557" s="72" t="s">
        <v>4</v>
      </c>
      <c r="J557" s="72" t="s">
        <v>4</v>
      </c>
      <c r="K557" s="81" t="s">
        <v>4</v>
      </c>
      <c r="L557" s="74"/>
      <c r="M557" s="77" t="str">
        <f>IF(Main[[#This Row],[Tech Start Date]]&lt;1/1/1990,"",IF(Main[[#This Row],[Class]]="C",WORKDAY(Main[[#This Row],[Tech Start Date]],9),IF(Main[[#This Row],[Class]]="B", WORKDAY(Main[[#This Row],[Tech Start Date]],6),IF(Main[[#This Row],[Class]]="A",WORKDAY(Main[[#This Row],[Tech Start Date]],2),""))))</f>
        <v/>
      </c>
      <c r="N557" s="77" t="str">
        <f>IF(Main[[#This Row],[Tech Start Date]]&lt;1/1/1990,"",IF(Main[[#This Row],[Class]]="C",WORKDAY(Main[[#This Row],[Tech Start Date]],19),IF(Main[[#This Row],[Class]]="B", WORKDAY(Main[[#This Row],[Tech Start Date]],12),IF(Main[[#This Row],[Class]]="A",WORKDAY(Main[[#This Row],[Tech Start Date]],4),""))))</f>
        <v/>
      </c>
      <c r="O557" s="77" t="str">
        <f>IF(Main[[#This Row],[Tech Start Date]]&lt;1/1/1990,"",IF(Main[[#This Row],[Class]]="C",WORKDAY(Main[[#This Row],[Tech Start Date]],23),IF(Main[[#This Row],[Class]]="B", WORKDAY(Main[[#This Row],[Tech Start Date]],15),IF(Main[[#This Row],[Class]]="A",WORKDAY(Main[[#This Row],[Tech Start Date]],5),""))))</f>
        <v/>
      </c>
      <c r="P557" s="77" t="str">
        <f>IF(Main[[#This Row],[Tech Start Date]]&lt;1/1/1990,"",IF(Main[[#This Row],[Class]]="C",WORKDAY(Main[[#This Row],[Tech Start Date]],28),IF(Main[[#This Row],[Class]]="B", WORKDAY(Main[[#This Row],[Tech Start Date]],19),IF(Main[[#This Row],[Class]]="A",WORKDAY(Main[[#This Row],[Tech Start Date]],9),""))))</f>
        <v/>
      </c>
      <c r="Q557" s="74">
        <v>40154</v>
      </c>
      <c r="R557" s="74"/>
      <c r="S557" s="72" t="s">
        <v>11</v>
      </c>
      <c r="T557" s="80" t="s">
        <v>4</v>
      </c>
      <c r="U557" s="72" t="s">
        <v>14</v>
      </c>
      <c r="V557" s="72" t="s">
        <v>1920</v>
      </c>
      <c r="W557" s="72" t="s">
        <v>1923</v>
      </c>
      <c r="X557" s="72" t="s">
        <v>2869</v>
      </c>
      <c r="Y557" s="72" t="s">
        <v>4</v>
      </c>
      <c r="Z557" s="72" t="s">
        <v>4</v>
      </c>
      <c r="AA557" s="146" t="s">
        <v>2869</v>
      </c>
    </row>
    <row r="558" spans="1:27" ht="18.600000000000001" customHeight="1">
      <c r="A558" s="139" t="str">
        <f>IF(priority(Main[[#This Row],[Comments]])&lt;&gt;0, priority(Main[[#This Row],[Comments]]),"")</f>
        <v/>
      </c>
      <c r="B558" s="89" t="s">
        <v>1376</v>
      </c>
      <c r="C558" s="72" t="s">
        <v>4</v>
      </c>
      <c r="D558" s="73" t="s">
        <v>467</v>
      </c>
      <c r="E558" s="74">
        <v>40701.70579861111</v>
      </c>
      <c r="F558" s="74"/>
      <c r="G558" s="75" t="str">
        <f>IF(stdProdLT(Main[[#This Row],[Comments]])=0.1,"N/A",IF(stdProdLT(Main[[#This Row],[Comments]])=0,"",stdProdLT(Main[[#This Row],[Comments]])))</f>
        <v/>
      </c>
      <c r="H558" s="76" t="str">
        <f>IF(AND(Main[[#This Row],[In Stock Date]]&lt;&gt;"",Main[[#This Row],[Revised Due Date]]&lt;&gt;""),Main[[#This Row],[In Stock Date]]-Main[[#This Row],[Revised Due Date]],"")</f>
        <v/>
      </c>
      <c r="I558" s="72" t="s">
        <v>4</v>
      </c>
      <c r="J558" s="72" t="s">
        <v>4</v>
      </c>
      <c r="K558" s="72" t="s">
        <v>4</v>
      </c>
      <c r="L558" s="74"/>
      <c r="M558" s="77" t="str">
        <f>IF(Main[[#This Row],[Tech Start Date]]&lt;1/1/1990,"",IF(Main[[#This Row],[Class]]="C",WORKDAY(Main[[#This Row],[Tech Start Date]],9),IF(Main[[#This Row],[Class]]="B", WORKDAY(Main[[#This Row],[Tech Start Date]],6),IF(Main[[#This Row],[Class]]="A",WORKDAY(Main[[#This Row],[Tech Start Date]],2),""))))</f>
        <v/>
      </c>
      <c r="N558" s="77" t="str">
        <f>IF(Main[[#This Row],[Tech Start Date]]&lt;1/1/1990,"",IF(Main[[#This Row],[Class]]="C",WORKDAY(Main[[#This Row],[Tech Start Date]],19),IF(Main[[#This Row],[Class]]="B", WORKDAY(Main[[#This Row],[Tech Start Date]],12),IF(Main[[#This Row],[Class]]="A",WORKDAY(Main[[#This Row],[Tech Start Date]],4),""))))</f>
        <v/>
      </c>
      <c r="O558" s="77" t="str">
        <f>IF(Main[[#This Row],[Tech Start Date]]&lt;1/1/1990,"",IF(Main[[#This Row],[Class]]="C",WORKDAY(Main[[#This Row],[Tech Start Date]],23),IF(Main[[#This Row],[Class]]="B", WORKDAY(Main[[#This Row],[Tech Start Date]],15),IF(Main[[#This Row],[Class]]="A",WORKDAY(Main[[#This Row],[Tech Start Date]],5),""))))</f>
        <v/>
      </c>
      <c r="P558" s="77" t="str">
        <f>IF(Main[[#This Row],[Tech Start Date]]&lt;1/1/1990,"",IF(Main[[#This Row],[Class]]="C",WORKDAY(Main[[#This Row],[Tech Start Date]],28),IF(Main[[#This Row],[Class]]="B", WORKDAY(Main[[#This Row],[Tech Start Date]],19),IF(Main[[#This Row],[Class]]="A",WORKDAY(Main[[#This Row],[Tech Start Date]],9),""))))</f>
        <v/>
      </c>
      <c r="Q558" s="74">
        <v>40732</v>
      </c>
      <c r="R558" s="74"/>
      <c r="S558" s="72" t="s">
        <v>6</v>
      </c>
      <c r="T558" s="80" t="s">
        <v>4</v>
      </c>
      <c r="U558" s="72" t="s">
        <v>7</v>
      </c>
      <c r="V558" s="72" t="s">
        <v>1917</v>
      </c>
      <c r="W558" s="72" t="s">
        <v>4</v>
      </c>
      <c r="X558" s="72" t="s">
        <v>2825</v>
      </c>
      <c r="Y558" s="72" t="s">
        <v>2938</v>
      </c>
      <c r="Z558" s="72" t="s">
        <v>4</v>
      </c>
      <c r="AA558" s="146" t="s">
        <v>2825</v>
      </c>
    </row>
    <row r="559" spans="1:27" ht="18.600000000000001" customHeight="1">
      <c r="A559" s="139" t="str">
        <f>IF(priority(Main[[#This Row],[Comments]])&lt;&gt;0, priority(Main[[#This Row],[Comments]]),"")</f>
        <v/>
      </c>
      <c r="B559" s="89" t="s">
        <v>1783</v>
      </c>
      <c r="C559" s="72" t="s">
        <v>4</v>
      </c>
      <c r="D559" s="73" t="s">
        <v>850</v>
      </c>
      <c r="E559" s="74">
        <v>40611.493495370371</v>
      </c>
      <c r="F559" s="74"/>
      <c r="G559" s="75" t="str">
        <f>IF(stdProdLT(Main[[#This Row],[Comments]])=0.1,"N/A",IF(stdProdLT(Main[[#This Row],[Comments]])=0,"",stdProdLT(Main[[#This Row],[Comments]])))</f>
        <v/>
      </c>
      <c r="H559" s="76" t="str">
        <f>IF(AND(Main[[#This Row],[In Stock Date]]&lt;&gt;"",Main[[#This Row],[Revised Due Date]]&lt;&gt;""),Main[[#This Row],[In Stock Date]]-Main[[#This Row],[Revised Due Date]],"")</f>
        <v/>
      </c>
      <c r="I559" s="72" t="s">
        <v>4</v>
      </c>
      <c r="J559" s="72" t="s">
        <v>4</v>
      </c>
      <c r="K559" s="72" t="s">
        <v>4</v>
      </c>
      <c r="L559" s="74"/>
      <c r="M559" s="77" t="str">
        <f>IF(Main[[#This Row],[Tech Start Date]]&lt;1/1/1990,"",IF(Main[[#This Row],[Class]]="C",WORKDAY(Main[[#This Row],[Tech Start Date]],9),IF(Main[[#This Row],[Class]]="B", WORKDAY(Main[[#This Row],[Tech Start Date]],6),IF(Main[[#This Row],[Class]]="A",WORKDAY(Main[[#This Row],[Tech Start Date]],2),""))))</f>
        <v/>
      </c>
      <c r="N559" s="77" t="str">
        <f>IF(Main[[#This Row],[Tech Start Date]]&lt;1/1/1990,"",IF(Main[[#This Row],[Class]]="C",WORKDAY(Main[[#This Row],[Tech Start Date]],19),IF(Main[[#This Row],[Class]]="B", WORKDAY(Main[[#This Row],[Tech Start Date]],12),IF(Main[[#This Row],[Class]]="A",WORKDAY(Main[[#This Row],[Tech Start Date]],4),""))))</f>
        <v/>
      </c>
      <c r="O559" s="77" t="str">
        <f>IF(Main[[#This Row],[Tech Start Date]]&lt;1/1/1990,"",IF(Main[[#This Row],[Class]]="C",WORKDAY(Main[[#This Row],[Tech Start Date]],23),IF(Main[[#This Row],[Class]]="B", WORKDAY(Main[[#This Row],[Tech Start Date]],15),IF(Main[[#This Row],[Class]]="A",WORKDAY(Main[[#This Row],[Tech Start Date]],5),""))))</f>
        <v/>
      </c>
      <c r="P559" s="77" t="str">
        <f>IF(Main[[#This Row],[Tech Start Date]]&lt;1/1/1990,"",IF(Main[[#This Row],[Class]]="C",WORKDAY(Main[[#This Row],[Tech Start Date]],28),IF(Main[[#This Row],[Class]]="B", WORKDAY(Main[[#This Row],[Tech Start Date]],19),IF(Main[[#This Row],[Class]]="A",WORKDAY(Main[[#This Row],[Tech Start Date]],9),""))))</f>
        <v/>
      </c>
      <c r="Q559" s="74">
        <v>40725</v>
      </c>
      <c r="R559" s="154"/>
      <c r="S559" s="72" t="s">
        <v>17</v>
      </c>
      <c r="T559" s="80" t="s">
        <v>4</v>
      </c>
      <c r="U559" s="72" t="s">
        <v>7</v>
      </c>
      <c r="V559" s="72" t="s">
        <v>1920</v>
      </c>
      <c r="W559" s="72" t="s">
        <v>1922</v>
      </c>
      <c r="X559" s="72" t="s">
        <v>554</v>
      </c>
      <c r="Y559" s="72" t="s">
        <v>2958</v>
      </c>
      <c r="Z559" s="72" t="s">
        <v>4</v>
      </c>
      <c r="AA559" s="146" t="s">
        <v>554</v>
      </c>
    </row>
    <row r="560" spans="1:27" ht="18.600000000000001" customHeight="1">
      <c r="A560" s="139" t="str">
        <f>IF(priority(Main[[#This Row],[Comments]])&lt;&gt;0, priority(Main[[#This Row],[Comments]]),"")</f>
        <v/>
      </c>
      <c r="B560" s="89" t="s">
        <v>1780</v>
      </c>
      <c r="C560" s="72" t="s">
        <v>4</v>
      </c>
      <c r="D560" s="73" t="s">
        <v>847</v>
      </c>
      <c r="E560" s="74"/>
      <c r="F560" s="74"/>
      <c r="G560" s="75" t="str">
        <f>IF(stdProdLT(Main[[#This Row],[Comments]])=0.1,"N/A",IF(stdProdLT(Main[[#This Row],[Comments]])=0,"",stdProdLT(Main[[#This Row],[Comments]])))</f>
        <v/>
      </c>
      <c r="H560" s="76" t="str">
        <f>IF(AND(Main[[#This Row],[In Stock Date]]&lt;&gt;"",Main[[#This Row],[Revised Due Date]]&lt;&gt;""),Main[[#This Row],[In Stock Date]]-Main[[#This Row],[Revised Due Date]],"")</f>
        <v/>
      </c>
      <c r="I560" s="72" t="s">
        <v>2047</v>
      </c>
      <c r="J560" s="72" t="s">
        <v>28</v>
      </c>
      <c r="K560" s="81" t="s">
        <v>1926</v>
      </c>
      <c r="L560" s="74"/>
      <c r="M560" s="77" t="str">
        <f>IF(Main[[#This Row],[Tech Start Date]]&lt;1/1/1990,"",IF(Main[[#This Row],[Class]]="C",WORKDAY(Main[[#This Row],[Tech Start Date]],9),IF(Main[[#This Row],[Class]]="B", WORKDAY(Main[[#This Row],[Tech Start Date]],6),IF(Main[[#This Row],[Class]]="A",WORKDAY(Main[[#This Row],[Tech Start Date]],2),""))))</f>
        <v/>
      </c>
      <c r="N560" s="77" t="str">
        <f>IF(Main[[#This Row],[Tech Start Date]]&lt;1/1/1990,"",IF(Main[[#This Row],[Class]]="C",WORKDAY(Main[[#This Row],[Tech Start Date]],19),IF(Main[[#This Row],[Class]]="B", WORKDAY(Main[[#This Row],[Tech Start Date]],12),IF(Main[[#This Row],[Class]]="A",WORKDAY(Main[[#This Row],[Tech Start Date]],4),""))))</f>
        <v/>
      </c>
      <c r="O560" s="77" t="str">
        <f>IF(Main[[#This Row],[Tech Start Date]]&lt;1/1/1990,"",IF(Main[[#This Row],[Class]]="C",WORKDAY(Main[[#This Row],[Tech Start Date]],23),IF(Main[[#This Row],[Class]]="B", WORKDAY(Main[[#This Row],[Tech Start Date]],15),IF(Main[[#This Row],[Class]]="A",WORKDAY(Main[[#This Row],[Tech Start Date]],5),""))))</f>
        <v/>
      </c>
      <c r="P560" s="77" t="str">
        <f>IF(Main[[#This Row],[Tech Start Date]]&lt;1/1/1990,"",IF(Main[[#This Row],[Class]]="C",WORKDAY(Main[[#This Row],[Tech Start Date]],28),IF(Main[[#This Row],[Class]]="B", WORKDAY(Main[[#This Row],[Tech Start Date]],19),IF(Main[[#This Row],[Class]]="A",WORKDAY(Main[[#This Row],[Tech Start Date]],9),""))))</f>
        <v/>
      </c>
      <c r="Q560" s="74">
        <v>40694</v>
      </c>
      <c r="R560" s="74"/>
      <c r="S560" s="72" t="s">
        <v>6</v>
      </c>
      <c r="T560" s="80" t="s">
        <v>4</v>
      </c>
      <c r="U560" s="72" t="s">
        <v>14</v>
      </c>
      <c r="V560" s="72" t="s">
        <v>1920</v>
      </c>
      <c r="W560" s="72" t="s">
        <v>1921</v>
      </c>
      <c r="X560" s="72" t="s">
        <v>2825</v>
      </c>
      <c r="Y560" s="72" t="s">
        <v>2938</v>
      </c>
      <c r="Z560" s="72" t="s">
        <v>30</v>
      </c>
      <c r="AA560" s="146" t="s">
        <v>2825</v>
      </c>
    </row>
    <row r="561" spans="1:27" ht="18.600000000000001" customHeight="1">
      <c r="A561" s="139" t="str">
        <f>IF(priority(Main[[#This Row],[Comments]])&lt;&gt;0, priority(Main[[#This Row],[Comments]]),"")</f>
        <v/>
      </c>
      <c r="B561" s="89" t="s">
        <v>1377</v>
      </c>
      <c r="C561" s="72" t="s">
        <v>99</v>
      </c>
      <c r="D561" s="73" t="s">
        <v>100</v>
      </c>
      <c r="E561" s="74"/>
      <c r="F561" s="74"/>
      <c r="G561" s="75" t="str">
        <f>IF(stdProdLT(Main[[#This Row],[Comments]])=0.1,"N/A",IF(stdProdLT(Main[[#This Row],[Comments]])=0,"",stdProdLT(Main[[#This Row],[Comments]])))</f>
        <v/>
      </c>
      <c r="H561" s="76" t="str">
        <f>IF(AND(Main[[#This Row],[In Stock Date]]&lt;&gt;"",Main[[#This Row],[Revised Due Date]]&lt;&gt;""),Main[[#This Row],[In Stock Date]]-Main[[#This Row],[Revised Due Date]],"")</f>
        <v/>
      </c>
      <c r="I561" s="72" t="s">
        <v>4</v>
      </c>
      <c r="J561" s="72" t="s">
        <v>4</v>
      </c>
      <c r="K561" s="72" t="s">
        <v>4</v>
      </c>
      <c r="L561" s="74"/>
      <c r="M561" s="77" t="str">
        <f>IF(Main[[#This Row],[Tech Start Date]]&lt;1/1/1990,"",IF(Main[[#This Row],[Class]]="C",WORKDAY(Main[[#This Row],[Tech Start Date]],9),IF(Main[[#This Row],[Class]]="B", WORKDAY(Main[[#This Row],[Tech Start Date]],6),IF(Main[[#This Row],[Class]]="A",WORKDAY(Main[[#This Row],[Tech Start Date]],2),""))))</f>
        <v/>
      </c>
      <c r="N561" s="77" t="str">
        <f>IF(Main[[#This Row],[Tech Start Date]]&lt;1/1/1990,"",IF(Main[[#This Row],[Class]]="C",WORKDAY(Main[[#This Row],[Tech Start Date]],19),IF(Main[[#This Row],[Class]]="B", WORKDAY(Main[[#This Row],[Tech Start Date]],12),IF(Main[[#This Row],[Class]]="A",WORKDAY(Main[[#This Row],[Tech Start Date]],4),""))))</f>
        <v/>
      </c>
      <c r="O561" s="77" t="str">
        <f>IF(Main[[#This Row],[Tech Start Date]]&lt;1/1/1990,"",IF(Main[[#This Row],[Class]]="C",WORKDAY(Main[[#This Row],[Tech Start Date]],23),IF(Main[[#This Row],[Class]]="B", WORKDAY(Main[[#This Row],[Tech Start Date]],15),IF(Main[[#This Row],[Class]]="A",WORKDAY(Main[[#This Row],[Tech Start Date]],5),""))))</f>
        <v/>
      </c>
      <c r="P561" s="77" t="str">
        <f>IF(Main[[#This Row],[Tech Start Date]]&lt;1/1/1990,"",IF(Main[[#This Row],[Class]]="C",WORKDAY(Main[[#This Row],[Tech Start Date]],28),IF(Main[[#This Row],[Class]]="B", WORKDAY(Main[[#This Row],[Tech Start Date]],19),IF(Main[[#This Row],[Class]]="A",WORKDAY(Main[[#This Row],[Tech Start Date]],9),""))))</f>
        <v/>
      </c>
      <c r="Q561" s="74"/>
      <c r="R561" s="74"/>
      <c r="S561" s="72" t="s">
        <v>11</v>
      </c>
      <c r="T561" s="80" t="s">
        <v>4</v>
      </c>
      <c r="U561" s="72" t="s">
        <v>14</v>
      </c>
      <c r="V561" s="72" t="s">
        <v>1918</v>
      </c>
      <c r="W561" s="72" t="s">
        <v>1919</v>
      </c>
      <c r="X561" s="72" t="s">
        <v>2840</v>
      </c>
      <c r="Y561" s="72" t="s">
        <v>2966</v>
      </c>
      <c r="Z561" s="72" t="s">
        <v>4</v>
      </c>
      <c r="AA561" s="146" t="s">
        <v>3396</v>
      </c>
    </row>
    <row r="562" spans="1:27" ht="18.600000000000001" customHeight="1">
      <c r="A562" s="139" t="str">
        <f>IF(priority(Main[[#This Row],[Comments]])&lt;&gt;0, priority(Main[[#This Row],[Comments]]),"")</f>
        <v/>
      </c>
      <c r="B562" s="89" t="s">
        <v>1378</v>
      </c>
      <c r="C562" s="72" t="s">
        <v>4</v>
      </c>
      <c r="D562" s="73" t="s">
        <v>295</v>
      </c>
      <c r="E562" s="74"/>
      <c r="F562" s="74"/>
      <c r="G562" s="75" t="str">
        <f>IF(stdProdLT(Main[[#This Row],[Comments]])=0.1,"N/A",IF(stdProdLT(Main[[#This Row],[Comments]])=0,"",stdProdLT(Main[[#This Row],[Comments]])))</f>
        <v/>
      </c>
      <c r="H562" s="76" t="str">
        <f>IF(AND(Main[[#This Row],[In Stock Date]]&lt;&gt;"",Main[[#This Row],[Revised Due Date]]&lt;&gt;""),Main[[#This Row],[In Stock Date]]-Main[[#This Row],[Revised Due Date]],"")</f>
        <v/>
      </c>
      <c r="I562" s="72" t="s">
        <v>4</v>
      </c>
      <c r="J562" s="72" t="s">
        <v>4</v>
      </c>
      <c r="K562" s="72" t="s">
        <v>4</v>
      </c>
      <c r="L562" s="74"/>
      <c r="M562" s="77" t="str">
        <f>IF(Main[[#This Row],[Tech Start Date]]&lt;1/1/1990,"",IF(Main[[#This Row],[Class]]="C",WORKDAY(Main[[#This Row],[Tech Start Date]],9),IF(Main[[#This Row],[Class]]="B", WORKDAY(Main[[#This Row],[Tech Start Date]],6),IF(Main[[#This Row],[Class]]="A",WORKDAY(Main[[#This Row],[Tech Start Date]],2),""))))</f>
        <v/>
      </c>
      <c r="N562" s="77" t="str">
        <f>IF(Main[[#This Row],[Tech Start Date]]&lt;1/1/1990,"",IF(Main[[#This Row],[Class]]="C",WORKDAY(Main[[#This Row],[Tech Start Date]],19),IF(Main[[#This Row],[Class]]="B", WORKDAY(Main[[#This Row],[Tech Start Date]],12),IF(Main[[#This Row],[Class]]="A",WORKDAY(Main[[#This Row],[Tech Start Date]],4),""))))</f>
        <v/>
      </c>
      <c r="O562" s="77" t="str">
        <f>IF(Main[[#This Row],[Tech Start Date]]&lt;1/1/1990,"",IF(Main[[#This Row],[Class]]="C",WORKDAY(Main[[#This Row],[Tech Start Date]],23),IF(Main[[#This Row],[Class]]="B", WORKDAY(Main[[#This Row],[Tech Start Date]],15),IF(Main[[#This Row],[Class]]="A",WORKDAY(Main[[#This Row],[Tech Start Date]],5),""))))</f>
        <v/>
      </c>
      <c r="P562" s="77" t="str">
        <f>IF(Main[[#This Row],[Tech Start Date]]&lt;1/1/1990,"",IF(Main[[#This Row],[Class]]="C",WORKDAY(Main[[#This Row],[Tech Start Date]],28),IF(Main[[#This Row],[Class]]="B", WORKDAY(Main[[#This Row],[Tech Start Date]],19),IF(Main[[#This Row],[Class]]="A",WORKDAY(Main[[#This Row],[Tech Start Date]],9),""))))</f>
        <v/>
      </c>
      <c r="Q562" s="74">
        <v>40471</v>
      </c>
      <c r="R562" s="74"/>
      <c r="S562" s="72" t="s">
        <v>296</v>
      </c>
      <c r="T562" s="80" t="s">
        <v>4</v>
      </c>
      <c r="U562" s="72" t="s">
        <v>14</v>
      </c>
      <c r="V562" s="72" t="s">
        <v>1927</v>
      </c>
      <c r="W562" s="72" t="s">
        <v>1919</v>
      </c>
      <c r="X562" s="72" t="s">
        <v>2853</v>
      </c>
      <c r="Y562" s="72" t="s">
        <v>2984</v>
      </c>
      <c r="Z562" s="72" t="s">
        <v>4</v>
      </c>
      <c r="AA562" s="146" t="s">
        <v>2853</v>
      </c>
    </row>
    <row r="563" spans="1:27" ht="18.600000000000001" customHeight="1">
      <c r="A563" s="139" t="str">
        <f>IF(priority(Main[[#This Row],[Comments]])&lt;&gt;0, priority(Main[[#This Row],[Comments]]),"")</f>
        <v/>
      </c>
      <c r="B563" s="89" t="s">
        <v>1379</v>
      </c>
      <c r="C563" s="72" t="s">
        <v>4</v>
      </c>
      <c r="D563" s="73" t="s">
        <v>468</v>
      </c>
      <c r="E563" s="74">
        <v>40422.514918981484</v>
      </c>
      <c r="F563" s="74"/>
      <c r="G563" s="75" t="str">
        <f>IF(stdProdLT(Main[[#This Row],[Comments]])=0.1,"N/A",IF(stdProdLT(Main[[#This Row],[Comments]])=0,"",stdProdLT(Main[[#This Row],[Comments]])))</f>
        <v/>
      </c>
      <c r="H563" s="76" t="str">
        <f>IF(AND(Main[[#This Row],[In Stock Date]]&lt;&gt;"",Main[[#This Row],[Revised Due Date]]&lt;&gt;""),Main[[#This Row],[In Stock Date]]-Main[[#This Row],[Revised Due Date]],"")</f>
        <v/>
      </c>
      <c r="I563" s="72" t="s">
        <v>4</v>
      </c>
      <c r="J563" s="72" t="s">
        <v>28</v>
      </c>
      <c r="K563" s="81" t="s">
        <v>4</v>
      </c>
      <c r="L563" s="74"/>
      <c r="M563" s="77" t="str">
        <f>IF(Main[[#This Row],[Tech Start Date]]&lt;1/1/1990,"",IF(Main[[#This Row],[Class]]="C",WORKDAY(Main[[#This Row],[Tech Start Date]],9),IF(Main[[#This Row],[Class]]="B", WORKDAY(Main[[#This Row],[Tech Start Date]],6),IF(Main[[#This Row],[Class]]="A",WORKDAY(Main[[#This Row],[Tech Start Date]],2),""))))</f>
        <v/>
      </c>
      <c r="N563" s="77" t="str">
        <f>IF(Main[[#This Row],[Tech Start Date]]&lt;1/1/1990,"",IF(Main[[#This Row],[Class]]="C",WORKDAY(Main[[#This Row],[Tech Start Date]],19),IF(Main[[#This Row],[Class]]="B", WORKDAY(Main[[#This Row],[Tech Start Date]],12),IF(Main[[#This Row],[Class]]="A",WORKDAY(Main[[#This Row],[Tech Start Date]],4),""))))</f>
        <v/>
      </c>
      <c r="O563" s="77" t="str">
        <f>IF(Main[[#This Row],[Tech Start Date]]&lt;1/1/1990,"",IF(Main[[#This Row],[Class]]="C",WORKDAY(Main[[#This Row],[Tech Start Date]],23),IF(Main[[#This Row],[Class]]="B", WORKDAY(Main[[#This Row],[Tech Start Date]],15),IF(Main[[#This Row],[Class]]="A",WORKDAY(Main[[#This Row],[Tech Start Date]],5),""))))</f>
        <v/>
      </c>
      <c r="P563" s="77" t="str">
        <f>IF(Main[[#This Row],[Tech Start Date]]&lt;1/1/1990,"",IF(Main[[#This Row],[Class]]="C",WORKDAY(Main[[#This Row],[Tech Start Date]],28),IF(Main[[#This Row],[Class]]="B", WORKDAY(Main[[#This Row],[Tech Start Date]],19),IF(Main[[#This Row],[Class]]="A",WORKDAY(Main[[#This Row],[Tech Start Date]],9),""))))</f>
        <v/>
      </c>
      <c r="Q563" s="74">
        <v>40455</v>
      </c>
      <c r="R563" s="74"/>
      <c r="S563" s="72" t="s">
        <v>6</v>
      </c>
      <c r="T563" s="80" t="s">
        <v>4</v>
      </c>
      <c r="U563" s="72" t="s">
        <v>7</v>
      </c>
      <c r="V563" s="72" t="s">
        <v>1917</v>
      </c>
      <c r="W563" s="72" t="s">
        <v>1921</v>
      </c>
      <c r="X563" s="72" t="s">
        <v>2824</v>
      </c>
      <c r="Y563" s="72" t="s">
        <v>2935</v>
      </c>
      <c r="Z563" s="72" t="s">
        <v>129</v>
      </c>
      <c r="AA563" s="146" t="s">
        <v>2824</v>
      </c>
    </row>
    <row r="564" spans="1:27" ht="18.600000000000001" customHeight="1">
      <c r="A564" s="139" t="str">
        <f>IF(priority(Main[[#This Row],[Comments]])&lt;&gt;0, priority(Main[[#This Row],[Comments]]),"")</f>
        <v/>
      </c>
      <c r="B564" s="89" t="s">
        <v>1380</v>
      </c>
      <c r="C564" s="72" t="s">
        <v>137</v>
      </c>
      <c r="D564" s="73" t="s">
        <v>136</v>
      </c>
      <c r="E564" s="74"/>
      <c r="F564" s="74">
        <v>40787</v>
      </c>
      <c r="G564" s="75" t="str">
        <f>IF(stdProdLT(Main[[#This Row],[Comments]])=0.1,"N/A",IF(stdProdLT(Main[[#This Row],[Comments]])=0,"",stdProdLT(Main[[#This Row],[Comments]])))</f>
        <v/>
      </c>
      <c r="H564" s="76" t="str">
        <f>IF(AND(Main[[#This Row],[In Stock Date]]&lt;&gt;"",Main[[#This Row],[Revised Due Date]]&lt;&gt;""),Main[[#This Row],[In Stock Date]]-Main[[#This Row],[Revised Due Date]],"")</f>
        <v/>
      </c>
      <c r="I564" s="72" t="s">
        <v>4</v>
      </c>
      <c r="J564" s="72" t="s">
        <v>4</v>
      </c>
      <c r="K564" s="81" t="s">
        <v>4</v>
      </c>
      <c r="L564" s="74"/>
      <c r="M564" s="77" t="str">
        <f>IF(Main[[#This Row],[Tech Start Date]]&lt;1/1/1990,"",IF(Main[[#This Row],[Class]]="C",WORKDAY(Main[[#This Row],[Tech Start Date]],9),IF(Main[[#This Row],[Class]]="B", WORKDAY(Main[[#This Row],[Tech Start Date]],6),IF(Main[[#This Row],[Class]]="A",WORKDAY(Main[[#This Row],[Tech Start Date]],2),""))))</f>
        <v/>
      </c>
      <c r="N564" s="77" t="str">
        <f>IF(Main[[#This Row],[Tech Start Date]]&lt;1/1/1990,"",IF(Main[[#This Row],[Class]]="C",WORKDAY(Main[[#This Row],[Tech Start Date]],19),IF(Main[[#This Row],[Class]]="B", WORKDAY(Main[[#This Row],[Tech Start Date]],12),IF(Main[[#This Row],[Class]]="A",WORKDAY(Main[[#This Row],[Tech Start Date]],4),""))))</f>
        <v/>
      </c>
      <c r="O564" s="77" t="str">
        <f>IF(Main[[#This Row],[Tech Start Date]]&lt;1/1/1990,"",IF(Main[[#This Row],[Class]]="C",WORKDAY(Main[[#This Row],[Tech Start Date]],23),IF(Main[[#This Row],[Class]]="B", WORKDAY(Main[[#This Row],[Tech Start Date]],15),IF(Main[[#This Row],[Class]]="A",WORKDAY(Main[[#This Row],[Tech Start Date]],5),""))))</f>
        <v/>
      </c>
      <c r="P564" s="77" t="str">
        <f>IF(Main[[#This Row],[Tech Start Date]]&lt;1/1/1990,"",IF(Main[[#This Row],[Class]]="C",WORKDAY(Main[[#This Row],[Tech Start Date]],28),IF(Main[[#This Row],[Class]]="B", WORKDAY(Main[[#This Row],[Tech Start Date]],19),IF(Main[[#This Row],[Class]]="A",WORKDAY(Main[[#This Row],[Tech Start Date]],9),""))))</f>
        <v/>
      </c>
      <c r="Q564" s="74"/>
      <c r="R564" s="74"/>
      <c r="S564" s="72" t="s">
        <v>11</v>
      </c>
      <c r="T564" s="80" t="s">
        <v>4</v>
      </c>
      <c r="U564" s="72" t="s">
        <v>14</v>
      </c>
      <c r="V564" s="72" t="s">
        <v>1917</v>
      </c>
      <c r="W564" s="72" t="s">
        <v>1923</v>
      </c>
      <c r="X564" s="72" t="s">
        <v>50</v>
      </c>
      <c r="Y564" s="72" t="s">
        <v>3044</v>
      </c>
      <c r="Z564" s="72" t="s">
        <v>4</v>
      </c>
      <c r="AA564" s="146" t="s">
        <v>2845</v>
      </c>
    </row>
    <row r="565" spans="1:27" ht="18.600000000000001" customHeight="1">
      <c r="A565" s="139" t="str">
        <f>IF(priority(Main[[#This Row],[Comments]])&lt;&gt;0, priority(Main[[#This Row],[Comments]]),"")</f>
        <v/>
      </c>
      <c r="B565" s="89" t="s">
        <v>1381</v>
      </c>
      <c r="C565" s="72" t="s">
        <v>4</v>
      </c>
      <c r="D565" s="73" t="s">
        <v>469</v>
      </c>
      <c r="E565" s="74">
        <v>40704.209918981483</v>
      </c>
      <c r="F565" s="74"/>
      <c r="G565" s="75" t="str">
        <f>IF(stdProdLT(Main[[#This Row],[Comments]])=0.1,"N/A",IF(stdProdLT(Main[[#This Row],[Comments]])=0,"",stdProdLT(Main[[#This Row],[Comments]])))</f>
        <v/>
      </c>
      <c r="H565" s="76" t="str">
        <f>IF(AND(Main[[#This Row],[In Stock Date]]&lt;&gt;"",Main[[#This Row],[Revised Due Date]]&lt;&gt;""),Main[[#This Row],[In Stock Date]]-Main[[#This Row],[Revised Due Date]],"")</f>
        <v/>
      </c>
      <c r="I565" s="72" t="s">
        <v>4</v>
      </c>
      <c r="J565" s="72" t="s">
        <v>4</v>
      </c>
      <c r="K565" s="72" t="s">
        <v>4</v>
      </c>
      <c r="L565" s="74"/>
      <c r="M565" s="77" t="str">
        <f>IF(Main[[#This Row],[Tech Start Date]]&lt;1/1/1990,"",IF(Main[[#This Row],[Class]]="C",WORKDAY(Main[[#This Row],[Tech Start Date]],9),IF(Main[[#This Row],[Class]]="B", WORKDAY(Main[[#This Row],[Tech Start Date]],6),IF(Main[[#This Row],[Class]]="A",WORKDAY(Main[[#This Row],[Tech Start Date]],2),""))))</f>
        <v/>
      </c>
      <c r="N565" s="77" t="str">
        <f>IF(Main[[#This Row],[Tech Start Date]]&lt;1/1/1990,"",IF(Main[[#This Row],[Class]]="C",WORKDAY(Main[[#This Row],[Tech Start Date]],19),IF(Main[[#This Row],[Class]]="B", WORKDAY(Main[[#This Row],[Tech Start Date]],12),IF(Main[[#This Row],[Class]]="A",WORKDAY(Main[[#This Row],[Tech Start Date]],4),""))))</f>
        <v/>
      </c>
      <c r="O565" s="77" t="str">
        <f>IF(Main[[#This Row],[Tech Start Date]]&lt;1/1/1990,"",IF(Main[[#This Row],[Class]]="C",WORKDAY(Main[[#This Row],[Tech Start Date]],23),IF(Main[[#This Row],[Class]]="B", WORKDAY(Main[[#This Row],[Tech Start Date]],15),IF(Main[[#This Row],[Class]]="A",WORKDAY(Main[[#This Row],[Tech Start Date]],5),""))))</f>
        <v/>
      </c>
      <c r="P565" s="77" t="str">
        <f>IF(Main[[#This Row],[Tech Start Date]]&lt;1/1/1990,"",IF(Main[[#This Row],[Class]]="C",WORKDAY(Main[[#This Row],[Tech Start Date]],28),IF(Main[[#This Row],[Class]]="B", WORKDAY(Main[[#This Row],[Tech Start Date]],19),IF(Main[[#This Row],[Class]]="A",WORKDAY(Main[[#This Row],[Tech Start Date]],9),""))))</f>
        <v/>
      </c>
      <c r="Q565" s="74">
        <v>40725</v>
      </c>
      <c r="R565" s="154"/>
      <c r="S565" s="72" t="s">
        <v>6</v>
      </c>
      <c r="T565" s="80" t="s">
        <v>4</v>
      </c>
      <c r="U565" s="72" t="s">
        <v>7</v>
      </c>
      <c r="V565" s="72" t="s">
        <v>1917</v>
      </c>
      <c r="W565" s="72" t="s">
        <v>4</v>
      </c>
      <c r="X565" s="72" t="s">
        <v>2857</v>
      </c>
      <c r="Y565" s="72" t="s">
        <v>2992</v>
      </c>
      <c r="Z565" s="72" t="s">
        <v>4</v>
      </c>
      <c r="AA565" s="146" t="s">
        <v>2857</v>
      </c>
    </row>
    <row r="566" spans="1:27" ht="18.600000000000001" customHeight="1">
      <c r="A566" s="139" t="str">
        <f>IF(priority(Main[[#This Row],[Comments]])&lt;&gt;0, priority(Main[[#This Row],[Comments]]),"")</f>
        <v/>
      </c>
      <c r="B566" s="89" t="s">
        <v>1382</v>
      </c>
      <c r="C566" s="72" t="s">
        <v>31</v>
      </c>
      <c r="D566" s="73" t="s">
        <v>470</v>
      </c>
      <c r="E566" s="74"/>
      <c r="F566" s="74">
        <v>40230</v>
      </c>
      <c r="G566" s="75" t="str">
        <f>IF(stdProdLT(Main[[#This Row],[Comments]])=0.1,"N/A",IF(stdProdLT(Main[[#This Row],[Comments]])=0,"",stdProdLT(Main[[#This Row],[Comments]])))</f>
        <v/>
      </c>
      <c r="H566" s="76" t="str">
        <f>IF(AND(Main[[#This Row],[In Stock Date]]&lt;&gt;"",Main[[#This Row],[Revised Due Date]]&lt;&gt;""),Main[[#This Row],[In Stock Date]]-Main[[#This Row],[Revised Due Date]],"")</f>
        <v/>
      </c>
      <c r="I566" s="72" t="s">
        <v>4</v>
      </c>
      <c r="J566" s="72" t="s">
        <v>4</v>
      </c>
      <c r="K566" s="72" t="s">
        <v>4</v>
      </c>
      <c r="L566" s="74"/>
      <c r="M566" s="77" t="str">
        <f>IF(Main[[#This Row],[Tech Start Date]]&lt;1/1/1990,"",IF(Main[[#This Row],[Class]]="C",WORKDAY(Main[[#This Row],[Tech Start Date]],9),IF(Main[[#This Row],[Class]]="B", WORKDAY(Main[[#This Row],[Tech Start Date]],6),IF(Main[[#This Row],[Class]]="A",WORKDAY(Main[[#This Row],[Tech Start Date]],2),""))))</f>
        <v/>
      </c>
      <c r="N566" s="77" t="str">
        <f>IF(Main[[#This Row],[Tech Start Date]]&lt;1/1/1990,"",IF(Main[[#This Row],[Class]]="C",WORKDAY(Main[[#This Row],[Tech Start Date]],19),IF(Main[[#This Row],[Class]]="B", WORKDAY(Main[[#This Row],[Tech Start Date]],12),IF(Main[[#This Row],[Class]]="A",WORKDAY(Main[[#This Row],[Tech Start Date]],4),""))))</f>
        <v/>
      </c>
      <c r="O566" s="77" t="str">
        <f>IF(Main[[#This Row],[Tech Start Date]]&lt;1/1/1990,"",IF(Main[[#This Row],[Class]]="C",WORKDAY(Main[[#This Row],[Tech Start Date]],23),IF(Main[[#This Row],[Class]]="B", WORKDAY(Main[[#This Row],[Tech Start Date]],15),IF(Main[[#This Row],[Class]]="A",WORKDAY(Main[[#This Row],[Tech Start Date]],5),""))))</f>
        <v/>
      </c>
      <c r="P566" s="77" t="str">
        <f>IF(Main[[#This Row],[Tech Start Date]]&lt;1/1/1990,"",IF(Main[[#This Row],[Class]]="C",WORKDAY(Main[[#This Row],[Tech Start Date]],28),IF(Main[[#This Row],[Class]]="B", WORKDAY(Main[[#This Row],[Tech Start Date]],19),IF(Main[[#This Row],[Class]]="A",WORKDAY(Main[[#This Row],[Tech Start Date]],9),""))))</f>
        <v/>
      </c>
      <c r="Q566" s="74">
        <v>40235</v>
      </c>
      <c r="R566" s="74"/>
      <c r="S566" s="72" t="s">
        <v>11</v>
      </c>
      <c r="T566" s="80" t="s">
        <v>4</v>
      </c>
      <c r="U566" s="72" t="s">
        <v>14</v>
      </c>
      <c r="V566" s="72" t="s">
        <v>1918</v>
      </c>
      <c r="W566" s="72" t="s">
        <v>1925</v>
      </c>
      <c r="X566" s="72" t="s">
        <v>2841</v>
      </c>
      <c r="Y566" s="72" t="s">
        <v>4</v>
      </c>
      <c r="Z566" s="72" t="s">
        <v>4</v>
      </c>
      <c r="AA566" s="146" t="s">
        <v>2841</v>
      </c>
    </row>
    <row r="567" spans="1:27" ht="18.600000000000001" customHeight="1">
      <c r="A567" s="139" t="str">
        <f>IF(priority(Main[[#This Row],[Comments]])&lt;&gt;0, priority(Main[[#This Row],[Comments]]),"")</f>
        <v/>
      </c>
      <c r="B567" s="89" t="s">
        <v>1384</v>
      </c>
      <c r="C567" s="72" t="s">
        <v>471</v>
      </c>
      <c r="D567" s="73" t="s">
        <v>472</v>
      </c>
      <c r="E567" s="74"/>
      <c r="F567" s="74">
        <v>40450</v>
      </c>
      <c r="G567" s="75" t="str">
        <f>IF(stdProdLT(Main[[#This Row],[Comments]])=0.1,"N/A",IF(stdProdLT(Main[[#This Row],[Comments]])=0,"",stdProdLT(Main[[#This Row],[Comments]])))</f>
        <v/>
      </c>
      <c r="H567" s="76" t="str">
        <f>IF(AND(Main[[#This Row],[In Stock Date]]&lt;&gt;"",Main[[#This Row],[Revised Due Date]]&lt;&gt;""),Main[[#This Row],[In Stock Date]]-Main[[#This Row],[Revised Due Date]],"")</f>
        <v/>
      </c>
      <c r="I567" s="72" t="s">
        <v>4</v>
      </c>
      <c r="J567" s="72" t="s">
        <v>4</v>
      </c>
      <c r="K567" s="72" t="s">
        <v>4</v>
      </c>
      <c r="L567" s="74"/>
      <c r="M567" s="77" t="str">
        <f>IF(Main[[#This Row],[Tech Start Date]]&lt;1/1/1990,"",IF(Main[[#This Row],[Class]]="C",WORKDAY(Main[[#This Row],[Tech Start Date]],9),IF(Main[[#This Row],[Class]]="B", WORKDAY(Main[[#This Row],[Tech Start Date]],6),IF(Main[[#This Row],[Class]]="A",WORKDAY(Main[[#This Row],[Tech Start Date]],2),""))))</f>
        <v/>
      </c>
      <c r="N567" s="77" t="str">
        <f>IF(Main[[#This Row],[Tech Start Date]]&lt;1/1/1990,"",IF(Main[[#This Row],[Class]]="C",WORKDAY(Main[[#This Row],[Tech Start Date]],19),IF(Main[[#This Row],[Class]]="B", WORKDAY(Main[[#This Row],[Tech Start Date]],12),IF(Main[[#This Row],[Class]]="A",WORKDAY(Main[[#This Row],[Tech Start Date]],4),""))))</f>
        <v/>
      </c>
      <c r="O567" s="77" t="str">
        <f>IF(Main[[#This Row],[Tech Start Date]]&lt;1/1/1990,"",IF(Main[[#This Row],[Class]]="C",WORKDAY(Main[[#This Row],[Tech Start Date]],23),IF(Main[[#This Row],[Class]]="B", WORKDAY(Main[[#This Row],[Tech Start Date]],15),IF(Main[[#This Row],[Class]]="A",WORKDAY(Main[[#This Row],[Tech Start Date]],5),""))))</f>
        <v/>
      </c>
      <c r="P567" s="77" t="str">
        <f>IF(Main[[#This Row],[Tech Start Date]]&lt;1/1/1990,"",IF(Main[[#This Row],[Class]]="C",WORKDAY(Main[[#This Row],[Tech Start Date]],28),IF(Main[[#This Row],[Class]]="B", WORKDAY(Main[[#This Row],[Tech Start Date]],19),IF(Main[[#This Row],[Class]]="A",WORKDAY(Main[[#This Row],[Tech Start Date]],9),""))))</f>
        <v/>
      </c>
      <c r="Q567" s="74">
        <v>40421</v>
      </c>
      <c r="R567" s="154"/>
      <c r="S567" s="72" t="s">
        <v>11</v>
      </c>
      <c r="T567" s="80" t="s">
        <v>4</v>
      </c>
      <c r="U567" s="72" t="s">
        <v>14</v>
      </c>
      <c r="V567" s="72" t="s">
        <v>1920</v>
      </c>
      <c r="W567" s="72" t="s">
        <v>1922</v>
      </c>
      <c r="X567" s="72" t="s">
        <v>2862</v>
      </c>
      <c r="Y567" s="72" t="s">
        <v>3003</v>
      </c>
      <c r="Z567" s="72" t="s">
        <v>4</v>
      </c>
      <c r="AA567" s="146" t="s">
        <v>2862</v>
      </c>
    </row>
    <row r="568" spans="1:27" ht="18.600000000000001" customHeight="1">
      <c r="A568" s="139" t="str">
        <f>IF(priority(Main[[#This Row],[Comments]])&lt;&gt;0, priority(Main[[#This Row],[Comments]]),"")</f>
        <v/>
      </c>
      <c r="B568" s="89" t="s">
        <v>3334</v>
      </c>
      <c r="C568" s="72" t="s">
        <v>4</v>
      </c>
      <c r="D568" s="73" t="s">
        <v>3335</v>
      </c>
      <c r="E568" s="74">
        <v>40939.633171296293</v>
      </c>
      <c r="F568" s="74"/>
      <c r="G568" s="75" t="str">
        <f>IF(stdProdLT(Main[[#This Row],[Comments]])=0.1,"N/A",IF(stdProdLT(Main[[#This Row],[Comments]])=0,"",stdProdLT(Main[[#This Row],[Comments]])))</f>
        <v/>
      </c>
      <c r="H568" s="76" t="str">
        <f>IF(AND(Main[[#This Row],[In Stock Date]]&lt;&gt;"",Main[[#This Row],[Revised Due Date]]&lt;&gt;""),Main[[#This Row],[In Stock Date]]-Main[[#This Row],[Revised Due Date]],"")</f>
        <v/>
      </c>
      <c r="I568" s="72" t="s">
        <v>4</v>
      </c>
      <c r="J568" s="72" t="s">
        <v>4</v>
      </c>
      <c r="K568" s="72" t="s">
        <v>4</v>
      </c>
      <c r="L568" s="74"/>
      <c r="M568" s="77" t="str">
        <f>IF(Main[[#This Row],[Tech Start Date]]&lt;1/1/1990,"",IF(Main[[#This Row],[Class]]="C",WORKDAY(Main[[#This Row],[Tech Start Date]],9),IF(Main[[#This Row],[Class]]="B", WORKDAY(Main[[#This Row],[Tech Start Date]],6),IF(Main[[#This Row],[Class]]="A",WORKDAY(Main[[#This Row],[Tech Start Date]],2),""))))</f>
        <v/>
      </c>
      <c r="N568" s="77" t="str">
        <f>IF(Main[[#This Row],[Tech Start Date]]&lt;1/1/1990,"",IF(Main[[#This Row],[Class]]="C",WORKDAY(Main[[#This Row],[Tech Start Date]],19),IF(Main[[#This Row],[Class]]="B", WORKDAY(Main[[#This Row],[Tech Start Date]],12),IF(Main[[#This Row],[Class]]="A",WORKDAY(Main[[#This Row],[Tech Start Date]],4),""))))</f>
        <v/>
      </c>
      <c r="O568" s="77" t="str">
        <f>IF(Main[[#This Row],[Tech Start Date]]&lt;1/1/1990,"",IF(Main[[#This Row],[Class]]="C",WORKDAY(Main[[#This Row],[Tech Start Date]],23),IF(Main[[#This Row],[Class]]="B", WORKDAY(Main[[#This Row],[Tech Start Date]],15),IF(Main[[#This Row],[Class]]="A",WORKDAY(Main[[#This Row],[Tech Start Date]],5),""))))</f>
        <v/>
      </c>
      <c r="P568" s="77" t="str">
        <f>IF(Main[[#This Row],[Tech Start Date]]&lt;1/1/1990,"",IF(Main[[#This Row],[Class]]="C",WORKDAY(Main[[#This Row],[Tech Start Date]],28),IF(Main[[#This Row],[Class]]="B", WORKDAY(Main[[#This Row],[Tech Start Date]],19),IF(Main[[#This Row],[Class]]="A",WORKDAY(Main[[#This Row],[Tech Start Date]],9),""))))</f>
        <v/>
      </c>
      <c r="Q568" s="74"/>
      <c r="R568" s="74"/>
      <c r="S568" s="72" t="s">
        <v>6</v>
      </c>
      <c r="T568" s="80" t="s">
        <v>4</v>
      </c>
      <c r="U568" s="72" t="s">
        <v>7</v>
      </c>
      <c r="V568" s="72" t="s">
        <v>1917</v>
      </c>
      <c r="W568" s="72" t="s">
        <v>1921</v>
      </c>
      <c r="X568" s="72" t="s">
        <v>306</v>
      </c>
      <c r="Y568" s="72" t="s">
        <v>4</v>
      </c>
      <c r="Z568" s="72" t="s">
        <v>4</v>
      </c>
      <c r="AA568" s="146" t="s">
        <v>4</v>
      </c>
    </row>
    <row r="569" spans="1:27" ht="18.600000000000001" customHeight="1">
      <c r="A569" s="139" t="str">
        <f>IF(priority(Main[[#This Row],[Comments]])&lt;&gt;0, priority(Main[[#This Row],[Comments]]),"")</f>
        <v/>
      </c>
      <c r="B569" s="89" t="s">
        <v>3336</v>
      </c>
      <c r="C569" s="72" t="s">
        <v>4</v>
      </c>
      <c r="D569" s="73" t="s">
        <v>3337</v>
      </c>
      <c r="E569" s="74">
        <v>40939.634004629632</v>
      </c>
      <c r="F569" s="74"/>
      <c r="G569" s="75" t="str">
        <f>IF(stdProdLT(Main[[#This Row],[Comments]])=0.1,"N/A",IF(stdProdLT(Main[[#This Row],[Comments]])=0,"",stdProdLT(Main[[#This Row],[Comments]])))</f>
        <v/>
      </c>
      <c r="H569" s="76" t="str">
        <f>IF(AND(Main[[#This Row],[In Stock Date]]&lt;&gt;"",Main[[#This Row],[Revised Due Date]]&lt;&gt;""),Main[[#This Row],[In Stock Date]]-Main[[#This Row],[Revised Due Date]],"")</f>
        <v/>
      </c>
      <c r="I569" s="72" t="s">
        <v>4</v>
      </c>
      <c r="J569" s="72" t="s">
        <v>4</v>
      </c>
      <c r="K569" s="72" t="s">
        <v>4</v>
      </c>
      <c r="L569" s="74"/>
      <c r="M569" s="77" t="str">
        <f>IF(Main[[#This Row],[Tech Start Date]]&lt;1/1/1990,"",IF(Main[[#This Row],[Class]]="C",WORKDAY(Main[[#This Row],[Tech Start Date]],9),IF(Main[[#This Row],[Class]]="B", WORKDAY(Main[[#This Row],[Tech Start Date]],6),IF(Main[[#This Row],[Class]]="A",WORKDAY(Main[[#This Row],[Tech Start Date]],2),""))))</f>
        <v/>
      </c>
      <c r="N569" s="77" t="str">
        <f>IF(Main[[#This Row],[Tech Start Date]]&lt;1/1/1990,"",IF(Main[[#This Row],[Class]]="C",WORKDAY(Main[[#This Row],[Tech Start Date]],19),IF(Main[[#This Row],[Class]]="B", WORKDAY(Main[[#This Row],[Tech Start Date]],12),IF(Main[[#This Row],[Class]]="A",WORKDAY(Main[[#This Row],[Tech Start Date]],4),""))))</f>
        <v/>
      </c>
      <c r="O569" s="77" t="str">
        <f>IF(Main[[#This Row],[Tech Start Date]]&lt;1/1/1990,"",IF(Main[[#This Row],[Class]]="C",WORKDAY(Main[[#This Row],[Tech Start Date]],23),IF(Main[[#This Row],[Class]]="B", WORKDAY(Main[[#This Row],[Tech Start Date]],15),IF(Main[[#This Row],[Class]]="A",WORKDAY(Main[[#This Row],[Tech Start Date]],5),""))))</f>
        <v/>
      </c>
      <c r="P569" s="77" t="str">
        <f>IF(Main[[#This Row],[Tech Start Date]]&lt;1/1/1990,"",IF(Main[[#This Row],[Class]]="C",WORKDAY(Main[[#This Row],[Tech Start Date]],28),IF(Main[[#This Row],[Class]]="B", WORKDAY(Main[[#This Row],[Tech Start Date]],19),IF(Main[[#This Row],[Class]]="A",WORKDAY(Main[[#This Row],[Tech Start Date]],9),""))))</f>
        <v/>
      </c>
      <c r="Q569" s="74"/>
      <c r="R569" s="74"/>
      <c r="S569" s="72" t="s">
        <v>6</v>
      </c>
      <c r="T569" s="80" t="s">
        <v>4</v>
      </c>
      <c r="U569" s="72" t="s">
        <v>7</v>
      </c>
      <c r="V569" s="72" t="s">
        <v>1917</v>
      </c>
      <c r="W569" s="72" t="s">
        <v>1919</v>
      </c>
      <c r="X569" s="72" t="s">
        <v>306</v>
      </c>
      <c r="Y569" s="72" t="s">
        <v>4</v>
      </c>
      <c r="Z569" s="72" t="s">
        <v>879</v>
      </c>
      <c r="AA569" s="146" t="s">
        <v>4</v>
      </c>
    </row>
    <row r="570" spans="1:27" ht="18.600000000000001" customHeight="1">
      <c r="A570" s="139" t="str">
        <f>IF(priority(Main[[#This Row],[Comments]])&lt;&gt;0, priority(Main[[#This Row],[Comments]]),"")</f>
        <v/>
      </c>
      <c r="B570" s="89" t="s">
        <v>1386</v>
      </c>
      <c r="C570" s="72" t="s">
        <v>31</v>
      </c>
      <c r="D570" s="73" t="s">
        <v>473</v>
      </c>
      <c r="E570" s="74"/>
      <c r="F570" s="74"/>
      <c r="G570" s="75" t="str">
        <f>IF(stdProdLT(Main[[#This Row],[Comments]])=0.1,"N/A",IF(stdProdLT(Main[[#This Row],[Comments]])=0,"",stdProdLT(Main[[#This Row],[Comments]])))</f>
        <v/>
      </c>
      <c r="H570" s="76" t="str">
        <f>IF(AND(Main[[#This Row],[In Stock Date]]&lt;&gt;"",Main[[#This Row],[Revised Due Date]]&lt;&gt;""),Main[[#This Row],[In Stock Date]]-Main[[#This Row],[Revised Due Date]],"")</f>
        <v/>
      </c>
      <c r="I570" s="72" t="s">
        <v>4</v>
      </c>
      <c r="J570" s="72" t="s">
        <v>4</v>
      </c>
      <c r="K570" s="81" t="s">
        <v>4</v>
      </c>
      <c r="L570" s="74"/>
      <c r="M570" s="77" t="str">
        <f>IF(Main[[#This Row],[Tech Start Date]]&lt;1/1/1990,"",IF(Main[[#This Row],[Class]]="C",WORKDAY(Main[[#This Row],[Tech Start Date]],9),IF(Main[[#This Row],[Class]]="B", WORKDAY(Main[[#This Row],[Tech Start Date]],6),IF(Main[[#This Row],[Class]]="A",WORKDAY(Main[[#This Row],[Tech Start Date]],2),""))))</f>
        <v/>
      </c>
      <c r="N570" s="77" t="str">
        <f>IF(Main[[#This Row],[Tech Start Date]]&lt;1/1/1990,"",IF(Main[[#This Row],[Class]]="C",WORKDAY(Main[[#This Row],[Tech Start Date]],19),IF(Main[[#This Row],[Class]]="B", WORKDAY(Main[[#This Row],[Tech Start Date]],12),IF(Main[[#This Row],[Class]]="A",WORKDAY(Main[[#This Row],[Tech Start Date]],4),""))))</f>
        <v/>
      </c>
      <c r="O570" s="77" t="str">
        <f>IF(Main[[#This Row],[Tech Start Date]]&lt;1/1/1990,"",IF(Main[[#This Row],[Class]]="C",WORKDAY(Main[[#This Row],[Tech Start Date]],23),IF(Main[[#This Row],[Class]]="B", WORKDAY(Main[[#This Row],[Tech Start Date]],15),IF(Main[[#This Row],[Class]]="A",WORKDAY(Main[[#This Row],[Tech Start Date]],5),""))))</f>
        <v/>
      </c>
      <c r="P570" s="77" t="str">
        <f>IF(Main[[#This Row],[Tech Start Date]]&lt;1/1/1990,"",IF(Main[[#This Row],[Class]]="C",WORKDAY(Main[[#This Row],[Tech Start Date]],28),IF(Main[[#This Row],[Class]]="B", WORKDAY(Main[[#This Row],[Tech Start Date]],19),IF(Main[[#This Row],[Class]]="A",WORKDAY(Main[[#This Row],[Tech Start Date]],9),""))))</f>
        <v/>
      </c>
      <c r="Q570" s="74">
        <v>40318</v>
      </c>
      <c r="R570" s="154"/>
      <c r="S570" s="72" t="s">
        <v>11</v>
      </c>
      <c r="T570" s="80" t="s">
        <v>4</v>
      </c>
      <c r="U570" s="72" t="s">
        <v>14</v>
      </c>
      <c r="V570" s="72" t="s">
        <v>1920</v>
      </c>
      <c r="W570" s="72" t="s">
        <v>1919</v>
      </c>
      <c r="X570" s="72" t="s">
        <v>2836</v>
      </c>
      <c r="Y570" s="72" t="s">
        <v>4</v>
      </c>
      <c r="Z570" s="72" t="s">
        <v>4</v>
      </c>
      <c r="AA570" s="146" t="s">
        <v>2836</v>
      </c>
    </row>
    <row r="571" spans="1:27" ht="18.600000000000001" customHeight="1">
      <c r="A571" s="139" t="str">
        <f>IF(priority(Main[[#This Row],[Comments]])&lt;&gt;0, priority(Main[[#This Row],[Comments]]),"")</f>
        <v/>
      </c>
      <c r="B571" s="89" t="s">
        <v>1388</v>
      </c>
      <c r="C571" s="72" t="s">
        <v>4</v>
      </c>
      <c r="D571" s="73" t="s">
        <v>474</v>
      </c>
      <c r="E571" s="74">
        <v>40679.254976851851</v>
      </c>
      <c r="F571" s="74"/>
      <c r="G571" s="75" t="str">
        <f>IF(stdProdLT(Main[[#This Row],[Comments]])=0.1,"N/A",IF(stdProdLT(Main[[#This Row],[Comments]])=0,"",stdProdLT(Main[[#This Row],[Comments]])))</f>
        <v/>
      </c>
      <c r="H571" s="76" t="str">
        <f>IF(AND(Main[[#This Row],[In Stock Date]]&lt;&gt;"",Main[[#This Row],[Revised Due Date]]&lt;&gt;""),Main[[#This Row],[In Stock Date]]-Main[[#This Row],[Revised Due Date]],"")</f>
        <v/>
      </c>
      <c r="I571" s="72" t="s">
        <v>4</v>
      </c>
      <c r="J571" s="72" t="s">
        <v>4</v>
      </c>
      <c r="K571" s="72" t="s">
        <v>4</v>
      </c>
      <c r="L571" s="74"/>
      <c r="M571" s="77" t="str">
        <f>IF(Main[[#This Row],[Tech Start Date]]&lt;1/1/1990,"",IF(Main[[#This Row],[Class]]="C",WORKDAY(Main[[#This Row],[Tech Start Date]],9),IF(Main[[#This Row],[Class]]="B", WORKDAY(Main[[#This Row],[Tech Start Date]],6),IF(Main[[#This Row],[Class]]="A",WORKDAY(Main[[#This Row],[Tech Start Date]],2),""))))</f>
        <v/>
      </c>
      <c r="N571" s="77" t="str">
        <f>IF(Main[[#This Row],[Tech Start Date]]&lt;1/1/1990,"",IF(Main[[#This Row],[Class]]="C",WORKDAY(Main[[#This Row],[Tech Start Date]],19),IF(Main[[#This Row],[Class]]="B", WORKDAY(Main[[#This Row],[Tech Start Date]],12),IF(Main[[#This Row],[Class]]="A",WORKDAY(Main[[#This Row],[Tech Start Date]],4),""))))</f>
        <v/>
      </c>
      <c r="O571" s="77" t="str">
        <f>IF(Main[[#This Row],[Tech Start Date]]&lt;1/1/1990,"",IF(Main[[#This Row],[Class]]="C",WORKDAY(Main[[#This Row],[Tech Start Date]],23),IF(Main[[#This Row],[Class]]="B", WORKDAY(Main[[#This Row],[Tech Start Date]],15),IF(Main[[#This Row],[Class]]="A",WORKDAY(Main[[#This Row],[Tech Start Date]],5),""))))</f>
        <v/>
      </c>
      <c r="P571" s="77" t="str">
        <f>IF(Main[[#This Row],[Tech Start Date]]&lt;1/1/1990,"",IF(Main[[#This Row],[Class]]="C",WORKDAY(Main[[#This Row],[Tech Start Date]],28),IF(Main[[#This Row],[Class]]="B", WORKDAY(Main[[#This Row],[Tech Start Date]],19),IF(Main[[#This Row],[Class]]="A",WORKDAY(Main[[#This Row],[Tech Start Date]],9),""))))</f>
        <v/>
      </c>
      <c r="Q571" s="74">
        <v>40724</v>
      </c>
      <c r="R571" s="74"/>
      <c r="S571" s="72" t="s">
        <v>6</v>
      </c>
      <c r="T571" s="80" t="s">
        <v>4</v>
      </c>
      <c r="U571" s="72" t="s">
        <v>7</v>
      </c>
      <c r="V571" s="72" t="s">
        <v>1917</v>
      </c>
      <c r="W571" s="72" t="s">
        <v>4</v>
      </c>
      <c r="X571" s="72" t="s">
        <v>2828</v>
      </c>
      <c r="Y571" s="72" t="s">
        <v>2944</v>
      </c>
      <c r="Z571" s="72" t="s">
        <v>4</v>
      </c>
      <c r="AA571" s="146" t="s">
        <v>2828</v>
      </c>
    </row>
    <row r="572" spans="1:27" ht="18.600000000000001" customHeight="1">
      <c r="A572" s="139" t="str">
        <f>IF(priority(Main[[#This Row],[Comments]])&lt;&gt;0, priority(Main[[#This Row],[Comments]]),"")</f>
        <v/>
      </c>
      <c r="B572" s="89" t="s">
        <v>1389</v>
      </c>
      <c r="C572" s="72" t="s">
        <v>4</v>
      </c>
      <c r="D572" s="73" t="s">
        <v>475</v>
      </c>
      <c r="E572" s="74"/>
      <c r="F572" s="74"/>
      <c r="G572" s="75" t="str">
        <f>IF(stdProdLT(Main[[#This Row],[Comments]])=0.1,"N/A",IF(stdProdLT(Main[[#This Row],[Comments]])=0,"",stdProdLT(Main[[#This Row],[Comments]])))</f>
        <v/>
      </c>
      <c r="H572" s="76" t="str">
        <f>IF(AND(Main[[#This Row],[In Stock Date]]&lt;&gt;"",Main[[#This Row],[Revised Due Date]]&lt;&gt;""),Main[[#This Row],[In Stock Date]]-Main[[#This Row],[Revised Due Date]],"")</f>
        <v/>
      </c>
      <c r="I572" s="72" t="s">
        <v>129</v>
      </c>
      <c r="J572" s="72" t="s">
        <v>4</v>
      </c>
      <c r="K572" s="72" t="s">
        <v>4</v>
      </c>
      <c r="L572" s="74"/>
      <c r="M572" s="77" t="str">
        <f>IF(Main[[#This Row],[Tech Start Date]]&lt;1/1/1990,"",IF(Main[[#This Row],[Class]]="C",WORKDAY(Main[[#This Row],[Tech Start Date]],9),IF(Main[[#This Row],[Class]]="B", WORKDAY(Main[[#This Row],[Tech Start Date]],6),IF(Main[[#This Row],[Class]]="A",WORKDAY(Main[[#This Row],[Tech Start Date]],2),""))))</f>
        <v/>
      </c>
      <c r="N572" s="77" t="str">
        <f>IF(Main[[#This Row],[Tech Start Date]]&lt;1/1/1990,"",IF(Main[[#This Row],[Class]]="C",WORKDAY(Main[[#This Row],[Tech Start Date]],19),IF(Main[[#This Row],[Class]]="B", WORKDAY(Main[[#This Row],[Tech Start Date]],12),IF(Main[[#This Row],[Class]]="A",WORKDAY(Main[[#This Row],[Tech Start Date]],4),""))))</f>
        <v/>
      </c>
      <c r="O572" s="77" t="str">
        <f>IF(Main[[#This Row],[Tech Start Date]]&lt;1/1/1990,"",IF(Main[[#This Row],[Class]]="C",WORKDAY(Main[[#This Row],[Tech Start Date]],23),IF(Main[[#This Row],[Class]]="B", WORKDAY(Main[[#This Row],[Tech Start Date]],15),IF(Main[[#This Row],[Class]]="A",WORKDAY(Main[[#This Row],[Tech Start Date]],5),""))))</f>
        <v/>
      </c>
      <c r="P572" s="77" t="str">
        <f>IF(Main[[#This Row],[Tech Start Date]]&lt;1/1/1990,"",IF(Main[[#This Row],[Class]]="C",WORKDAY(Main[[#This Row],[Tech Start Date]],28),IF(Main[[#This Row],[Class]]="B", WORKDAY(Main[[#This Row],[Tech Start Date]],19),IF(Main[[#This Row],[Class]]="A",WORKDAY(Main[[#This Row],[Tech Start Date]],9),""))))</f>
        <v/>
      </c>
      <c r="Q572" s="74">
        <v>40359</v>
      </c>
      <c r="R572" s="154"/>
      <c r="S572" s="72" t="s">
        <v>6</v>
      </c>
      <c r="T572" s="80" t="s">
        <v>4</v>
      </c>
      <c r="U572" s="72" t="s">
        <v>14</v>
      </c>
      <c r="V572" s="72" t="s">
        <v>1917</v>
      </c>
      <c r="W572" s="72" t="s">
        <v>1922</v>
      </c>
      <c r="X572" s="72" t="s">
        <v>102</v>
      </c>
      <c r="Y572" s="72" t="s">
        <v>3045</v>
      </c>
      <c r="Z572" s="72" t="s">
        <v>4</v>
      </c>
      <c r="AA572" s="146" t="s">
        <v>2879</v>
      </c>
    </row>
    <row r="573" spans="1:27" ht="18.600000000000001" customHeight="1">
      <c r="A573" s="139" t="str">
        <f>IF(priority(Main[[#This Row],[Comments]])&lt;&gt;0, priority(Main[[#This Row],[Comments]]),"")</f>
        <v/>
      </c>
      <c r="B573" s="89" t="s">
        <v>1390</v>
      </c>
      <c r="C573" s="72" t="s">
        <v>4</v>
      </c>
      <c r="D573" s="73" t="s">
        <v>476</v>
      </c>
      <c r="E573" s="74"/>
      <c r="F573" s="74"/>
      <c r="G573" s="75" t="str">
        <f>IF(stdProdLT(Main[[#This Row],[Comments]])=0.1,"N/A",IF(stdProdLT(Main[[#This Row],[Comments]])=0,"",stdProdLT(Main[[#This Row],[Comments]])))</f>
        <v/>
      </c>
      <c r="H573" s="76" t="str">
        <f>IF(AND(Main[[#This Row],[In Stock Date]]&lt;&gt;"",Main[[#This Row],[Revised Due Date]]&lt;&gt;""),Main[[#This Row],[In Stock Date]]-Main[[#This Row],[Revised Due Date]],"")</f>
        <v/>
      </c>
      <c r="I573" s="72" t="s">
        <v>4</v>
      </c>
      <c r="J573" s="72" t="s">
        <v>4</v>
      </c>
      <c r="K573" s="81" t="s">
        <v>4</v>
      </c>
      <c r="L573" s="74"/>
      <c r="M573" s="77" t="str">
        <f>IF(Main[[#This Row],[Tech Start Date]]&lt;1/1/1990,"",IF(Main[[#This Row],[Class]]="C",WORKDAY(Main[[#This Row],[Tech Start Date]],9),IF(Main[[#This Row],[Class]]="B", WORKDAY(Main[[#This Row],[Tech Start Date]],6),IF(Main[[#This Row],[Class]]="A",WORKDAY(Main[[#This Row],[Tech Start Date]],2),""))))</f>
        <v/>
      </c>
      <c r="N573" s="77" t="str">
        <f>IF(Main[[#This Row],[Tech Start Date]]&lt;1/1/1990,"",IF(Main[[#This Row],[Class]]="C",WORKDAY(Main[[#This Row],[Tech Start Date]],19),IF(Main[[#This Row],[Class]]="B", WORKDAY(Main[[#This Row],[Tech Start Date]],12),IF(Main[[#This Row],[Class]]="A",WORKDAY(Main[[#This Row],[Tech Start Date]],4),""))))</f>
        <v/>
      </c>
      <c r="O573" s="77" t="str">
        <f>IF(Main[[#This Row],[Tech Start Date]]&lt;1/1/1990,"",IF(Main[[#This Row],[Class]]="C",WORKDAY(Main[[#This Row],[Tech Start Date]],23),IF(Main[[#This Row],[Class]]="B", WORKDAY(Main[[#This Row],[Tech Start Date]],15),IF(Main[[#This Row],[Class]]="A",WORKDAY(Main[[#This Row],[Tech Start Date]],5),""))))</f>
        <v/>
      </c>
      <c r="P573" s="77" t="str">
        <f>IF(Main[[#This Row],[Tech Start Date]]&lt;1/1/1990,"",IF(Main[[#This Row],[Class]]="C",WORKDAY(Main[[#This Row],[Tech Start Date]],28),IF(Main[[#This Row],[Class]]="B", WORKDAY(Main[[#This Row],[Tech Start Date]],19),IF(Main[[#This Row],[Class]]="A",WORKDAY(Main[[#This Row],[Tech Start Date]],9),""))))</f>
        <v/>
      </c>
      <c r="Q573" s="74">
        <v>40151</v>
      </c>
      <c r="R573" s="74"/>
      <c r="S573" s="72" t="s">
        <v>6</v>
      </c>
      <c r="T573" s="80" t="s">
        <v>4</v>
      </c>
      <c r="U573" s="72" t="s">
        <v>12</v>
      </c>
      <c r="V573" s="72" t="s">
        <v>1917</v>
      </c>
      <c r="W573" s="72" t="s">
        <v>1919</v>
      </c>
      <c r="X573" s="72" t="s">
        <v>896</v>
      </c>
      <c r="Y573" s="72" t="s">
        <v>3046</v>
      </c>
      <c r="Z573" s="72" t="s">
        <v>4</v>
      </c>
      <c r="AA573" s="146" t="s">
        <v>896</v>
      </c>
    </row>
    <row r="574" spans="1:27" ht="18.600000000000001" customHeight="1">
      <c r="A574" s="139" t="str">
        <f>IF(priority(Main[[#This Row],[Comments]])&lt;&gt;0, priority(Main[[#This Row],[Comments]]),"")</f>
        <v/>
      </c>
      <c r="B574" s="89" t="s">
        <v>2261</v>
      </c>
      <c r="C574" s="72" t="s">
        <v>95</v>
      </c>
      <c r="D574" s="73" t="s">
        <v>2262</v>
      </c>
      <c r="E574" s="74">
        <v>40806.589305555557</v>
      </c>
      <c r="F574" s="74"/>
      <c r="G574" s="75" t="str">
        <f>IF(stdProdLT(Main[[#This Row],[Comments]])=0.1,"N/A",IF(stdProdLT(Main[[#This Row],[Comments]])=0,"",stdProdLT(Main[[#This Row],[Comments]])))</f>
        <v/>
      </c>
      <c r="H574" s="76" t="str">
        <f>IF(AND(Main[[#This Row],[In Stock Date]]&lt;&gt;"",Main[[#This Row],[Revised Due Date]]&lt;&gt;""),Main[[#This Row],[In Stock Date]]-Main[[#This Row],[Revised Due Date]],"")</f>
        <v/>
      </c>
      <c r="I574" s="72" t="s">
        <v>4</v>
      </c>
      <c r="J574" s="72" t="s">
        <v>4</v>
      </c>
      <c r="K574" s="72" t="s">
        <v>4</v>
      </c>
      <c r="L574" s="74"/>
      <c r="M574" s="77" t="str">
        <f>IF(Main[[#This Row],[Tech Start Date]]&lt;1/1/1990,"",IF(Main[[#This Row],[Class]]="C",WORKDAY(Main[[#This Row],[Tech Start Date]],9),IF(Main[[#This Row],[Class]]="B", WORKDAY(Main[[#This Row],[Tech Start Date]],6),IF(Main[[#This Row],[Class]]="A",WORKDAY(Main[[#This Row],[Tech Start Date]],2),""))))</f>
        <v/>
      </c>
      <c r="N574" s="77" t="str">
        <f>IF(Main[[#This Row],[Tech Start Date]]&lt;1/1/1990,"",IF(Main[[#This Row],[Class]]="C",WORKDAY(Main[[#This Row],[Tech Start Date]],19),IF(Main[[#This Row],[Class]]="B", WORKDAY(Main[[#This Row],[Tech Start Date]],12),IF(Main[[#This Row],[Class]]="A",WORKDAY(Main[[#This Row],[Tech Start Date]],4),""))))</f>
        <v/>
      </c>
      <c r="O574" s="77" t="str">
        <f>IF(Main[[#This Row],[Tech Start Date]]&lt;1/1/1990,"",IF(Main[[#This Row],[Class]]="C",WORKDAY(Main[[#This Row],[Tech Start Date]],23),IF(Main[[#This Row],[Class]]="B", WORKDAY(Main[[#This Row],[Tech Start Date]],15),IF(Main[[#This Row],[Class]]="A",WORKDAY(Main[[#This Row],[Tech Start Date]],5),""))))</f>
        <v/>
      </c>
      <c r="P574" s="77" t="str">
        <f>IF(Main[[#This Row],[Tech Start Date]]&lt;1/1/1990,"",IF(Main[[#This Row],[Class]]="C",WORKDAY(Main[[#This Row],[Tech Start Date]],28),IF(Main[[#This Row],[Class]]="B", WORKDAY(Main[[#This Row],[Tech Start Date]],19),IF(Main[[#This Row],[Class]]="A",WORKDAY(Main[[#This Row],[Tech Start Date]],9),""))))</f>
        <v/>
      </c>
      <c r="Q574" s="74">
        <v>40823</v>
      </c>
      <c r="R574" s="74"/>
      <c r="S574" s="72" t="s">
        <v>17</v>
      </c>
      <c r="T574" s="80" t="s">
        <v>4</v>
      </c>
      <c r="U574" s="72" t="s">
        <v>7</v>
      </c>
      <c r="V574" s="72" t="s">
        <v>1918</v>
      </c>
      <c r="W574" s="72" t="s">
        <v>1922</v>
      </c>
      <c r="X574" s="72" t="s">
        <v>554</v>
      </c>
      <c r="Y574" s="72" t="s">
        <v>2958</v>
      </c>
      <c r="Z574" s="72" t="s">
        <v>4</v>
      </c>
      <c r="AA574" s="146" t="s">
        <v>554</v>
      </c>
    </row>
    <row r="575" spans="1:27" ht="18.600000000000001" customHeight="1">
      <c r="A575" s="139" t="str">
        <f>IF(priority(Main[[#This Row],[Comments]])&lt;&gt;0, priority(Main[[#This Row],[Comments]]),"")</f>
        <v/>
      </c>
      <c r="B575" s="89" t="s">
        <v>2224</v>
      </c>
      <c r="C575" s="72" t="s">
        <v>4</v>
      </c>
      <c r="D575" s="73" t="s">
        <v>2225</v>
      </c>
      <c r="E575" s="74"/>
      <c r="F575" s="74"/>
      <c r="G575" s="75" t="str">
        <f>IF(stdProdLT(Main[[#This Row],[Comments]])=0.1,"N/A",IF(stdProdLT(Main[[#This Row],[Comments]])=0,"",stdProdLT(Main[[#This Row],[Comments]])))</f>
        <v/>
      </c>
      <c r="H575" s="76" t="str">
        <f>IF(AND(Main[[#This Row],[In Stock Date]]&lt;&gt;"",Main[[#This Row],[Revised Due Date]]&lt;&gt;""),Main[[#This Row],[In Stock Date]]-Main[[#This Row],[Revised Due Date]],"")</f>
        <v/>
      </c>
      <c r="I575" s="72" t="s">
        <v>4</v>
      </c>
      <c r="J575" s="72" t="s">
        <v>4</v>
      </c>
      <c r="K575" s="72" t="s">
        <v>4</v>
      </c>
      <c r="L575" s="74"/>
      <c r="M575" s="77" t="str">
        <f>IF(Main[[#This Row],[Tech Start Date]]&lt;1/1/1990,"",IF(Main[[#This Row],[Class]]="C",WORKDAY(Main[[#This Row],[Tech Start Date]],9),IF(Main[[#This Row],[Class]]="B", WORKDAY(Main[[#This Row],[Tech Start Date]],6),IF(Main[[#This Row],[Class]]="A",WORKDAY(Main[[#This Row],[Tech Start Date]],2),""))))</f>
        <v/>
      </c>
      <c r="N575" s="77" t="str">
        <f>IF(Main[[#This Row],[Tech Start Date]]&lt;1/1/1990,"",IF(Main[[#This Row],[Class]]="C",WORKDAY(Main[[#This Row],[Tech Start Date]],19),IF(Main[[#This Row],[Class]]="B", WORKDAY(Main[[#This Row],[Tech Start Date]],12),IF(Main[[#This Row],[Class]]="A",WORKDAY(Main[[#This Row],[Tech Start Date]],4),""))))</f>
        <v/>
      </c>
      <c r="O575" s="77" t="str">
        <f>IF(Main[[#This Row],[Tech Start Date]]&lt;1/1/1990,"",IF(Main[[#This Row],[Class]]="C",WORKDAY(Main[[#This Row],[Tech Start Date]],23),IF(Main[[#This Row],[Class]]="B", WORKDAY(Main[[#This Row],[Tech Start Date]],15),IF(Main[[#This Row],[Class]]="A",WORKDAY(Main[[#This Row],[Tech Start Date]],5),""))))</f>
        <v/>
      </c>
      <c r="P575" s="77" t="str">
        <f>IF(Main[[#This Row],[Tech Start Date]]&lt;1/1/1990,"",IF(Main[[#This Row],[Class]]="C",WORKDAY(Main[[#This Row],[Tech Start Date]],28),IF(Main[[#This Row],[Class]]="B", WORKDAY(Main[[#This Row],[Tech Start Date]],19),IF(Main[[#This Row],[Class]]="A",WORKDAY(Main[[#This Row],[Tech Start Date]],9),""))))</f>
        <v/>
      </c>
      <c r="Q575" s="74"/>
      <c r="R575" s="74"/>
      <c r="S575" s="72" t="s">
        <v>49</v>
      </c>
      <c r="T575" s="80" t="s">
        <v>4</v>
      </c>
      <c r="U575" s="72" t="s">
        <v>14</v>
      </c>
      <c r="V575" s="72" t="s">
        <v>1918</v>
      </c>
      <c r="W575" s="72" t="s">
        <v>1921</v>
      </c>
      <c r="X575" s="72" t="s">
        <v>306</v>
      </c>
      <c r="Y575" s="72" t="s">
        <v>4</v>
      </c>
      <c r="Z575" s="72" t="s">
        <v>4</v>
      </c>
      <c r="AA575" s="146" t="s">
        <v>4</v>
      </c>
    </row>
    <row r="576" spans="1:27" ht="18.600000000000001" customHeight="1">
      <c r="A576" s="139" t="str">
        <f>IF(priority(Main[[#This Row],[Comments]])&lt;&gt;0, priority(Main[[#This Row],[Comments]]),"")</f>
        <v/>
      </c>
      <c r="B576" s="89" t="s">
        <v>1353</v>
      </c>
      <c r="C576" s="72" t="s">
        <v>4</v>
      </c>
      <c r="D576" s="73" t="s">
        <v>440</v>
      </c>
      <c r="E576" s="74">
        <v>40389.394756944443</v>
      </c>
      <c r="F576" s="74"/>
      <c r="G576" s="75" t="str">
        <f>IF(stdProdLT(Main[[#This Row],[Comments]])=0.1,"N/A",IF(stdProdLT(Main[[#This Row],[Comments]])=0,"",stdProdLT(Main[[#This Row],[Comments]])))</f>
        <v/>
      </c>
      <c r="H576" s="76" t="str">
        <f>IF(AND(Main[[#This Row],[In Stock Date]]&lt;&gt;"",Main[[#This Row],[Revised Due Date]]&lt;&gt;""),Main[[#This Row],[In Stock Date]]-Main[[#This Row],[Revised Due Date]],"")</f>
        <v/>
      </c>
      <c r="I576" s="72" t="s">
        <v>4</v>
      </c>
      <c r="J576" s="72" t="s">
        <v>28</v>
      </c>
      <c r="K576" s="72" t="s">
        <v>1929</v>
      </c>
      <c r="L576" s="74"/>
      <c r="M576" s="77" t="str">
        <f>IF(Main[[#This Row],[Tech Start Date]]&lt;1/1/1990,"",IF(Main[[#This Row],[Class]]="C",WORKDAY(Main[[#This Row],[Tech Start Date]],9),IF(Main[[#This Row],[Class]]="B", WORKDAY(Main[[#This Row],[Tech Start Date]],6),IF(Main[[#This Row],[Class]]="A",WORKDAY(Main[[#This Row],[Tech Start Date]],2),""))))</f>
        <v/>
      </c>
      <c r="N576" s="77" t="str">
        <f>IF(Main[[#This Row],[Tech Start Date]]&lt;1/1/1990,"",IF(Main[[#This Row],[Class]]="C",WORKDAY(Main[[#This Row],[Tech Start Date]],19),IF(Main[[#This Row],[Class]]="B", WORKDAY(Main[[#This Row],[Tech Start Date]],12),IF(Main[[#This Row],[Class]]="A",WORKDAY(Main[[#This Row],[Tech Start Date]],4),""))))</f>
        <v/>
      </c>
      <c r="O576" s="77" t="str">
        <f>IF(Main[[#This Row],[Tech Start Date]]&lt;1/1/1990,"",IF(Main[[#This Row],[Class]]="C",WORKDAY(Main[[#This Row],[Tech Start Date]],23),IF(Main[[#This Row],[Class]]="B", WORKDAY(Main[[#This Row],[Tech Start Date]],15),IF(Main[[#This Row],[Class]]="A",WORKDAY(Main[[#This Row],[Tech Start Date]],5),""))))</f>
        <v/>
      </c>
      <c r="P576" s="77" t="str">
        <f>IF(Main[[#This Row],[Tech Start Date]]&lt;1/1/1990,"",IF(Main[[#This Row],[Class]]="C",WORKDAY(Main[[#This Row],[Tech Start Date]],28),IF(Main[[#This Row],[Class]]="B", WORKDAY(Main[[#This Row],[Tech Start Date]],19),IF(Main[[#This Row],[Class]]="A",WORKDAY(Main[[#This Row],[Tech Start Date]],9),""))))</f>
        <v/>
      </c>
      <c r="Q576" s="74">
        <v>40451</v>
      </c>
      <c r="R576" s="74"/>
      <c r="S576" s="72" t="s">
        <v>17</v>
      </c>
      <c r="T576" s="80" t="s">
        <v>4</v>
      </c>
      <c r="U576" s="72" t="s">
        <v>7</v>
      </c>
      <c r="V576" s="72" t="s">
        <v>1917</v>
      </c>
      <c r="W576" s="72" t="s">
        <v>1922</v>
      </c>
      <c r="X576" s="72" t="s">
        <v>129</v>
      </c>
      <c r="Y576" s="72" t="s">
        <v>2965</v>
      </c>
      <c r="Z576" s="72" t="s">
        <v>2834</v>
      </c>
      <c r="AA576" s="146" t="s">
        <v>2834</v>
      </c>
    </row>
    <row r="577" spans="1:27" ht="18.600000000000001" customHeight="1">
      <c r="A577" s="139" t="str">
        <f>IF(priority(Main[[#This Row],[Comments]])&lt;&gt;0, priority(Main[[#This Row],[Comments]]),"")</f>
        <v/>
      </c>
      <c r="B577" s="89" t="s">
        <v>1392</v>
      </c>
      <c r="C577" s="72" t="s">
        <v>72</v>
      </c>
      <c r="D577" s="73" t="s">
        <v>477</v>
      </c>
      <c r="E577" s="74"/>
      <c r="F577" s="74">
        <v>40031</v>
      </c>
      <c r="G577" s="75" t="str">
        <f>IF(stdProdLT(Main[[#This Row],[Comments]])=0.1,"N/A",IF(stdProdLT(Main[[#This Row],[Comments]])=0,"",stdProdLT(Main[[#This Row],[Comments]])))</f>
        <v/>
      </c>
      <c r="H577" s="76" t="str">
        <f>IF(AND(Main[[#This Row],[In Stock Date]]&lt;&gt;"",Main[[#This Row],[Revised Due Date]]&lt;&gt;""),Main[[#This Row],[In Stock Date]]-Main[[#This Row],[Revised Due Date]],"")</f>
        <v/>
      </c>
      <c r="I577" s="72" t="s">
        <v>4</v>
      </c>
      <c r="J577" s="72" t="s">
        <v>4</v>
      </c>
      <c r="K577" s="72" t="s">
        <v>4</v>
      </c>
      <c r="L577" s="74"/>
      <c r="M577" s="77" t="str">
        <f>IF(Main[[#This Row],[Tech Start Date]]&lt;1/1/1990,"",IF(Main[[#This Row],[Class]]="C",WORKDAY(Main[[#This Row],[Tech Start Date]],9),IF(Main[[#This Row],[Class]]="B", WORKDAY(Main[[#This Row],[Tech Start Date]],6),IF(Main[[#This Row],[Class]]="A",WORKDAY(Main[[#This Row],[Tech Start Date]],2),""))))</f>
        <v/>
      </c>
      <c r="N577" s="77" t="str">
        <f>IF(Main[[#This Row],[Tech Start Date]]&lt;1/1/1990,"",IF(Main[[#This Row],[Class]]="C",WORKDAY(Main[[#This Row],[Tech Start Date]],19),IF(Main[[#This Row],[Class]]="B", WORKDAY(Main[[#This Row],[Tech Start Date]],12),IF(Main[[#This Row],[Class]]="A",WORKDAY(Main[[#This Row],[Tech Start Date]],4),""))))</f>
        <v/>
      </c>
      <c r="O577" s="77" t="str">
        <f>IF(Main[[#This Row],[Tech Start Date]]&lt;1/1/1990,"",IF(Main[[#This Row],[Class]]="C",WORKDAY(Main[[#This Row],[Tech Start Date]],23),IF(Main[[#This Row],[Class]]="B", WORKDAY(Main[[#This Row],[Tech Start Date]],15),IF(Main[[#This Row],[Class]]="A",WORKDAY(Main[[#This Row],[Tech Start Date]],5),""))))</f>
        <v/>
      </c>
      <c r="P577" s="77" t="str">
        <f>IF(Main[[#This Row],[Tech Start Date]]&lt;1/1/1990,"",IF(Main[[#This Row],[Class]]="C",WORKDAY(Main[[#This Row],[Tech Start Date]],28),IF(Main[[#This Row],[Class]]="B", WORKDAY(Main[[#This Row],[Tech Start Date]],19),IF(Main[[#This Row],[Class]]="A",WORKDAY(Main[[#This Row],[Tech Start Date]],9),""))))</f>
        <v/>
      </c>
      <c r="Q577" s="74">
        <v>39976</v>
      </c>
      <c r="R577" s="154"/>
      <c r="S577" s="72" t="s">
        <v>11</v>
      </c>
      <c r="T577" s="80" t="s">
        <v>4</v>
      </c>
      <c r="U577" s="72" t="s">
        <v>14</v>
      </c>
      <c r="V577" s="72" t="s">
        <v>1918</v>
      </c>
      <c r="W577" s="72" t="s">
        <v>1925</v>
      </c>
      <c r="X577" s="72" t="s">
        <v>2830</v>
      </c>
      <c r="Y577" s="72" t="s">
        <v>2949</v>
      </c>
      <c r="Z577" s="72" t="s">
        <v>4</v>
      </c>
      <c r="AA577" s="146" t="s">
        <v>2830</v>
      </c>
    </row>
    <row r="578" spans="1:27" ht="18.600000000000001" customHeight="1">
      <c r="A578" s="139" t="str">
        <f>IF(priority(Main[[#This Row],[Comments]])&lt;&gt;0, priority(Main[[#This Row],[Comments]]),"")</f>
        <v/>
      </c>
      <c r="B578" s="89" t="s">
        <v>1393</v>
      </c>
      <c r="C578" s="72" t="s">
        <v>83</v>
      </c>
      <c r="D578" s="73" t="s">
        <v>478</v>
      </c>
      <c r="E578" s="74"/>
      <c r="F578" s="74"/>
      <c r="G578" s="75" t="str">
        <f>IF(stdProdLT(Main[[#This Row],[Comments]])=0.1,"N/A",IF(stdProdLT(Main[[#This Row],[Comments]])=0,"",stdProdLT(Main[[#This Row],[Comments]])))</f>
        <v/>
      </c>
      <c r="H578" s="76" t="str">
        <f>IF(AND(Main[[#This Row],[In Stock Date]]&lt;&gt;"",Main[[#This Row],[Revised Due Date]]&lt;&gt;""),Main[[#This Row],[In Stock Date]]-Main[[#This Row],[Revised Due Date]],"")</f>
        <v/>
      </c>
      <c r="I578" s="72" t="s">
        <v>4</v>
      </c>
      <c r="J578" s="72" t="s">
        <v>4</v>
      </c>
      <c r="K578" s="72" t="s">
        <v>4</v>
      </c>
      <c r="L578" s="74"/>
      <c r="M578" s="77" t="str">
        <f>IF(Main[[#This Row],[Tech Start Date]]&lt;1/1/1990,"",IF(Main[[#This Row],[Class]]="C",WORKDAY(Main[[#This Row],[Tech Start Date]],9),IF(Main[[#This Row],[Class]]="B", WORKDAY(Main[[#This Row],[Tech Start Date]],6),IF(Main[[#This Row],[Class]]="A",WORKDAY(Main[[#This Row],[Tech Start Date]],2),""))))</f>
        <v/>
      </c>
      <c r="N578" s="77" t="str">
        <f>IF(Main[[#This Row],[Tech Start Date]]&lt;1/1/1990,"",IF(Main[[#This Row],[Class]]="C",WORKDAY(Main[[#This Row],[Tech Start Date]],19),IF(Main[[#This Row],[Class]]="B", WORKDAY(Main[[#This Row],[Tech Start Date]],12),IF(Main[[#This Row],[Class]]="A",WORKDAY(Main[[#This Row],[Tech Start Date]],4),""))))</f>
        <v/>
      </c>
      <c r="O578" s="77" t="str">
        <f>IF(Main[[#This Row],[Tech Start Date]]&lt;1/1/1990,"",IF(Main[[#This Row],[Class]]="C",WORKDAY(Main[[#This Row],[Tech Start Date]],23),IF(Main[[#This Row],[Class]]="B", WORKDAY(Main[[#This Row],[Tech Start Date]],15),IF(Main[[#This Row],[Class]]="A",WORKDAY(Main[[#This Row],[Tech Start Date]],5),""))))</f>
        <v/>
      </c>
      <c r="P578" s="77" t="str">
        <f>IF(Main[[#This Row],[Tech Start Date]]&lt;1/1/1990,"",IF(Main[[#This Row],[Class]]="C",WORKDAY(Main[[#This Row],[Tech Start Date]],28),IF(Main[[#This Row],[Class]]="B", WORKDAY(Main[[#This Row],[Tech Start Date]],19),IF(Main[[#This Row],[Class]]="A",WORKDAY(Main[[#This Row],[Tech Start Date]],9),""))))</f>
        <v/>
      </c>
      <c r="Q578" s="74">
        <v>40137</v>
      </c>
      <c r="R578" s="154"/>
      <c r="S578" s="72" t="s">
        <v>11</v>
      </c>
      <c r="T578" s="80" t="s">
        <v>4</v>
      </c>
      <c r="U578" s="72" t="s">
        <v>14</v>
      </c>
      <c r="V578" s="72" t="s">
        <v>1917</v>
      </c>
      <c r="W578" s="72" t="s">
        <v>1928</v>
      </c>
      <c r="X578" s="72" t="s">
        <v>2823</v>
      </c>
      <c r="Y578" s="72" t="s">
        <v>4</v>
      </c>
      <c r="Z578" s="72" t="s">
        <v>4</v>
      </c>
      <c r="AA578" s="146" t="s">
        <v>2823</v>
      </c>
    </row>
    <row r="579" spans="1:27" ht="18.600000000000001" customHeight="1">
      <c r="A579" s="139" t="str">
        <f>IF(priority(Main[[#This Row],[Comments]])&lt;&gt;0, priority(Main[[#This Row],[Comments]]),"")</f>
        <v/>
      </c>
      <c r="B579" s="89" t="s">
        <v>1394</v>
      </c>
      <c r="C579" s="72" t="s">
        <v>95</v>
      </c>
      <c r="D579" s="73" t="s">
        <v>479</v>
      </c>
      <c r="E579" s="74"/>
      <c r="F579" s="74">
        <v>40196</v>
      </c>
      <c r="G579" s="75" t="str">
        <f>IF(stdProdLT(Main[[#This Row],[Comments]])=0.1,"N/A",IF(stdProdLT(Main[[#This Row],[Comments]])=0,"",stdProdLT(Main[[#This Row],[Comments]])))</f>
        <v/>
      </c>
      <c r="H579" s="76" t="str">
        <f>IF(AND(Main[[#This Row],[In Stock Date]]&lt;&gt;"",Main[[#This Row],[Revised Due Date]]&lt;&gt;""),Main[[#This Row],[In Stock Date]]-Main[[#This Row],[Revised Due Date]],"")</f>
        <v/>
      </c>
      <c r="I579" s="72" t="s">
        <v>4</v>
      </c>
      <c r="J579" s="72" t="s">
        <v>4</v>
      </c>
      <c r="K579" s="81" t="s">
        <v>4</v>
      </c>
      <c r="L579" s="74"/>
      <c r="M579" s="77" t="str">
        <f>IF(Main[[#This Row],[Tech Start Date]]&lt;1/1/1990,"",IF(Main[[#This Row],[Class]]="C",WORKDAY(Main[[#This Row],[Tech Start Date]],9),IF(Main[[#This Row],[Class]]="B", WORKDAY(Main[[#This Row],[Tech Start Date]],6),IF(Main[[#This Row],[Class]]="A",WORKDAY(Main[[#This Row],[Tech Start Date]],2),""))))</f>
        <v/>
      </c>
      <c r="N579" s="77" t="str">
        <f>IF(Main[[#This Row],[Tech Start Date]]&lt;1/1/1990,"",IF(Main[[#This Row],[Class]]="C",WORKDAY(Main[[#This Row],[Tech Start Date]],19),IF(Main[[#This Row],[Class]]="B", WORKDAY(Main[[#This Row],[Tech Start Date]],12),IF(Main[[#This Row],[Class]]="A",WORKDAY(Main[[#This Row],[Tech Start Date]],4),""))))</f>
        <v/>
      </c>
      <c r="O579" s="77" t="str">
        <f>IF(Main[[#This Row],[Tech Start Date]]&lt;1/1/1990,"",IF(Main[[#This Row],[Class]]="C",WORKDAY(Main[[#This Row],[Tech Start Date]],23),IF(Main[[#This Row],[Class]]="B", WORKDAY(Main[[#This Row],[Tech Start Date]],15),IF(Main[[#This Row],[Class]]="A",WORKDAY(Main[[#This Row],[Tech Start Date]],5),""))))</f>
        <v/>
      </c>
      <c r="P579" s="77" t="str">
        <f>IF(Main[[#This Row],[Tech Start Date]]&lt;1/1/1990,"",IF(Main[[#This Row],[Class]]="C",WORKDAY(Main[[#This Row],[Tech Start Date]],28),IF(Main[[#This Row],[Class]]="B", WORKDAY(Main[[#This Row],[Tech Start Date]],19),IF(Main[[#This Row],[Class]]="A",WORKDAY(Main[[#This Row],[Tech Start Date]],9),""))))</f>
        <v/>
      </c>
      <c r="Q579" s="74">
        <v>40077</v>
      </c>
      <c r="R579" s="74"/>
      <c r="S579" s="72" t="s">
        <v>11</v>
      </c>
      <c r="T579" s="80" t="s">
        <v>4</v>
      </c>
      <c r="U579" s="72" t="s">
        <v>14</v>
      </c>
      <c r="V579" s="72" t="s">
        <v>1920</v>
      </c>
      <c r="W579" s="72" t="s">
        <v>1925</v>
      </c>
      <c r="X579" s="72" t="s">
        <v>2882</v>
      </c>
      <c r="Y579" s="72" t="s">
        <v>4</v>
      </c>
      <c r="Z579" s="72" t="s">
        <v>4</v>
      </c>
      <c r="AA579" s="146" t="s">
        <v>3418</v>
      </c>
    </row>
    <row r="580" spans="1:27" ht="18.600000000000001" customHeight="1">
      <c r="A580" s="139" t="str">
        <f>IF(priority(Main[[#This Row],[Comments]])&lt;&gt;0, priority(Main[[#This Row],[Comments]]),"")</f>
        <v/>
      </c>
      <c r="B580" s="89" t="s">
        <v>2721</v>
      </c>
      <c r="C580" s="72" t="s">
        <v>4</v>
      </c>
      <c r="D580" s="73" t="s">
        <v>2722</v>
      </c>
      <c r="E580" s="74">
        <v>40897.44736111111</v>
      </c>
      <c r="F580" s="74"/>
      <c r="G580" s="75" t="str">
        <f>IF(stdProdLT(Main[[#This Row],[Comments]])=0.1,"N/A",IF(stdProdLT(Main[[#This Row],[Comments]])=0,"",stdProdLT(Main[[#This Row],[Comments]])))</f>
        <v/>
      </c>
      <c r="H580" s="76" t="str">
        <f>IF(AND(Main[[#This Row],[In Stock Date]]&lt;&gt;"",Main[[#This Row],[Revised Due Date]]&lt;&gt;""),Main[[#This Row],[In Stock Date]]-Main[[#This Row],[Revised Due Date]],"")</f>
        <v/>
      </c>
      <c r="I580" s="72" t="s">
        <v>4</v>
      </c>
      <c r="J580" s="72" t="s">
        <v>4</v>
      </c>
      <c r="K580" s="72" t="s">
        <v>4</v>
      </c>
      <c r="L580" s="74"/>
      <c r="M580" s="77" t="str">
        <f>IF(Main[[#This Row],[Tech Start Date]]&lt;1/1/1990,"",IF(Main[[#This Row],[Class]]="C",WORKDAY(Main[[#This Row],[Tech Start Date]],9),IF(Main[[#This Row],[Class]]="B", WORKDAY(Main[[#This Row],[Tech Start Date]],6),IF(Main[[#This Row],[Class]]="A",WORKDAY(Main[[#This Row],[Tech Start Date]],2),""))))</f>
        <v/>
      </c>
      <c r="N580" s="77" t="str">
        <f>IF(Main[[#This Row],[Tech Start Date]]&lt;1/1/1990,"",IF(Main[[#This Row],[Class]]="C",WORKDAY(Main[[#This Row],[Tech Start Date]],19),IF(Main[[#This Row],[Class]]="B", WORKDAY(Main[[#This Row],[Tech Start Date]],12),IF(Main[[#This Row],[Class]]="A",WORKDAY(Main[[#This Row],[Tech Start Date]],4),""))))</f>
        <v/>
      </c>
      <c r="O580" s="77" t="str">
        <f>IF(Main[[#This Row],[Tech Start Date]]&lt;1/1/1990,"",IF(Main[[#This Row],[Class]]="C",WORKDAY(Main[[#This Row],[Tech Start Date]],23),IF(Main[[#This Row],[Class]]="B", WORKDAY(Main[[#This Row],[Tech Start Date]],15),IF(Main[[#This Row],[Class]]="A",WORKDAY(Main[[#This Row],[Tech Start Date]],5),""))))</f>
        <v/>
      </c>
      <c r="P580" s="77" t="str">
        <f>IF(Main[[#This Row],[Tech Start Date]]&lt;1/1/1990,"",IF(Main[[#This Row],[Class]]="C",WORKDAY(Main[[#This Row],[Tech Start Date]],28),IF(Main[[#This Row],[Class]]="B", WORKDAY(Main[[#This Row],[Tech Start Date]],19),IF(Main[[#This Row],[Class]]="A",WORKDAY(Main[[#This Row],[Tech Start Date]],9),""))))</f>
        <v/>
      </c>
      <c r="Q580" s="74"/>
      <c r="R580" s="154"/>
      <c r="S580" s="72" t="s">
        <v>23</v>
      </c>
      <c r="T580" s="80" t="s">
        <v>4</v>
      </c>
      <c r="U580" s="72" t="s">
        <v>7</v>
      </c>
      <c r="V580" s="72" t="s">
        <v>1918</v>
      </c>
      <c r="W580" s="72" t="s">
        <v>1921</v>
      </c>
      <c r="X580" s="72" t="s">
        <v>399</v>
      </c>
      <c r="Y580" s="72" t="s">
        <v>4</v>
      </c>
      <c r="Z580" s="72" t="s">
        <v>4</v>
      </c>
      <c r="AA580" s="146" t="s">
        <v>3397</v>
      </c>
    </row>
    <row r="581" spans="1:27" ht="18.600000000000001" customHeight="1">
      <c r="A581" s="139" t="str">
        <f>IF(priority(Main[[#This Row],[Comments]])&lt;&gt;0, priority(Main[[#This Row],[Comments]]),"")</f>
        <v/>
      </c>
      <c r="B581" s="89" t="s">
        <v>1412</v>
      </c>
      <c r="C581" s="72" t="s">
        <v>4</v>
      </c>
      <c r="D581" s="73" t="s">
        <v>492</v>
      </c>
      <c r="E581" s="74"/>
      <c r="F581" s="74"/>
      <c r="G581" s="75" t="str">
        <f>IF(stdProdLT(Main[[#This Row],[Comments]])=0.1,"N/A",IF(stdProdLT(Main[[#This Row],[Comments]])=0,"",stdProdLT(Main[[#This Row],[Comments]])))</f>
        <v/>
      </c>
      <c r="H581" s="76" t="str">
        <f>IF(AND(Main[[#This Row],[In Stock Date]]&lt;&gt;"",Main[[#This Row],[Revised Due Date]]&lt;&gt;""),Main[[#This Row],[In Stock Date]]-Main[[#This Row],[Revised Due Date]],"")</f>
        <v/>
      </c>
      <c r="I581" s="72" t="s">
        <v>81</v>
      </c>
      <c r="J581" s="72" t="s">
        <v>4</v>
      </c>
      <c r="K581" s="72" t="s">
        <v>4</v>
      </c>
      <c r="L581" s="74"/>
      <c r="M581" s="77" t="str">
        <f>IF(Main[[#This Row],[Tech Start Date]]&lt;1/1/1990,"",IF(Main[[#This Row],[Class]]="C",WORKDAY(Main[[#This Row],[Tech Start Date]],9),IF(Main[[#This Row],[Class]]="B", WORKDAY(Main[[#This Row],[Tech Start Date]],6),IF(Main[[#This Row],[Class]]="A",WORKDAY(Main[[#This Row],[Tech Start Date]],2),""))))</f>
        <v/>
      </c>
      <c r="N581" s="77" t="str">
        <f>IF(Main[[#This Row],[Tech Start Date]]&lt;1/1/1990,"",IF(Main[[#This Row],[Class]]="C",WORKDAY(Main[[#This Row],[Tech Start Date]],19),IF(Main[[#This Row],[Class]]="B", WORKDAY(Main[[#This Row],[Tech Start Date]],12),IF(Main[[#This Row],[Class]]="A",WORKDAY(Main[[#This Row],[Tech Start Date]],4),""))))</f>
        <v/>
      </c>
      <c r="O581" s="77" t="str">
        <f>IF(Main[[#This Row],[Tech Start Date]]&lt;1/1/1990,"",IF(Main[[#This Row],[Class]]="C",WORKDAY(Main[[#This Row],[Tech Start Date]],23),IF(Main[[#This Row],[Class]]="B", WORKDAY(Main[[#This Row],[Tech Start Date]],15),IF(Main[[#This Row],[Class]]="A",WORKDAY(Main[[#This Row],[Tech Start Date]],5),""))))</f>
        <v/>
      </c>
      <c r="P581" s="77" t="str">
        <f>IF(Main[[#This Row],[Tech Start Date]]&lt;1/1/1990,"",IF(Main[[#This Row],[Class]]="C",WORKDAY(Main[[#This Row],[Tech Start Date]],28),IF(Main[[#This Row],[Class]]="B", WORKDAY(Main[[#This Row],[Tech Start Date]],19),IF(Main[[#This Row],[Class]]="A",WORKDAY(Main[[#This Row],[Tech Start Date]],9),""))))</f>
        <v/>
      </c>
      <c r="Q581" s="74">
        <v>40338</v>
      </c>
      <c r="R581" s="74"/>
      <c r="S581" s="72" t="s">
        <v>6</v>
      </c>
      <c r="T581" s="80" t="s">
        <v>4</v>
      </c>
      <c r="U581" s="72" t="s">
        <v>14</v>
      </c>
      <c r="V581" s="72" t="s">
        <v>1920</v>
      </c>
      <c r="W581" s="72" t="s">
        <v>1921</v>
      </c>
      <c r="X581" s="72" t="s">
        <v>399</v>
      </c>
      <c r="Y581" s="72" t="s">
        <v>3067</v>
      </c>
      <c r="Z581" s="72" t="s">
        <v>4</v>
      </c>
      <c r="AA581" s="146" t="s">
        <v>3429</v>
      </c>
    </row>
    <row r="582" spans="1:27" ht="18.600000000000001" customHeight="1">
      <c r="A582" s="139" t="str">
        <f>IF(priority(Main[[#This Row],[Comments]])&lt;&gt;0, priority(Main[[#This Row],[Comments]]),"")</f>
        <v/>
      </c>
      <c r="B582" s="89" t="s">
        <v>1413</v>
      </c>
      <c r="C582" s="72" t="s">
        <v>493</v>
      </c>
      <c r="D582" s="73" t="s">
        <v>494</v>
      </c>
      <c r="E582" s="74"/>
      <c r="F582" s="74"/>
      <c r="G582" s="75" t="str">
        <f>IF(stdProdLT(Main[[#This Row],[Comments]])=0.1,"N/A",IF(stdProdLT(Main[[#This Row],[Comments]])=0,"",stdProdLT(Main[[#This Row],[Comments]])))</f>
        <v/>
      </c>
      <c r="H582" s="76" t="str">
        <f>IF(AND(Main[[#This Row],[In Stock Date]]&lt;&gt;"",Main[[#This Row],[Revised Due Date]]&lt;&gt;""),Main[[#This Row],[In Stock Date]]-Main[[#This Row],[Revised Due Date]],"")</f>
        <v/>
      </c>
      <c r="I582" s="72" t="s">
        <v>4</v>
      </c>
      <c r="J582" s="72" t="s">
        <v>4</v>
      </c>
      <c r="K582" s="72" t="s">
        <v>4</v>
      </c>
      <c r="L582" s="74"/>
      <c r="M582" s="77" t="str">
        <f>IF(Main[[#This Row],[Tech Start Date]]&lt;1/1/1990,"",IF(Main[[#This Row],[Class]]="C",WORKDAY(Main[[#This Row],[Tech Start Date]],9),IF(Main[[#This Row],[Class]]="B", WORKDAY(Main[[#This Row],[Tech Start Date]],6),IF(Main[[#This Row],[Class]]="A",WORKDAY(Main[[#This Row],[Tech Start Date]],2),""))))</f>
        <v/>
      </c>
      <c r="N582" s="77" t="str">
        <f>IF(Main[[#This Row],[Tech Start Date]]&lt;1/1/1990,"",IF(Main[[#This Row],[Class]]="C",WORKDAY(Main[[#This Row],[Tech Start Date]],19),IF(Main[[#This Row],[Class]]="B", WORKDAY(Main[[#This Row],[Tech Start Date]],12),IF(Main[[#This Row],[Class]]="A",WORKDAY(Main[[#This Row],[Tech Start Date]],4),""))))</f>
        <v/>
      </c>
      <c r="O582" s="77" t="str">
        <f>IF(Main[[#This Row],[Tech Start Date]]&lt;1/1/1990,"",IF(Main[[#This Row],[Class]]="C",WORKDAY(Main[[#This Row],[Tech Start Date]],23),IF(Main[[#This Row],[Class]]="B", WORKDAY(Main[[#This Row],[Tech Start Date]],15),IF(Main[[#This Row],[Class]]="A",WORKDAY(Main[[#This Row],[Tech Start Date]],5),""))))</f>
        <v/>
      </c>
      <c r="P582" s="77" t="str">
        <f>IF(Main[[#This Row],[Tech Start Date]]&lt;1/1/1990,"",IF(Main[[#This Row],[Class]]="C",WORKDAY(Main[[#This Row],[Tech Start Date]],28),IF(Main[[#This Row],[Class]]="B", WORKDAY(Main[[#This Row],[Tech Start Date]],19),IF(Main[[#This Row],[Class]]="A",WORKDAY(Main[[#This Row],[Tech Start Date]],9),""))))</f>
        <v/>
      </c>
      <c r="Q582" s="74">
        <v>40239</v>
      </c>
      <c r="R582" s="74"/>
      <c r="S582" s="72" t="s">
        <v>11</v>
      </c>
      <c r="T582" s="80" t="s">
        <v>4</v>
      </c>
      <c r="U582" s="72" t="s">
        <v>14</v>
      </c>
      <c r="V582" s="72" t="s">
        <v>1920</v>
      </c>
      <c r="W582" s="72" t="s">
        <v>1919</v>
      </c>
      <c r="X582" s="72" t="s">
        <v>2902</v>
      </c>
      <c r="Y582" s="72" t="s">
        <v>4</v>
      </c>
      <c r="Z582" s="72" t="s">
        <v>4</v>
      </c>
      <c r="AA582" s="146" t="s">
        <v>2902</v>
      </c>
    </row>
    <row r="583" spans="1:27" ht="18.600000000000001" customHeight="1">
      <c r="A583" s="139" t="str">
        <f>IF(priority(Main[[#This Row],[Comments]])&lt;&gt;0, priority(Main[[#This Row],[Comments]]),"")</f>
        <v/>
      </c>
      <c r="B583" s="89" t="s">
        <v>1414</v>
      </c>
      <c r="C583" s="72" t="s">
        <v>495</v>
      </c>
      <c r="D583" s="73" t="s">
        <v>496</v>
      </c>
      <c r="E583" s="74"/>
      <c r="F583" s="74"/>
      <c r="G583" s="75" t="str">
        <f>IF(stdProdLT(Main[[#This Row],[Comments]])=0.1,"N/A",IF(stdProdLT(Main[[#This Row],[Comments]])=0,"",stdProdLT(Main[[#This Row],[Comments]])))</f>
        <v/>
      </c>
      <c r="H583" s="76" t="str">
        <f>IF(AND(Main[[#This Row],[In Stock Date]]&lt;&gt;"",Main[[#This Row],[Revised Due Date]]&lt;&gt;""),Main[[#This Row],[In Stock Date]]-Main[[#This Row],[Revised Due Date]],"")</f>
        <v/>
      </c>
      <c r="I583" s="72" t="s">
        <v>4</v>
      </c>
      <c r="J583" s="72" t="s">
        <v>4</v>
      </c>
      <c r="K583" s="72" t="s">
        <v>4</v>
      </c>
      <c r="L583" s="74"/>
      <c r="M583" s="77" t="str">
        <f>IF(Main[[#This Row],[Tech Start Date]]&lt;1/1/1990,"",IF(Main[[#This Row],[Class]]="C",WORKDAY(Main[[#This Row],[Tech Start Date]],9),IF(Main[[#This Row],[Class]]="B", WORKDAY(Main[[#This Row],[Tech Start Date]],6),IF(Main[[#This Row],[Class]]="A",WORKDAY(Main[[#This Row],[Tech Start Date]],2),""))))</f>
        <v/>
      </c>
      <c r="N583" s="77" t="str">
        <f>IF(Main[[#This Row],[Tech Start Date]]&lt;1/1/1990,"",IF(Main[[#This Row],[Class]]="C",WORKDAY(Main[[#This Row],[Tech Start Date]],19),IF(Main[[#This Row],[Class]]="B", WORKDAY(Main[[#This Row],[Tech Start Date]],12),IF(Main[[#This Row],[Class]]="A",WORKDAY(Main[[#This Row],[Tech Start Date]],4),""))))</f>
        <v/>
      </c>
      <c r="O583" s="77" t="str">
        <f>IF(Main[[#This Row],[Tech Start Date]]&lt;1/1/1990,"",IF(Main[[#This Row],[Class]]="C",WORKDAY(Main[[#This Row],[Tech Start Date]],23),IF(Main[[#This Row],[Class]]="B", WORKDAY(Main[[#This Row],[Tech Start Date]],15),IF(Main[[#This Row],[Class]]="A",WORKDAY(Main[[#This Row],[Tech Start Date]],5),""))))</f>
        <v/>
      </c>
      <c r="P583" s="77" t="str">
        <f>IF(Main[[#This Row],[Tech Start Date]]&lt;1/1/1990,"",IF(Main[[#This Row],[Class]]="C",WORKDAY(Main[[#This Row],[Tech Start Date]],28),IF(Main[[#This Row],[Class]]="B", WORKDAY(Main[[#This Row],[Tech Start Date]],19),IF(Main[[#This Row],[Class]]="A",WORKDAY(Main[[#This Row],[Tech Start Date]],9),""))))</f>
        <v/>
      </c>
      <c r="Q583" s="74"/>
      <c r="R583" s="74"/>
      <c r="S583" s="72" t="s">
        <v>11</v>
      </c>
      <c r="T583" s="80" t="s">
        <v>4</v>
      </c>
      <c r="U583" s="72" t="s">
        <v>14</v>
      </c>
      <c r="V583" s="72" t="s">
        <v>1917</v>
      </c>
      <c r="W583" s="72" t="s">
        <v>1925</v>
      </c>
      <c r="X583" s="72" t="s">
        <v>50</v>
      </c>
      <c r="Y583" s="72" t="s">
        <v>3068</v>
      </c>
      <c r="Z583" s="72" t="s">
        <v>4</v>
      </c>
      <c r="AA583" s="146" t="s">
        <v>2866</v>
      </c>
    </row>
    <row r="584" spans="1:27" ht="18.600000000000001" customHeight="1">
      <c r="A584" s="139" t="str">
        <f>IF(priority(Main[[#This Row],[Comments]])&lt;&gt;0, priority(Main[[#This Row],[Comments]]),"")</f>
        <v/>
      </c>
      <c r="B584" s="89" t="s">
        <v>1415</v>
      </c>
      <c r="C584" s="72" t="s">
        <v>93</v>
      </c>
      <c r="D584" s="73" t="s">
        <v>497</v>
      </c>
      <c r="E584" s="74"/>
      <c r="F584" s="74">
        <v>40132</v>
      </c>
      <c r="G584" s="75" t="str">
        <f>IF(stdProdLT(Main[[#This Row],[Comments]])=0.1,"N/A",IF(stdProdLT(Main[[#This Row],[Comments]])=0,"",stdProdLT(Main[[#This Row],[Comments]])))</f>
        <v/>
      </c>
      <c r="H584" s="76" t="str">
        <f>IF(AND(Main[[#This Row],[In Stock Date]]&lt;&gt;"",Main[[#This Row],[Revised Due Date]]&lt;&gt;""),Main[[#This Row],[In Stock Date]]-Main[[#This Row],[Revised Due Date]],"")</f>
        <v/>
      </c>
      <c r="I584" s="72" t="s">
        <v>4</v>
      </c>
      <c r="J584" s="72" t="s">
        <v>4</v>
      </c>
      <c r="K584" s="72" t="s">
        <v>4</v>
      </c>
      <c r="L584" s="74"/>
      <c r="M584" s="77" t="str">
        <f>IF(Main[[#This Row],[Tech Start Date]]&lt;1/1/1990,"",IF(Main[[#This Row],[Class]]="C",WORKDAY(Main[[#This Row],[Tech Start Date]],9),IF(Main[[#This Row],[Class]]="B", WORKDAY(Main[[#This Row],[Tech Start Date]],6),IF(Main[[#This Row],[Class]]="A",WORKDAY(Main[[#This Row],[Tech Start Date]],2),""))))</f>
        <v/>
      </c>
      <c r="N584" s="77" t="str">
        <f>IF(Main[[#This Row],[Tech Start Date]]&lt;1/1/1990,"",IF(Main[[#This Row],[Class]]="C",WORKDAY(Main[[#This Row],[Tech Start Date]],19),IF(Main[[#This Row],[Class]]="B", WORKDAY(Main[[#This Row],[Tech Start Date]],12),IF(Main[[#This Row],[Class]]="A",WORKDAY(Main[[#This Row],[Tech Start Date]],4),""))))</f>
        <v/>
      </c>
      <c r="O584" s="77" t="str">
        <f>IF(Main[[#This Row],[Tech Start Date]]&lt;1/1/1990,"",IF(Main[[#This Row],[Class]]="C",WORKDAY(Main[[#This Row],[Tech Start Date]],23),IF(Main[[#This Row],[Class]]="B", WORKDAY(Main[[#This Row],[Tech Start Date]],15),IF(Main[[#This Row],[Class]]="A",WORKDAY(Main[[#This Row],[Tech Start Date]],5),""))))</f>
        <v/>
      </c>
      <c r="P584" s="77" t="str">
        <f>IF(Main[[#This Row],[Tech Start Date]]&lt;1/1/1990,"",IF(Main[[#This Row],[Class]]="C",WORKDAY(Main[[#This Row],[Tech Start Date]],28),IF(Main[[#This Row],[Class]]="B", WORKDAY(Main[[#This Row],[Tech Start Date]],19),IF(Main[[#This Row],[Class]]="A",WORKDAY(Main[[#This Row],[Tech Start Date]],9),""))))</f>
        <v/>
      </c>
      <c r="Q584" s="74">
        <v>40132</v>
      </c>
      <c r="R584" s="154"/>
      <c r="S584" s="72" t="s">
        <v>11</v>
      </c>
      <c r="T584" s="80" t="s">
        <v>4</v>
      </c>
      <c r="U584" s="72" t="s">
        <v>14</v>
      </c>
      <c r="V584" s="72" t="s">
        <v>1927</v>
      </c>
      <c r="W584" s="72" t="s">
        <v>1928</v>
      </c>
      <c r="X584" s="72" t="s">
        <v>2862</v>
      </c>
      <c r="Y584" s="72" t="s">
        <v>4</v>
      </c>
      <c r="Z584" s="72" t="s">
        <v>4</v>
      </c>
      <c r="AA584" s="146" t="s">
        <v>2862</v>
      </c>
    </row>
    <row r="585" spans="1:27" ht="18.600000000000001" customHeight="1">
      <c r="A585" s="139" t="str">
        <f>IF(priority(Main[[#This Row],[Comments]])&lt;&gt;0, priority(Main[[#This Row],[Comments]]),"")</f>
        <v/>
      </c>
      <c r="B585" s="89" t="s">
        <v>1416</v>
      </c>
      <c r="C585" s="72" t="s">
        <v>99</v>
      </c>
      <c r="D585" s="73" t="s">
        <v>498</v>
      </c>
      <c r="E585" s="74"/>
      <c r="F585" s="74">
        <v>40435</v>
      </c>
      <c r="G585" s="75" t="str">
        <f>IF(stdProdLT(Main[[#This Row],[Comments]])=0.1,"N/A",IF(stdProdLT(Main[[#This Row],[Comments]])=0,"",stdProdLT(Main[[#This Row],[Comments]])))</f>
        <v/>
      </c>
      <c r="H585" s="76" t="str">
        <f>IF(AND(Main[[#This Row],[In Stock Date]]&lt;&gt;"",Main[[#This Row],[Revised Due Date]]&lt;&gt;""),Main[[#This Row],[In Stock Date]]-Main[[#This Row],[Revised Due Date]],"")</f>
        <v/>
      </c>
      <c r="I585" s="72" t="s">
        <v>4</v>
      </c>
      <c r="J585" s="72" t="s">
        <v>28</v>
      </c>
      <c r="K585" s="72" t="s">
        <v>4</v>
      </c>
      <c r="L585" s="74"/>
      <c r="M585" s="77" t="str">
        <f>IF(Main[[#This Row],[Tech Start Date]]&lt;1/1/1990,"",IF(Main[[#This Row],[Class]]="C",WORKDAY(Main[[#This Row],[Tech Start Date]],9),IF(Main[[#This Row],[Class]]="B", WORKDAY(Main[[#This Row],[Tech Start Date]],6),IF(Main[[#This Row],[Class]]="A",WORKDAY(Main[[#This Row],[Tech Start Date]],2),""))))</f>
        <v/>
      </c>
      <c r="N585" s="77" t="str">
        <f>IF(Main[[#This Row],[Tech Start Date]]&lt;1/1/1990,"",IF(Main[[#This Row],[Class]]="C",WORKDAY(Main[[#This Row],[Tech Start Date]],19),IF(Main[[#This Row],[Class]]="B", WORKDAY(Main[[#This Row],[Tech Start Date]],12),IF(Main[[#This Row],[Class]]="A",WORKDAY(Main[[#This Row],[Tech Start Date]],4),""))))</f>
        <v/>
      </c>
      <c r="O585" s="77" t="str">
        <f>IF(Main[[#This Row],[Tech Start Date]]&lt;1/1/1990,"",IF(Main[[#This Row],[Class]]="C",WORKDAY(Main[[#This Row],[Tech Start Date]],23),IF(Main[[#This Row],[Class]]="B", WORKDAY(Main[[#This Row],[Tech Start Date]],15),IF(Main[[#This Row],[Class]]="A",WORKDAY(Main[[#This Row],[Tech Start Date]],5),""))))</f>
        <v/>
      </c>
      <c r="P585" s="77" t="str">
        <f>IF(Main[[#This Row],[Tech Start Date]]&lt;1/1/1990,"",IF(Main[[#This Row],[Class]]="C",WORKDAY(Main[[#This Row],[Tech Start Date]],28),IF(Main[[#This Row],[Class]]="B", WORKDAY(Main[[#This Row],[Tech Start Date]],19),IF(Main[[#This Row],[Class]]="A",WORKDAY(Main[[#This Row],[Tech Start Date]],9),""))))</f>
        <v/>
      </c>
      <c r="Q585" s="74">
        <v>40435</v>
      </c>
      <c r="R585" s="74"/>
      <c r="S585" s="72" t="s">
        <v>11</v>
      </c>
      <c r="T585" s="80" t="s">
        <v>4</v>
      </c>
      <c r="U585" s="72" t="s">
        <v>14</v>
      </c>
      <c r="V585" s="72" t="s">
        <v>1920</v>
      </c>
      <c r="W585" s="72" t="s">
        <v>1922</v>
      </c>
      <c r="X585" s="72" t="s">
        <v>2843</v>
      </c>
      <c r="Y585" s="72" t="s">
        <v>2972</v>
      </c>
      <c r="Z585" s="72" t="s">
        <v>530</v>
      </c>
      <c r="AA585" s="146" t="s">
        <v>2840</v>
      </c>
    </row>
    <row r="586" spans="1:27" ht="18.600000000000001" customHeight="1">
      <c r="A586" s="139" t="str">
        <f>IF(priority(Main[[#This Row],[Comments]])&lt;&gt;0, priority(Main[[#This Row],[Comments]]),"")</f>
        <v/>
      </c>
      <c r="B586" s="89" t="s">
        <v>1283</v>
      </c>
      <c r="C586" s="72" t="s">
        <v>42</v>
      </c>
      <c r="D586" s="73" t="s">
        <v>355</v>
      </c>
      <c r="E586" s="74"/>
      <c r="F586" s="74"/>
      <c r="G586" s="75" t="str">
        <f>IF(stdProdLT(Main[[#This Row],[Comments]])=0.1,"N/A",IF(stdProdLT(Main[[#This Row],[Comments]])=0,"",stdProdLT(Main[[#This Row],[Comments]])))</f>
        <v/>
      </c>
      <c r="H586" s="76" t="str">
        <f>IF(AND(Main[[#This Row],[In Stock Date]]&lt;&gt;"",Main[[#This Row],[Revised Due Date]]&lt;&gt;""),Main[[#This Row],[In Stock Date]]-Main[[#This Row],[Revised Due Date]],"")</f>
        <v/>
      </c>
      <c r="I586" s="72" t="s">
        <v>4</v>
      </c>
      <c r="J586" s="72" t="s">
        <v>4</v>
      </c>
      <c r="K586" s="81" t="s">
        <v>4</v>
      </c>
      <c r="L586" s="74"/>
      <c r="M586" s="77" t="str">
        <f>IF(Main[[#This Row],[Tech Start Date]]&lt;1/1/1990,"",IF(Main[[#This Row],[Class]]="C",WORKDAY(Main[[#This Row],[Tech Start Date]],9),IF(Main[[#This Row],[Class]]="B", WORKDAY(Main[[#This Row],[Tech Start Date]],6),IF(Main[[#This Row],[Class]]="A",WORKDAY(Main[[#This Row],[Tech Start Date]],2),""))))</f>
        <v/>
      </c>
      <c r="N586" s="77" t="str">
        <f>IF(Main[[#This Row],[Tech Start Date]]&lt;1/1/1990,"",IF(Main[[#This Row],[Class]]="C",WORKDAY(Main[[#This Row],[Tech Start Date]],19),IF(Main[[#This Row],[Class]]="B", WORKDAY(Main[[#This Row],[Tech Start Date]],12),IF(Main[[#This Row],[Class]]="A",WORKDAY(Main[[#This Row],[Tech Start Date]],4),""))))</f>
        <v/>
      </c>
      <c r="O586" s="77" t="str">
        <f>IF(Main[[#This Row],[Tech Start Date]]&lt;1/1/1990,"",IF(Main[[#This Row],[Class]]="C",WORKDAY(Main[[#This Row],[Tech Start Date]],23),IF(Main[[#This Row],[Class]]="B", WORKDAY(Main[[#This Row],[Tech Start Date]],15),IF(Main[[#This Row],[Class]]="A",WORKDAY(Main[[#This Row],[Tech Start Date]],5),""))))</f>
        <v/>
      </c>
      <c r="P586" s="77" t="str">
        <f>IF(Main[[#This Row],[Tech Start Date]]&lt;1/1/1990,"",IF(Main[[#This Row],[Class]]="C",WORKDAY(Main[[#This Row],[Tech Start Date]],28),IF(Main[[#This Row],[Class]]="B", WORKDAY(Main[[#This Row],[Tech Start Date]],19),IF(Main[[#This Row],[Class]]="A",WORKDAY(Main[[#This Row],[Tech Start Date]],9),""))))</f>
        <v/>
      </c>
      <c r="Q586" s="74"/>
      <c r="R586" s="74"/>
      <c r="S586" s="72" t="s">
        <v>17</v>
      </c>
      <c r="T586" s="80" t="s">
        <v>4</v>
      </c>
      <c r="U586" s="72" t="s">
        <v>14</v>
      </c>
      <c r="V586" s="72" t="s">
        <v>1920</v>
      </c>
      <c r="W586" s="72" t="s">
        <v>4</v>
      </c>
      <c r="X586" s="72" t="s">
        <v>399</v>
      </c>
      <c r="Y586" s="72" t="s">
        <v>4</v>
      </c>
      <c r="Z586" s="72" t="s">
        <v>4</v>
      </c>
      <c r="AA586" s="146" t="s">
        <v>3430</v>
      </c>
    </row>
    <row r="587" spans="1:27" ht="18.600000000000001" customHeight="1">
      <c r="A587" s="139" t="str">
        <f>IF(priority(Main[[#This Row],[Comments]])&lt;&gt;0, priority(Main[[#This Row],[Comments]]),"")</f>
        <v/>
      </c>
      <c r="B587" s="89" t="s">
        <v>1417</v>
      </c>
      <c r="C587" s="72" t="s">
        <v>499</v>
      </c>
      <c r="D587" s="73" t="s">
        <v>500</v>
      </c>
      <c r="E587" s="74"/>
      <c r="F587" s="74">
        <v>40296</v>
      </c>
      <c r="G587" s="75" t="str">
        <f>IF(stdProdLT(Main[[#This Row],[Comments]])=0.1,"N/A",IF(stdProdLT(Main[[#This Row],[Comments]])=0,"",stdProdLT(Main[[#This Row],[Comments]])))</f>
        <v/>
      </c>
      <c r="H587" s="76" t="str">
        <f>IF(AND(Main[[#This Row],[In Stock Date]]&lt;&gt;"",Main[[#This Row],[Revised Due Date]]&lt;&gt;""),Main[[#This Row],[In Stock Date]]-Main[[#This Row],[Revised Due Date]],"")</f>
        <v/>
      </c>
      <c r="I587" s="72" t="s">
        <v>4</v>
      </c>
      <c r="J587" s="72" t="s">
        <v>4</v>
      </c>
      <c r="K587" s="72" t="s">
        <v>4</v>
      </c>
      <c r="L587" s="74"/>
      <c r="M587" s="77" t="str">
        <f>IF(Main[[#This Row],[Tech Start Date]]&lt;1/1/1990,"",IF(Main[[#This Row],[Class]]="C",WORKDAY(Main[[#This Row],[Tech Start Date]],9),IF(Main[[#This Row],[Class]]="B", WORKDAY(Main[[#This Row],[Tech Start Date]],6),IF(Main[[#This Row],[Class]]="A",WORKDAY(Main[[#This Row],[Tech Start Date]],2),""))))</f>
        <v/>
      </c>
      <c r="N587" s="77" t="str">
        <f>IF(Main[[#This Row],[Tech Start Date]]&lt;1/1/1990,"",IF(Main[[#This Row],[Class]]="C",WORKDAY(Main[[#This Row],[Tech Start Date]],19),IF(Main[[#This Row],[Class]]="B", WORKDAY(Main[[#This Row],[Tech Start Date]],12),IF(Main[[#This Row],[Class]]="A",WORKDAY(Main[[#This Row],[Tech Start Date]],4),""))))</f>
        <v/>
      </c>
      <c r="O587" s="77" t="str">
        <f>IF(Main[[#This Row],[Tech Start Date]]&lt;1/1/1990,"",IF(Main[[#This Row],[Class]]="C",WORKDAY(Main[[#This Row],[Tech Start Date]],23),IF(Main[[#This Row],[Class]]="B", WORKDAY(Main[[#This Row],[Tech Start Date]],15),IF(Main[[#This Row],[Class]]="A",WORKDAY(Main[[#This Row],[Tech Start Date]],5),""))))</f>
        <v/>
      </c>
      <c r="P587" s="77" t="str">
        <f>IF(Main[[#This Row],[Tech Start Date]]&lt;1/1/1990,"",IF(Main[[#This Row],[Class]]="C",WORKDAY(Main[[#This Row],[Tech Start Date]],28),IF(Main[[#This Row],[Class]]="B", WORKDAY(Main[[#This Row],[Tech Start Date]],19),IF(Main[[#This Row],[Class]]="A",WORKDAY(Main[[#This Row],[Tech Start Date]],9),""))))</f>
        <v/>
      </c>
      <c r="Q587" s="74"/>
      <c r="R587" s="74"/>
      <c r="S587" s="72" t="s">
        <v>11</v>
      </c>
      <c r="T587" s="80" t="s">
        <v>4</v>
      </c>
      <c r="U587" s="72" t="s">
        <v>14</v>
      </c>
      <c r="V587" s="72" t="s">
        <v>1927</v>
      </c>
      <c r="W587" s="72" t="s">
        <v>1923</v>
      </c>
      <c r="X587" s="72" t="s">
        <v>2874</v>
      </c>
      <c r="Y587" s="72" t="s">
        <v>3018</v>
      </c>
      <c r="Z587" s="72" t="s">
        <v>4</v>
      </c>
      <c r="AA587" s="146" t="s">
        <v>2874</v>
      </c>
    </row>
    <row r="588" spans="1:27" ht="18.600000000000001" customHeight="1">
      <c r="A588" s="139" t="str">
        <f>IF(priority(Main[[#This Row],[Comments]])&lt;&gt;0, priority(Main[[#This Row],[Comments]]),"")</f>
        <v/>
      </c>
      <c r="B588" s="89" t="s">
        <v>1860</v>
      </c>
      <c r="C588" s="72" t="s">
        <v>47</v>
      </c>
      <c r="D588" s="73" t="s">
        <v>916</v>
      </c>
      <c r="E588" s="74">
        <v>39937.592280092591</v>
      </c>
      <c r="F588" s="74"/>
      <c r="G588" s="75" t="str">
        <f>IF(stdProdLT(Main[[#This Row],[Comments]])=0.1,"N/A",IF(stdProdLT(Main[[#This Row],[Comments]])=0,"",stdProdLT(Main[[#This Row],[Comments]])))</f>
        <v/>
      </c>
      <c r="H588" s="76" t="str">
        <f>IF(AND(Main[[#This Row],[In Stock Date]]&lt;&gt;"",Main[[#This Row],[Revised Due Date]]&lt;&gt;""),Main[[#This Row],[In Stock Date]]-Main[[#This Row],[Revised Due Date]],"")</f>
        <v/>
      </c>
      <c r="I588" s="72" t="s">
        <v>891</v>
      </c>
      <c r="J588" s="72" t="s">
        <v>4</v>
      </c>
      <c r="K588" s="72" t="s">
        <v>1929</v>
      </c>
      <c r="L588" s="74"/>
      <c r="M588" s="77" t="str">
        <f>IF(Main[[#This Row],[Tech Start Date]]&lt;1/1/1990,"",IF(Main[[#This Row],[Class]]="C",WORKDAY(Main[[#This Row],[Tech Start Date]],9),IF(Main[[#This Row],[Class]]="B", WORKDAY(Main[[#This Row],[Tech Start Date]],6),IF(Main[[#This Row],[Class]]="A",WORKDAY(Main[[#This Row],[Tech Start Date]],2),""))))</f>
        <v/>
      </c>
      <c r="N588" s="77" t="str">
        <f>IF(Main[[#This Row],[Tech Start Date]]&lt;1/1/1990,"",IF(Main[[#This Row],[Class]]="C",WORKDAY(Main[[#This Row],[Tech Start Date]],19),IF(Main[[#This Row],[Class]]="B", WORKDAY(Main[[#This Row],[Tech Start Date]],12),IF(Main[[#This Row],[Class]]="A",WORKDAY(Main[[#This Row],[Tech Start Date]],4),""))))</f>
        <v/>
      </c>
      <c r="O588" s="77" t="str">
        <f>IF(Main[[#This Row],[Tech Start Date]]&lt;1/1/1990,"",IF(Main[[#This Row],[Class]]="C",WORKDAY(Main[[#This Row],[Tech Start Date]],23),IF(Main[[#This Row],[Class]]="B", WORKDAY(Main[[#This Row],[Tech Start Date]],15),IF(Main[[#This Row],[Class]]="A",WORKDAY(Main[[#This Row],[Tech Start Date]],5),""))))</f>
        <v/>
      </c>
      <c r="P588" s="77" t="str">
        <f>IF(Main[[#This Row],[Tech Start Date]]&lt;1/1/1990,"",IF(Main[[#This Row],[Class]]="C",WORKDAY(Main[[#This Row],[Tech Start Date]],28),IF(Main[[#This Row],[Class]]="B", WORKDAY(Main[[#This Row],[Tech Start Date]],19),IF(Main[[#This Row],[Class]]="A",WORKDAY(Main[[#This Row],[Tech Start Date]],9),""))))</f>
        <v/>
      </c>
      <c r="Q588" s="74">
        <v>40209</v>
      </c>
      <c r="R588" s="74">
        <v>40574</v>
      </c>
      <c r="S588" s="72" t="s">
        <v>17</v>
      </c>
      <c r="T588" s="80" t="s">
        <v>4</v>
      </c>
      <c r="U588" s="72" t="s">
        <v>29</v>
      </c>
      <c r="V588" s="72" t="s">
        <v>1917</v>
      </c>
      <c r="W588" s="72" t="s">
        <v>1921</v>
      </c>
      <c r="X588" s="72" t="s">
        <v>2833</v>
      </c>
      <c r="Y588" s="72" t="s">
        <v>2954</v>
      </c>
      <c r="Z588" s="72" t="s">
        <v>4</v>
      </c>
      <c r="AA588" s="146" t="s">
        <v>2833</v>
      </c>
    </row>
    <row r="589" spans="1:27" ht="18.600000000000001" customHeight="1">
      <c r="A589" s="139" t="str">
        <f>IF(priority(Main[[#This Row],[Comments]])&lt;&gt;0, priority(Main[[#This Row],[Comments]]),"")</f>
        <v/>
      </c>
      <c r="B589" s="89" t="s">
        <v>1418</v>
      </c>
      <c r="C589" s="72" t="s">
        <v>501</v>
      </c>
      <c r="D589" s="73" t="s">
        <v>502</v>
      </c>
      <c r="E589" s="74"/>
      <c r="F589" s="74">
        <v>40848</v>
      </c>
      <c r="G589" s="75" t="str">
        <f>IF(stdProdLT(Main[[#This Row],[Comments]])=0.1,"N/A",IF(stdProdLT(Main[[#This Row],[Comments]])=0,"",stdProdLT(Main[[#This Row],[Comments]])))</f>
        <v/>
      </c>
      <c r="H589" s="76" t="str">
        <f>IF(AND(Main[[#This Row],[In Stock Date]]&lt;&gt;"",Main[[#This Row],[Revised Due Date]]&lt;&gt;""),Main[[#This Row],[In Stock Date]]-Main[[#This Row],[Revised Due Date]],"")</f>
        <v/>
      </c>
      <c r="I589" s="72" t="s">
        <v>4</v>
      </c>
      <c r="J589" s="72" t="s">
        <v>28</v>
      </c>
      <c r="K589" s="72" t="s">
        <v>4</v>
      </c>
      <c r="L589" s="74"/>
      <c r="M589" s="77" t="str">
        <f>IF(Main[[#This Row],[Tech Start Date]]&lt;1/1/1990,"",IF(Main[[#This Row],[Class]]="C",WORKDAY(Main[[#This Row],[Tech Start Date]],9),IF(Main[[#This Row],[Class]]="B", WORKDAY(Main[[#This Row],[Tech Start Date]],6),IF(Main[[#This Row],[Class]]="A",WORKDAY(Main[[#This Row],[Tech Start Date]],2),""))))</f>
        <v/>
      </c>
      <c r="N589" s="77" t="str">
        <f>IF(Main[[#This Row],[Tech Start Date]]&lt;1/1/1990,"",IF(Main[[#This Row],[Class]]="C",WORKDAY(Main[[#This Row],[Tech Start Date]],19),IF(Main[[#This Row],[Class]]="B", WORKDAY(Main[[#This Row],[Tech Start Date]],12),IF(Main[[#This Row],[Class]]="A",WORKDAY(Main[[#This Row],[Tech Start Date]],4),""))))</f>
        <v/>
      </c>
      <c r="O589" s="77" t="str">
        <f>IF(Main[[#This Row],[Tech Start Date]]&lt;1/1/1990,"",IF(Main[[#This Row],[Class]]="C",WORKDAY(Main[[#This Row],[Tech Start Date]],23),IF(Main[[#This Row],[Class]]="B", WORKDAY(Main[[#This Row],[Tech Start Date]],15),IF(Main[[#This Row],[Class]]="A",WORKDAY(Main[[#This Row],[Tech Start Date]],5),""))))</f>
        <v/>
      </c>
      <c r="P589" s="77" t="str">
        <f>IF(Main[[#This Row],[Tech Start Date]]&lt;1/1/1990,"",IF(Main[[#This Row],[Class]]="C",WORKDAY(Main[[#This Row],[Tech Start Date]],28),IF(Main[[#This Row],[Class]]="B", WORKDAY(Main[[#This Row],[Tech Start Date]],19),IF(Main[[#This Row],[Class]]="A",WORKDAY(Main[[#This Row],[Tech Start Date]],9),""))))</f>
        <v/>
      </c>
      <c r="Q589" s="74">
        <v>40627</v>
      </c>
      <c r="R589" s="154"/>
      <c r="S589" s="72" t="s">
        <v>11</v>
      </c>
      <c r="T589" s="80" t="s">
        <v>4</v>
      </c>
      <c r="U589" s="72" t="s">
        <v>14</v>
      </c>
      <c r="V589" s="72" t="s">
        <v>1920</v>
      </c>
      <c r="W589" s="72" t="s">
        <v>1923</v>
      </c>
      <c r="X589" s="72" t="s">
        <v>50</v>
      </c>
      <c r="Y589" s="72" t="s">
        <v>3069</v>
      </c>
      <c r="Z589" s="72" t="s">
        <v>81</v>
      </c>
      <c r="AA589" s="146" t="s">
        <v>3431</v>
      </c>
    </row>
    <row r="590" spans="1:27" ht="18.600000000000001" customHeight="1">
      <c r="A590" s="139" t="str">
        <f>IF(priority(Main[[#This Row],[Comments]])&lt;&gt;0, priority(Main[[#This Row],[Comments]]),"")</f>
        <v/>
      </c>
      <c r="B590" s="89" t="s">
        <v>1419</v>
      </c>
      <c r="C590" s="72" t="s">
        <v>4</v>
      </c>
      <c r="D590" s="73" t="s">
        <v>1952</v>
      </c>
      <c r="E590" s="74"/>
      <c r="F590" s="74"/>
      <c r="G590" s="75" t="str">
        <f>IF(stdProdLT(Main[[#This Row],[Comments]])=0.1,"N/A",IF(stdProdLT(Main[[#This Row],[Comments]])=0,"",stdProdLT(Main[[#This Row],[Comments]])))</f>
        <v/>
      </c>
      <c r="H590" s="76" t="str">
        <f>IF(AND(Main[[#This Row],[In Stock Date]]&lt;&gt;"",Main[[#This Row],[Revised Due Date]]&lt;&gt;""),Main[[#This Row],[In Stock Date]]-Main[[#This Row],[Revised Due Date]],"")</f>
        <v/>
      </c>
      <c r="I590" s="72" t="s">
        <v>4</v>
      </c>
      <c r="J590" s="72" t="s">
        <v>28</v>
      </c>
      <c r="K590" s="81" t="s">
        <v>1924</v>
      </c>
      <c r="L590" s="74"/>
      <c r="M590" s="77" t="str">
        <f>IF(Main[[#This Row],[Tech Start Date]]&lt;1/1/1990,"",IF(Main[[#This Row],[Class]]="C",WORKDAY(Main[[#This Row],[Tech Start Date]],9),IF(Main[[#This Row],[Class]]="B", WORKDAY(Main[[#This Row],[Tech Start Date]],6),IF(Main[[#This Row],[Class]]="A",WORKDAY(Main[[#This Row],[Tech Start Date]],2),""))))</f>
        <v/>
      </c>
      <c r="N590" s="77" t="str">
        <f>IF(Main[[#This Row],[Tech Start Date]]&lt;1/1/1990,"",IF(Main[[#This Row],[Class]]="C",WORKDAY(Main[[#This Row],[Tech Start Date]],19),IF(Main[[#This Row],[Class]]="B", WORKDAY(Main[[#This Row],[Tech Start Date]],12),IF(Main[[#This Row],[Class]]="A",WORKDAY(Main[[#This Row],[Tech Start Date]],4),""))))</f>
        <v/>
      </c>
      <c r="O590" s="77" t="str">
        <f>IF(Main[[#This Row],[Tech Start Date]]&lt;1/1/1990,"",IF(Main[[#This Row],[Class]]="C",WORKDAY(Main[[#This Row],[Tech Start Date]],23),IF(Main[[#This Row],[Class]]="B", WORKDAY(Main[[#This Row],[Tech Start Date]],15),IF(Main[[#This Row],[Class]]="A",WORKDAY(Main[[#This Row],[Tech Start Date]],5),""))))</f>
        <v/>
      </c>
      <c r="P590" s="77" t="str">
        <f>IF(Main[[#This Row],[Tech Start Date]]&lt;1/1/1990,"",IF(Main[[#This Row],[Class]]="C",WORKDAY(Main[[#This Row],[Tech Start Date]],28),IF(Main[[#This Row],[Class]]="B", WORKDAY(Main[[#This Row],[Tech Start Date]],19),IF(Main[[#This Row],[Class]]="A",WORKDAY(Main[[#This Row],[Tech Start Date]],9),""))))</f>
        <v/>
      </c>
      <c r="Q590" s="74"/>
      <c r="R590" s="74"/>
      <c r="S590" s="72" t="s">
        <v>6</v>
      </c>
      <c r="T590" s="80" t="s">
        <v>4</v>
      </c>
      <c r="U590" s="72" t="s">
        <v>14</v>
      </c>
      <c r="V590" s="72" t="s">
        <v>1918</v>
      </c>
      <c r="W590" s="72" t="s">
        <v>1919</v>
      </c>
      <c r="X590" s="72" t="s">
        <v>2903</v>
      </c>
      <c r="Y590" s="72" t="s">
        <v>3070</v>
      </c>
      <c r="Z590" s="72" t="s">
        <v>4</v>
      </c>
      <c r="AA590" s="146" t="s">
        <v>3432</v>
      </c>
    </row>
    <row r="591" spans="1:27" ht="18.600000000000001" customHeight="1">
      <c r="A591" s="139" t="str">
        <f>IF(priority(Main[[#This Row],[Comments]])&lt;&gt;0, priority(Main[[#This Row],[Comments]]),"")</f>
        <v/>
      </c>
      <c r="B591" s="89" t="s">
        <v>1420</v>
      </c>
      <c r="C591" s="72" t="s">
        <v>83</v>
      </c>
      <c r="D591" s="73" t="s">
        <v>503</v>
      </c>
      <c r="E591" s="74"/>
      <c r="F591" s="74"/>
      <c r="G591" s="75" t="str">
        <f>IF(stdProdLT(Main[[#This Row],[Comments]])=0.1,"N/A",IF(stdProdLT(Main[[#This Row],[Comments]])=0,"",stdProdLT(Main[[#This Row],[Comments]])))</f>
        <v/>
      </c>
      <c r="H591" s="76" t="str">
        <f>IF(AND(Main[[#This Row],[In Stock Date]]&lt;&gt;"",Main[[#This Row],[Revised Due Date]]&lt;&gt;""),Main[[#This Row],[In Stock Date]]-Main[[#This Row],[Revised Due Date]],"")</f>
        <v/>
      </c>
      <c r="I591" s="72" t="s">
        <v>4</v>
      </c>
      <c r="J591" s="72" t="s">
        <v>4</v>
      </c>
      <c r="K591" s="72" t="s">
        <v>4</v>
      </c>
      <c r="L591" s="74"/>
      <c r="M591" s="77" t="str">
        <f>IF(Main[[#This Row],[Tech Start Date]]&lt;1/1/1990,"",IF(Main[[#This Row],[Class]]="C",WORKDAY(Main[[#This Row],[Tech Start Date]],9),IF(Main[[#This Row],[Class]]="B", WORKDAY(Main[[#This Row],[Tech Start Date]],6),IF(Main[[#This Row],[Class]]="A",WORKDAY(Main[[#This Row],[Tech Start Date]],2),""))))</f>
        <v/>
      </c>
      <c r="N591" s="77" t="str">
        <f>IF(Main[[#This Row],[Tech Start Date]]&lt;1/1/1990,"",IF(Main[[#This Row],[Class]]="C",WORKDAY(Main[[#This Row],[Tech Start Date]],19),IF(Main[[#This Row],[Class]]="B", WORKDAY(Main[[#This Row],[Tech Start Date]],12),IF(Main[[#This Row],[Class]]="A",WORKDAY(Main[[#This Row],[Tech Start Date]],4),""))))</f>
        <v/>
      </c>
      <c r="O591" s="77" t="str">
        <f>IF(Main[[#This Row],[Tech Start Date]]&lt;1/1/1990,"",IF(Main[[#This Row],[Class]]="C",WORKDAY(Main[[#This Row],[Tech Start Date]],23),IF(Main[[#This Row],[Class]]="B", WORKDAY(Main[[#This Row],[Tech Start Date]],15),IF(Main[[#This Row],[Class]]="A",WORKDAY(Main[[#This Row],[Tech Start Date]],5),""))))</f>
        <v/>
      </c>
      <c r="P591" s="77" t="str">
        <f>IF(Main[[#This Row],[Tech Start Date]]&lt;1/1/1990,"",IF(Main[[#This Row],[Class]]="C",WORKDAY(Main[[#This Row],[Tech Start Date]],28),IF(Main[[#This Row],[Class]]="B", WORKDAY(Main[[#This Row],[Tech Start Date]],19),IF(Main[[#This Row],[Class]]="A",WORKDAY(Main[[#This Row],[Tech Start Date]],9),""))))</f>
        <v/>
      </c>
      <c r="Q591" s="74">
        <v>40259</v>
      </c>
      <c r="R591" s="74"/>
      <c r="S591" s="72" t="s">
        <v>11</v>
      </c>
      <c r="T591" s="80" t="s">
        <v>4</v>
      </c>
      <c r="U591" s="72" t="s">
        <v>14</v>
      </c>
      <c r="V591" s="72" t="s">
        <v>1917</v>
      </c>
      <c r="W591" s="72" t="s">
        <v>1928</v>
      </c>
      <c r="X591" s="72" t="s">
        <v>2823</v>
      </c>
      <c r="Y591" s="72" t="s">
        <v>4</v>
      </c>
      <c r="Z591" s="72" t="s">
        <v>4</v>
      </c>
      <c r="AA591" s="146" t="s">
        <v>2823</v>
      </c>
    </row>
    <row r="592" spans="1:27" ht="18.600000000000001" customHeight="1">
      <c r="A592" s="139" t="str">
        <f>IF(priority(Main[[#This Row],[Comments]])&lt;&gt;0, priority(Main[[#This Row],[Comments]]),"")</f>
        <v/>
      </c>
      <c r="B592" s="89" t="s">
        <v>1421</v>
      </c>
      <c r="C592" s="72" t="s">
        <v>4</v>
      </c>
      <c r="D592" s="73" t="s">
        <v>504</v>
      </c>
      <c r="E592" s="74">
        <v>40582.330949074072</v>
      </c>
      <c r="F592" s="74">
        <v>40664</v>
      </c>
      <c r="G592" s="75" t="str">
        <f>IF(stdProdLT(Main[[#This Row],[Comments]])=0.1,"N/A",IF(stdProdLT(Main[[#This Row],[Comments]])=0,"",stdProdLT(Main[[#This Row],[Comments]])))</f>
        <v/>
      </c>
      <c r="H592" s="76" t="str">
        <f>IF(AND(Main[[#This Row],[In Stock Date]]&lt;&gt;"",Main[[#This Row],[Revised Due Date]]&lt;&gt;""),Main[[#This Row],[In Stock Date]]-Main[[#This Row],[Revised Due Date]],"")</f>
        <v/>
      </c>
      <c r="I592" s="72" t="s">
        <v>4</v>
      </c>
      <c r="J592" s="72" t="s">
        <v>28</v>
      </c>
      <c r="K592" s="72" t="s">
        <v>1924</v>
      </c>
      <c r="L592" s="74"/>
      <c r="M592" s="77" t="str">
        <f>IF(Main[[#This Row],[Tech Start Date]]&lt;1/1/1990,"",IF(Main[[#This Row],[Class]]="C",WORKDAY(Main[[#This Row],[Tech Start Date]],9),IF(Main[[#This Row],[Class]]="B", WORKDAY(Main[[#This Row],[Tech Start Date]],6),IF(Main[[#This Row],[Class]]="A",WORKDAY(Main[[#This Row],[Tech Start Date]],2),""))))</f>
        <v/>
      </c>
      <c r="N592" s="77" t="str">
        <f>IF(Main[[#This Row],[Tech Start Date]]&lt;1/1/1990,"",IF(Main[[#This Row],[Class]]="C",WORKDAY(Main[[#This Row],[Tech Start Date]],19),IF(Main[[#This Row],[Class]]="B", WORKDAY(Main[[#This Row],[Tech Start Date]],12),IF(Main[[#This Row],[Class]]="A",WORKDAY(Main[[#This Row],[Tech Start Date]],4),""))))</f>
        <v/>
      </c>
      <c r="O592" s="77" t="str">
        <f>IF(Main[[#This Row],[Tech Start Date]]&lt;1/1/1990,"",IF(Main[[#This Row],[Class]]="C",WORKDAY(Main[[#This Row],[Tech Start Date]],23),IF(Main[[#This Row],[Class]]="B", WORKDAY(Main[[#This Row],[Tech Start Date]],15),IF(Main[[#This Row],[Class]]="A",WORKDAY(Main[[#This Row],[Tech Start Date]],5),""))))</f>
        <v/>
      </c>
      <c r="P592" s="77" t="str">
        <f>IF(Main[[#This Row],[Tech Start Date]]&lt;1/1/1990,"",IF(Main[[#This Row],[Class]]="C",WORKDAY(Main[[#This Row],[Tech Start Date]],28),IF(Main[[#This Row],[Class]]="B", WORKDAY(Main[[#This Row],[Tech Start Date]],19),IF(Main[[#This Row],[Class]]="A",WORKDAY(Main[[#This Row],[Tech Start Date]],9),""))))</f>
        <v/>
      </c>
      <c r="Q592" s="74">
        <v>40664</v>
      </c>
      <c r="R592" s="74"/>
      <c r="S592" s="72" t="s">
        <v>6</v>
      </c>
      <c r="T592" s="80" t="s">
        <v>4</v>
      </c>
      <c r="U592" s="72" t="s">
        <v>7</v>
      </c>
      <c r="V592" s="72" t="s">
        <v>1917</v>
      </c>
      <c r="W592" s="72" t="s">
        <v>1919</v>
      </c>
      <c r="X592" s="72" t="s">
        <v>2851</v>
      </c>
      <c r="Y592" s="72" t="s">
        <v>3071</v>
      </c>
      <c r="Z592" s="72" t="s">
        <v>129</v>
      </c>
      <c r="AA592" s="146" t="s">
        <v>2851</v>
      </c>
    </row>
    <row r="593" spans="1:27" ht="18.600000000000001" customHeight="1">
      <c r="A593" s="139" t="str">
        <f>IF(priority(Main[[#This Row],[Comments]])&lt;&gt;0, priority(Main[[#This Row],[Comments]]),"")</f>
        <v/>
      </c>
      <c r="B593" s="89" t="s">
        <v>1422</v>
      </c>
      <c r="C593" s="72" t="s">
        <v>4</v>
      </c>
      <c r="D593" s="73" t="s">
        <v>505</v>
      </c>
      <c r="E593" s="74"/>
      <c r="F593" s="74"/>
      <c r="G593" s="75" t="str">
        <f>IF(stdProdLT(Main[[#This Row],[Comments]])=0.1,"N/A",IF(stdProdLT(Main[[#This Row],[Comments]])=0,"",stdProdLT(Main[[#This Row],[Comments]])))</f>
        <v/>
      </c>
      <c r="H593" s="76" t="str">
        <f>IF(AND(Main[[#This Row],[In Stock Date]]&lt;&gt;"",Main[[#This Row],[Revised Due Date]]&lt;&gt;""),Main[[#This Row],[In Stock Date]]-Main[[#This Row],[Revised Due Date]],"")</f>
        <v/>
      </c>
      <c r="I593" s="72" t="s">
        <v>4</v>
      </c>
      <c r="J593" s="72" t="s">
        <v>4</v>
      </c>
      <c r="K593" s="72" t="s">
        <v>4</v>
      </c>
      <c r="L593" s="74"/>
      <c r="M593" s="77" t="str">
        <f>IF(Main[[#This Row],[Tech Start Date]]&lt;1/1/1990,"",IF(Main[[#This Row],[Class]]="C",WORKDAY(Main[[#This Row],[Tech Start Date]],9),IF(Main[[#This Row],[Class]]="B", WORKDAY(Main[[#This Row],[Tech Start Date]],6),IF(Main[[#This Row],[Class]]="A",WORKDAY(Main[[#This Row],[Tech Start Date]],2),""))))</f>
        <v/>
      </c>
      <c r="N593" s="77" t="str">
        <f>IF(Main[[#This Row],[Tech Start Date]]&lt;1/1/1990,"",IF(Main[[#This Row],[Class]]="C",WORKDAY(Main[[#This Row],[Tech Start Date]],19),IF(Main[[#This Row],[Class]]="B", WORKDAY(Main[[#This Row],[Tech Start Date]],12),IF(Main[[#This Row],[Class]]="A",WORKDAY(Main[[#This Row],[Tech Start Date]],4),""))))</f>
        <v/>
      </c>
      <c r="O593" s="77" t="str">
        <f>IF(Main[[#This Row],[Tech Start Date]]&lt;1/1/1990,"",IF(Main[[#This Row],[Class]]="C",WORKDAY(Main[[#This Row],[Tech Start Date]],23),IF(Main[[#This Row],[Class]]="B", WORKDAY(Main[[#This Row],[Tech Start Date]],15),IF(Main[[#This Row],[Class]]="A",WORKDAY(Main[[#This Row],[Tech Start Date]],5),""))))</f>
        <v/>
      </c>
      <c r="P593" s="77" t="str">
        <f>IF(Main[[#This Row],[Tech Start Date]]&lt;1/1/1990,"",IF(Main[[#This Row],[Class]]="C",WORKDAY(Main[[#This Row],[Tech Start Date]],28),IF(Main[[#This Row],[Class]]="B", WORKDAY(Main[[#This Row],[Tech Start Date]],19),IF(Main[[#This Row],[Class]]="A",WORKDAY(Main[[#This Row],[Tech Start Date]],9),""))))</f>
        <v/>
      </c>
      <c r="Q593" s="74"/>
      <c r="R593" s="154"/>
      <c r="S593" s="72" t="s">
        <v>11</v>
      </c>
      <c r="T593" s="80" t="s">
        <v>4</v>
      </c>
      <c r="U593" s="72" t="s">
        <v>14</v>
      </c>
      <c r="V593" s="72" t="s">
        <v>1920</v>
      </c>
      <c r="W593" s="72" t="s">
        <v>1925</v>
      </c>
      <c r="X593" s="72" t="s">
        <v>2853</v>
      </c>
      <c r="Y593" s="72" t="s">
        <v>2984</v>
      </c>
      <c r="Z593" s="72" t="s">
        <v>4</v>
      </c>
      <c r="AA593" s="146" t="s">
        <v>2853</v>
      </c>
    </row>
    <row r="594" spans="1:27" ht="18.600000000000001" customHeight="1">
      <c r="A594" s="139" t="str">
        <f>IF(priority(Main[[#This Row],[Comments]])&lt;&gt;0, priority(Main[[#This Row],[Comments]]),"")</f>
        <v/>
      </c>
      <c r="B594" s="89" t="s">
        <v>1423</v>
      </c>
      <c r="C594" s="72" t="s">
        <v>506</v>
      </c>
      <c r="D594" s="73" t="s">
        <v>507</v>
      </c>
      <c r="E594" s="74"/>
      <c r="F594" s="74"/>
      <c r="G594" s="75" t="str">
        <f>IF(stdProdLT(Main[[#This Row],[Comments]])=0.1,"N/A",IF(stdProdLT(Main[[#This Row],[Comments]])=0,"",stdProdLT(Main[[#This Row],[Comments]])))</f>
        <v/>
      </c>
      <c r="H594" s="76" t="str">
        <f>IF(AND(Main[[#This Row],[In Stock Date]]&lt;&gt;"",Main[[#This Row],[Revised Due Date]]&lt;&gt;""),Main[[#This Row],[In Stock Date]]-Main[[#This Row],[Revised Due Date]],"")</f>
        <v/>
      </c>
      <c r="I594" s="72" t="s">
        <v>4</v>
      </c>
      <c r="J594" s="72" t="s">
        <v>4</v>
      </c>
      <c r="K594" s="72" t="s">
        <v>4</v>
      </c>
      <c r="L594" s="74"/>
      <c r="M594" s="77" t="str">
        <f>IF(Main[[#This Row],[Tech Start Date]]&lt;1/1/1990,"",IF(Main[[#This Row],[Class]]="C",WORKDAY(Main[[#This Row],[Tech Start Date]],9),IF(Main[[#This Row],[Class]]="B", WORKDAY(Main[[#This Row],[Tech Start Date]],6),IF(Main[[#This Row],[Class]]="A",WORKDAY(Main[[#This Row],[Tech Start Date]],2),""))))</f>
        <v/>
      </c>
      <c r="N594" s="77" t="str">
        <f>IF(Main[[#This Row],[Tech Start Date]]&lt;1/1/1990,"",IF(Main[[#This Row],[Class]]="C",WORKDAY(Main[[#This Row],[Tech Start Date]],19),IF(Main[[#This Row],[Class]]="B", WORKDAY(Main[[#This Row],[Tech Start Date]],12),IF(Main[[#This Row],[Class]]="A",WORKDAY(Main[[#This Row],[Tech Start Date]],4),""))))</f>
        <v/>
      </c>
      <c r="O594" s="77" t="str">
        <f>IF(Main[[#This Row],[Tech Start Date]]&lt;1/1/1990,"",IF(Main[[#This Row],[Class]]="C",WORKDAY(Main[[#This Row],[Tech Start Date]],23),IF(Main[[#This Row],[Class]]="B", WORKDAY(Main[[#This Row],[Tech Start Date]],15),IF(Main[[#This Row],[Class]]="A",WORKDAY(Main[[#This Row],[Tech Start Date]],5),""))))</f>
        <v/>
      </c>
      <c r="P594" s="77" t="str">
        <f>IF(Main[[#This Row],[Tech Start Date]]&lt;1/1/1990,"",IF(Main[[#This Row],[Class]]="C",WORKDAY(Main[[#This Row],[Tech Start Date]],28),IF(Main[[#This Row],[Class]]="B", WORKDAY(Main[[#This Row],[Tech Start Date]],19),IF(Main[[#This Row],[Class]]="A",WORKDAY(Main[[#This Row],[Tech Start Date]],9),""))))</f>
        <v/>
      </c>
      <c r="Q594" s="74">
        <v>40042</v>
      </c>
      <c r="R594" s="74"/>
      <c r="S594" s="72" t="s">
        <v>11</v>
      </c>
      <c r="T594" s="80" t="s">
        <v>4</v>
      </c>
      <c r="U594" s="72" t="s">
        <v>14</v>
      </c>
      <c r="V594" s="72" t="s">
        <v>1918</v>
      </c>
      <c r="W594" s="72" t="s">
        <v>1931</v>
      </c>
      <c r="X594" s="72" t="s">
        <v>747</v>
      </c>
      <c r="Y594" s="72" t="s">
        <v>3072</v>
      </c>
      <c r="Z594" s="72" t="s">
        <v>4</v>
      </c>
      <c r="AA594" s="146" t="s">
        <v>747</v>
      </c>
    </row>
    <row r="595" spans="1:27" ht="18.600000000000001" customHeight="1">
      <c r="A595" s="139" t="str">
        <f>IF(priority(Main[[#This Row],[Comments]])&lt;&gt;0, priority(Main[[#This Row],[Comments]]),"")</f>
        <v/>
      </c>
      <c r="B595" s="89" t="s">
        <v>1967</v>
      </c>
      <c r="C595" s="72" t="s">
        <v>4</v>
      </c>
      <c r="D595" s="73" t="s">
        <v>1968</v>
      </c>
      <c r="E595" s="74"/>
      <c r="F595" s="74"/>
      <c r="G595" s="75" t="str">
        <f>IF(stdProdLT(Main[[#This Row],[Comments]])=0.1,"N/A",IF(stdProdLT(Main[[#This Row],[Comments]])=0,"",stdProdLT(Main[[#This Row],[Comments]])))</f>
        <v/>
      </c>
      <c r="H595" s="76" t="str">
        <f>IF(AND(Main[[#This Row],[In Stock Date]]&lt;&gt;"",Main[[#This Row],[Revised Due Date]]&lt;&gt;""),Main[[#This Row],[In Stock Date]]-Main[[#This Row],[Revised Due Date]],"")</f>
        <v/>
      </c>
      <c r="I595" s="72" t="s">
        <v>4</v>
      </c>
      <c r="J595" s="72" t="s">
        <v>4</v>
      </c>
      <c r="K595" s="72" t="s">
        <v>4</v>
      </c>
      <c r="L595" s="74"/>
      <c r="M595" s="77" t="str">
        <f>IF(Main[[#This Row],[Tech Start Date]]&lt;1/1/1990,"",IF(Main[[#This Row],[Class]]="C",WORKDAY(Main[[#This Row],[Tech Start Date]],9),IF(Main[[#This Row],[Class]]="B", WORKDAY(Main[[#This Row],[Tech Start Date]],6),IF(Main[[#This Row],[Class]]="A",WORKDAY(Main[[#This Row],[Tech Start Date]],2),""))))</f>
        <v/>
      </c>
      <c r="N595" s="77" t="str">
        <f>IF(Main[[#This Row],[Tech Start Date]]&lt;1/1/1990,"",IF(Main[[#This Row],[Class]]="C",WORKDAY(Main[[#This Row],[Tech Start Date]],19),IF(Main[[#This Row],[Class]]="B", WORKDAY(Main[[#This Row],[Tech Start Date]],12),IF(Main[[#This Row],[Class]]="A",WORKDAY(Main[[#This Row],[Tech Start Date]],4),""))))</f>
        <v/>
      </c>
      <c r="O595" s="77" t="str">
        <f>IF(Main[[#This Row],[Tech Start Date]]&lt;1/1/1990,"",IF(Main[[#This Row],[Class]]="C",WORKDAY(Main[[#This Row],[Tech Start Date]],23),IF(Main[[#This Row],[Class]]="B", WORKDAY(Main[[#This Row],[Tech Start Date]],15),IF(Main[[#This Row],[Class]]="A",WORKDAY(Main[[#This Row],[Tech Start Date]],5),""))))</f>
        <v/>
      </c>
      <c r="P595" s="77" t="str">
        <f>IF(Main[[#This Row],[Tech Start Date]]&lt;1/1/1990,"",IF(Main[[#This Row],[Class]]="C",WORKDAY(Main[[#This Row],[Tech Start Date]],28),IF(Main[[#This Row],[Class]]="B", WORKDAY(Main[[#This Row],[Tech Start Date]],19),IF(Main[[#This Row],[Class]]="A",WORKDAY(Main[[#This Row],[Tech Start Date]],9),""))))</f>
        <v/>
      </c>
      <c r="Q595" s="74"/>
      <c r="R595" s="74"/>
      <c r="S595" s="72" t="s">
        <v>23</v>
      </c>
      <c r="T595" s="80" t="s">
        <v>4</v>
      </c>
      <c r="U595" s="72" t="s">
        <v>14</v>
      </c>
      <c r="V595" s="72" t="s">
        <v>1917</v>
      </c>
      <c r="W595" s="72" t="s">
        <v>1921</v>
      </c>
      <c r="X595" s="72" t="s">
        <v>102</v>
      </c>
      <c r="Y595" s="72" t="s">
        <v>3073</v>
      </c>
      <c r="Z595" s="72" t="s">
        <v>4</v>
      </c>
      <c r="AA595" s="146" t="s">
        <v>3429</v>
      </c>
    </row>
    <row r="596" spans="1:27" ht="18.600000000000001" customHeight="1">
      <c r="A596" s="139" t="str">
        <f>IF(priority(Main[[#This Row],[Comments]])&lt;&gt;0, priority(Main[[#This Row],[Comments]]),"")</f>
        <v/>
      </c>
      <c r="B596" s="89" t="s">
        <v>1424</v>
      </c>
      <c r="C596" s="72" t="s">
        <v>4</v>
      </c>
      <c r="D596" s="73" t="s">
        <v>508</v>
      </c>
      <c r="E596" s="74">
        <v>40322.154652777775</v>
      </c>
      <c r="F596" s="74"/>
      <c r="G596" s="75" t="str">
        <f>IF(stdProdLT(Main[[#This Row],[Comments]])=0.1,"N/A",IF(stdProdLT(Main[[#This Row],[Comments]])=0,"",stdProdLT(Main[[#This Row],[Comments]])))</f>
        <v/>
      </c>
      <c r="H596" s="76" t="str">
        <f>IF(AND(Main[[#This Row],[In Stock Date]]&lt;&gt;"",Main[[#This Row],[Revised Due Date]]&lt;&gt;""),Main[[#This Row],[In Stock Date]]-Main[[#This Row],[Revised Due Date]],"")</f>
        <v/>
      </c>
      <c r="I596" s="72" t="s">
        <v>129</v>
      </c>
      <c r="J596" s="72" t="s">
        <v>4</v>
      </c>
      <c r="K596" s="72" t="s">
        <v>4</v>
      </c>
      <c r="L596" s="74"/>
      <c r="M596" s="77" t="str">
        <f>IF(Main[[#This Row],[Tech Start Date]]&lt;1/1/1990,"",IF(Main[[#This Row],[Class]]="C",WORKDAY(Main[[#This Row],[Tech Start Date]],9),IF(Main[[#This Row],[Class]]="B", WORKDAY(Main[[#This Row],[Tech Start Date]],6),IF(Main[[#This Row],[Class]]="A",WORKDAY(Main[[#This Row],[Tech Start Date]],2),""))))</f>
        <v/>
      </c>
      <c r="N596" s="77" t="str">
        <f>IF(Main[[#This Row],[Tech Start Date]]&lt;1/1/1990,"",IF(Main[[#This Row],[Class]]="C",WORKDAY(Main[[#This Row],[Tech Start Date]],19),IF(Main[[#This Row],[Class]]="B", WORKDAY(Main[[#This Row],[Tech Start Date]],12),IF(Main[[#This Row],[Class]]="A",WORKDAY(Main[[#This Row],[Tech Start Date]],4),""))))</f>
        <v/>
      </c>
      <c r="O596" s="77" t="str">
        <f>IF(Main[[#This Row],[Tech Start Date]]&lt;1/1/1990,"",IF(Main[[#This Row],[Class]]="C",WORKDAY(Main[[#This Row],[Tech Start Date]],23),IF(Main[[#This Row],[Class]]="B", WORKDAY(Main[[#This Row],[Tech Start Date]],15),IF(Main[[#This Row],[Class]]="A",WORKDAY(Main[[#This Row],[Tech Start Date]],5),""))))</f>
        <v/>
      </c>
      <c r="P596" s="77" t="str">
        <f>IF(Main[[#This Row],[Tech Start Date]]&lt;1/1/1990,"",IF(Main[[#This Row],[Class]]="C",WORKDAY(Main[[#This Row],[Tech Start Date]],28),IF(Main[[#This Row],[Class]]="B", WORKDAY(Main[[#This Row],[Tech Start Date]],19),IF(Main[[#This Row],[Class]]="A",WORKDAY(Main[[#This Row],[Tech Start Date]],9),""))))</f>
        <v/>
      </c>
      <c r="Q596" s="74">
        <v>40353</v>
      </c>
      <c r="R596" s="154"/>
      <c r="S596" s="72" t="s">
        <v>6</v>
      </c>
      <c r="T596" s="80" t="s">
        <v>4</v>
      </c>
      <c r="U596" s="72" t="s">
        <v>7</v>
      </c>
      <c r="V596" s="72" t="s">
        <v>1917</v>
      </c>
      <c r="W596" s="72" t="s">
        <v>1919</v>
      </c>
      <c r="X596" s="72" t="s">
        <v>2828</v>
      </c>
      <c r="Y596" s="72" t="s">
        <v>2944</v>
      </c>
      <c r="Z596" s="72" t="s">
        <v>4</v>
      </c>
      <c r="AA596" s="146" t="s">
        <v>2828</v>
      </c>
    </row>
    <row r="597" spans="1:27" ht="18.600000000000001" customHeight="1">
      <c r="A597" s="139" t="str">
        <f>IF(priority(Main[[#This Row],[Comments]])&lt;&gt;0, priority(Main[[#This Row],[Comments]]),"")</f>
        <v/>
      </c>
      <c r="B597" s="89" t="s">
        <v>1425</v>
      </c>
      <c r="C597" s="72" t="s">
        <v>4</v>
      </c>
      <c r="D597" s="73" t="s">
        <v>509</v>
      </c>
      <c r="E597" s="74"/>
      <c r="F597" s="74"/>
      <c r="G597" s="75" t="str">
        <f>IF(stdProdLT(Main[[#This Row],[Comments]])=0.1,"N/A",IF(stdProdLT(Main[[#This Row],[Comments]])=0,"",stdProdLT(Main[[#This Row],[Comments]])))</f>
        <v/>
      </c>
      <c r="H597" s="76" t="str">
        <f>IF(AND(Main[[#This Row],[In Stock Date]]&lt;&gt;"",Main[[#This Row],[Revised Due Date]]&lt;&gt;""),Main[[#This Row],[In Stock Date]]-Main[[#This Row],[Revised Due Date]],"")</f>
        <v/>
      </c>
      <c r="I597" s="72" t="s">
        <v>4</v>
      </c>
      <c r="J597" s="72" t="s">
        <v>4</v>
      </c>
      <c r="K597" s="72" t="s">
        <v>4</v>
      </c>
      <c r="L597" s="74"/>
      <c r="M597" s="77" t="str">
        <f>IF(Main[[#This Row],[Tech Start Date]]&lt;1/1/1990,"",IF(Main[[#This Row],[Class]]="C",WORKDAY(Main[[#This Row],[Tech Start Date]],9),IF(Main[[#This Row],[Class]]="B", WORKDAY(Main[[#This Row],[Tech Start Date]],6),IF(Main[[#This Row],[Class]]="A",WORKDAY(Main[[#This Row],[Tech Start Date]],2),""))))</f>
        <v/>
      </c>
      <c r="N597" s="77" t="str">
        <f>IF(Main[[#This Row],[Tech Start Date]]&lt;1/1/1990,"",IF(Main[[#This Row],[Class]]="C",WORKDAY(Main[[#This Row],[Tech Start Date]],19),IF(Main[[#This Row],[Class]]="B", WORKDAY(Main[[#This Row],[Tech Start Date]],12),IF(Main[[#This Row],[Class]]="A",WORKDAY(Main[[#This Row],[Tech Start Date]],4),""))))</f>
        <v/>
      </c>
      <c r="O597" s="77" t="str">
        <f>IF(Main[[#This Row],[Tech Start Date]]&lt;1/1/1990,"",IF(Main[[#This Row],[Class]]="C",WORKDAY(Main[[#This Row],[Tech Start Date]],23),IF(Main[[#This Row],[Class]]="B", WORKDAY(Main[[#This Row],[Tech Start Date]],15),IF(Main[[#This Row],[Class]]="A",WORKDAY(Main[[#This Row],[Tech Start Date]],5),""))))</f>
        <v/>
      </c>
      <c r="P597" s="77" t="str">
        <f>IF(Main[[#This Row],[Tech Start Date]]&lt;1/1/1990,"",IF(Main[[#This Row],[Class]]="C",WORKDAY(Main[[#This Row],[Tech Start Date]],28),IF(Main[[#This Row],[Class]]="B", WORKDAY(Main[[#This Row],[Tech Start Date]],19),IF(Main[[#This Row],[Class]]="A",WORKDAY(Main[[#This Row],[Tech Start Date]],9),""))))</f>
        <v/>
      </c>
      <c r="Q597" s="74"/>
      <c r="R597" s="154"/>
      <c r="S597" s="72" t="s">
        <v>4</v>
      </c>
      <c r="T597" s="80" t="s">
        <v>4</v>
      </c>
      <c r="U597" s="72" t="s">
        <v>14</v>
      </c>
      <c r="V597" s="72" t="s">
        <v>1917</v>
      </c>
      <c r="W597" s="72" t="s">
        <v>4</v>
      </c>
      <c r="X597" s="72" t="s">
        <v>2894</v>
      </c>
      <c r="Y597" s="72" t="s">
        <v>3050</v>
      </c>
      <c r="Z597" s="72" t="s">
        <v>4</v>
      </c>
      <c r="AA597" s="146" t="s">
        <v>2894</v>
      </c>
    </row>
    <row r="598" spans="1:27" ht="18.600000000000001" customHeight="1">
      <c r="A598" s="139" t="str">
        <f>IF(priority(Main[[#This Row],[Comments]])&lt;&gt;0, priority(Main[[#This Row],[Comments]]),"")</f>
        <v/>
      </c>
      <c r="B598" s="89" t="s">
        <v>1428</v>
      </c>
      <c r="C598" s="72" t="s">
        <v>31</v>
      </c>
      <c r="D598" s="73" t="s">
        <v>510</v>
      </c>
      <c r="E598" s="74"/>
      <c r="F598" s="74"/>
      <c r="G598" s="75" t="str">
        <f>IF(stdProdLT(Main[[#This Row],[Comments]])=0.1,"N/A",IF(stdProdLT(Main[[#This Row],[Comments]])=0,"",stdProdLT(Main[[#This Row],[Comments]])))</f>
        <v/>
      </c>
      <c r="H598" s="76" t="str">
        <f>IF(AND(Main[[#This Row],[In Stock Date]]&lt;&gt;"",Main[[#This Row],[Revised Due Date]]&lt;&gt;""),Main[[#This Row],[In Stock Date]]-Main[[#This Row],[Revised Due Date]],"")</f>
        <v/>
      </c>
      <c r="I598" s="72" t="s">
        <v>4</v>
      </c>
      <c r="J598" s="72" t="s">
        <v>4</v>
      </c>
      <c r="K598" s="81" t="s">
        <v>4</v>
      </c>
      <c r="L598" s="74"/>
      <c r="M598" s="77" t="str">
        <f>IF(Main[[#This Row],[Tech Start Date]]&lt;1/1/1990,"",IF(Main[[#This Row],[Class]]="C",WORKDAY(Main[[#This Row],[Tech Start Date]],9),IF(Main[[#This Row],[Class]]="B", WORKDAY(Main[[#This Row],[Tech Start Date]],6),IF(Main[[#This Row],[Class]]="A",WORKDAY(Main[[#This Row],[Tech Start Date]],2),""))))</f>
        <v/>
      </c>
      <c r="N598" s="77" t="str">
        <f>IF(Main[[#This Row],[Tech Start Date]]&lt;1/1/1990,"",IF(Main[[#This Row],[Class]]="C",WORKDAY(Main[[#This Row],[Tech Start Date]],19),IF(Main[[#This Row],[Class]]="B", WORKDAY(Main[[#This Row],[Tech Start Date]],12),IF(Main[[#This Row],[Class]]="A",WORKDAY(Main[[#This Row],[Tech Start Date]],4),""))))</f>
        <v/>
      </c>
      <c r="O598" s="77" t="str">
        <f>IF(Main[[#This Row],[Tech Start Date]]&lt;1/1/1990,"",IF(Main[[#This Row],[Class]]="C",WORKDAY(Main[[#This Row],[Tech Start Date]],23),IF(Main[[#This Row],[Class]]="B", WORKDAY(Main[[#This Row],[Tech Start Date]],15),IF(Main[[#This Row],[Class]]="A",WORKDAY(Main[[#This Row],[Tech Start Date]],5),""))))</f>
        <v/>
      </c>
      <c r="P598" s="77" t="str">
        <f>IF(Main[[#This Row],[Tech Start Date]]&lt;1/1/1990,"",IF(Main[[#This Row],[Class]]="C",WORKDAY(Main[[#This Row],[Tech Start Date]],28),IF(Main[[#This Row],[Class]]="B", WORKDAY(Main[[#This Row],[Tech Start Date]],19),IF(Main[[#This Row],[Class]]="A",WORKDAY(Main[[#This Row],[Tech Start Date]],9),""))))</f>
        <v/>
      </c>
      <c r="Q598" s="74">
        <v>40318</v>
      </c>
      <c r="R598" s="74"/>
      <c r="S598" s="72" t="s">
        <v>11</v>
      </c>
      <c r="T598" s="80" t="s">
        <v>4</v>
      </c>
      <c r="U598" s="72" t="s">
        <v>14</v>
      </c>
      <c r="V598" s="72" t="s">
        <v>1920</v>
      </c>
      <c r="W598" s="72" t="s">
        <v>1928</v>
      </c>
      <c r="X598" s="72" t="s">
        <v>2836</v>
      </c>
      <c r="Y598" s="72" t="s">
        <v>4</v>
      </c>
      <c r="Z598" s="72" t="s">
        <v>4</v>
      </c>
      <c r="AA598" s="146" t="s">
        <v>2836</v>
      </c>
    </row>
    <row r="599" spans="1:27" ht="18.600000000000001" customHeight="1">
      <c r="A599" s="139" t="str">
        <f>IF(priority(Main[[#This Row],[Comments]])&lt;&gt;0, priority(Main[[#This Row],[Comments]]),"")</f>
        <v/>
      </c>
      <c r="B599" s="89" t="s">
        <v>1429</v>
      </c>
      <c r="C599" s="72" t="s">
        <v>47</v>
      </c>
      <c r="D599" s="73" t="s">
        <v>511</v>
      </c>
      <c r="E599" s="74"/>
      <c r="F599" s="74"/>
      <c r="G599" s="75" t="str">
        <f>IF(stdProdLT(Main[[#This Row],[Comments]])=0.1,"N/A",IF(stdProdLT(Main[[#This Row],[Comments]])=0,"",stdProdLT(Main[[#This Row],[Comments]])))</f>
        <v/>
      </c>
      <c r="H599" s="76" t="str">
        <f>IF(AND(Main[[#This Row],[In Stock Date]]&lt;&gt;"",Main[[#This Row],[Revised Due Date]]&lt;&gt;""),Main[[#This Row],[In Stock Date]]-Main[[#This Row],[Revised Due Date]],"")</f>
        <v/>
      </c>
      <c r="I599" s="72" t="s">
        <v>4</v>
      </c>
      <c r="J599" s="72" t="s">
        <v>4</v>
      </c>
      <c r="K599" s="72" t="s">
        <v>4</v>
      </c>
      <c r="L599" s="74"/>
      <c r="M599" s="77" t="str">
        <f>IF(Main[[#This Row],[Tech Start Date]]&lt;1/1/1990,"",IF(Main[[#This Row],[Class]]="C",WORKDAY(Main[[#This Row],[Tech Start Date]],9),IF(Main[[#This Row],[Class]]="B", WORKDAY(Main[[#This Row],[Tech Start Date]],6),IF(Main[[#This Row],[Class]]="A",WORKDAY(Main[[#This Row],[Tech Start Date]],2),""))))</f>
        <v/>
      </c>
      <c r="N599" s="77" t="str">
        <f>IF(Main[[#This Row],[Tech Start Date]]&lt;1/1/1990,"",IF(Main[[#This Row],[Class]]="C",WORKDAY(Main[[#This Row],[Tech Start Date]],19),IF(Main[[#This Row],[Class]]="B", WORKDAY(Main[[#This Row],[Tech Start Date]],12),IF(Main[[#This Row],[Class]]="A",WORKDAY(Main[[#This Row],[Tech Start Date]],4),""))))</f>
        <v/>
      </c>
      <c r="O599" s="77" t="str">
        <f>IF(Main[[#This Row],[Tech Start Date]]&lt;1/1/1990,"",IF(Main[[#This Row],[Class]]="C",WORKDAY(Main[[#This Row],[Tech Start Date]],23),IF(Main[[#This Row],[Class]]="B", WORKDAY(Main[[#This Row],[Tech Start Date]],15),IF(Main[[#This Row],[Class]]="A",WORKDAY(Main[[#This Row],[Tech Start Date]],5),""))))</f>
        <v/>
      </c>
      <c r="P599" s="77" t="str">
        <f>IF(Main[[#This Row],[Tech Start Date]]&lt;1/1/1990,"",IF(Main[[#This Row],[Class]]="C",WORKDAY(Main[[#This Row],[Tech Start Date]],28),IF(Main[[#This Row],[Class]]="B", WORKDAY(Main[[#This Row],[Tech Start Date]],19),IF(Main[[#This Row],[Class]]="A",WORKDAY(Main[[#This Row],[Tech Start Date]],9),""))))</f>
        <v/>
      </c>
      <c r="Q599" s="74"/>
      <c r="R599" s="74"/>
      <c r="S599" s="72" t="s">
        <v>11</v>
      </c>
      <c r="T599" s="80" t="s">
        <v>4</v>
      </c>
      <c r="U599" s="72" t="s">
        <v>14</v>
      </c>
      <c r="V599" s="72" t="s">
        <v>1918</v>
      </c>
      <c r="W599" s="72" t="s">
        <v>1921</v>
      </c>
      <c r="X599" s="72" t="s">
        <v>306</v>
      </c>
      <c r="Y599" s="72" t="s">
        <v>2947</v>
      </c>
      <c r="Z599" s="72" t="s">
        <v>4</v>
      </c>
      <c r="AA599" s="146" t="s">
        <v>3388</v>
      </c>
    </row>
    <row r="600" spans="1:27" ht="18.600000000000001" customHeight="1">
      <c r="A600" s="139" t="str">
        <f>IF(priority(Main[[#This Row],[Comments]])&lt;&gt;0, priority(Main[[#This Row],[Comments]]),"")</f>
        <v/>
      </c>
      <c r="B600" s="89" t="s">
        <v>1430</v>
      </c>
      <c r="C600" s="72" t="s">
        <v>4</v>
      </c>
      <c r="D600" s="73" t="s">
        <v>512</v>
      </c>
      <c r="E600" s="74">
        <v>40465.986851851849</v>
      </c>
      <c r="F600" s="74"/>
      <c r="G600" s="75" t="str">
        <f>IF(stdProdLT(Main[[#This Row],[Comments]])=0.1,"N/A",IF(stdProdLT(Main[[#This Row],[Comments]])=0,"",stdProdLT(Main[[#This Row],[Comments]])))</f>
        <v/>
      </c>
      <c r="H600" s="76" t="str">
        <f>IF(AND(Main[[#This Row],[In Stock Date]]&lt;&gt;"",Main[[#This Row],[Revised Due Date]]&lt;&gt;""),Main[[#This Row],[In Stock Date]]-Main[[#This Row],[Revised Due Date]],"")</f>
        <v/>
      </c>
      <c r="I600" s="72" t="s">
        <v>4</v>
      </c>
      <c r="J600" s="72" t="s">
        <v>28</v>
      </c>
      <c r="K600" s="72" t="s">
        <v>4</v>
      </c>
      <c r="L600" s="74"/>
      <c r="M600" s="77" t="str">
        <f>IF(Main[[#This Row],[Tech Start Date]]&lt;1/1/1990,"",IF(Main[[#This Row],[Class]]="C",WORKDAY(Main[[#This Row],[Tech Start Date]],9),IF(Main[[#This Row],[Class]]="B", WORKDAY(Main[[#This Row],[Tech Start Date]],6),IF(Main[[#This Row],[Class]]="A",WORKDAY(Main[[#This Row],[Tech Start Date]],2),""))))</f>
        <v/>
      </c>
      <c r="N600" s="77" t="str">
        <f>IF(Main[[#This Row],[Tech Start Date]]&lt;1/1/1990,"",IF(Main[[#This Row],[Class]]="C",WORKDAY(Main[[#This Row],[Tech Start Date]],19),IF(Main[[#This Row],[Class]]="B", WORKDAY(Main[[#This Row],[Tech Start Date]],12),IF(Main[[#This Row],[Class]]="A",WORKDAY(Main[[#This Row],[Tech Start Date]],4),""))))</f>
        <v/>
      </c>
      <c r="O600" s="77" t="str">
        <f>IF(Main[[#This Row],[Tech Start Date]]&lt;1/1/1990,"",IF(Main[[#This Row],[Class]]="C",WORKDAY(Main[[#This Row],[Tech Start Date]],23),IF(Main[[#This Row],[Class]]="B", WORKDAY(Main[[#This Row],[Tech Start Date]],15),IF(Main[[#This Row],[Class]]="A",WORKDAY(Main[[#This Row],[Tech Start Date]],5),""))))</f>
        <v/>
      </c>
      <c r="P600" s="77" t="str">
        <f>IF(Main[[#This Row],[Tech Start Date]]&lt;1/1/1990,"",IF(Main[[#This Row],[Class]]="C",WORKDAY(Main[[#This Row],[Tech Start Date]],28),IF(Main[[#This Row],[Class]]="B", WORKDAY(Main[[#This Row],[Tech Start Date]],19),IF(Main[[#This Row],[Class]]="A",WORKDAY(Main[[#This Row],[Tech Start Date]],9),""))))</f>
        <v/>
      </c>
      <c r="Q600" s="74"/>
      <c r="R600" s="154"/>
      <c r="S600" s="72" t="s">
        <v>6</v>
      </c>
      <c r="T600" s="80" t="s">
        <v>4</v>
      </c>
      <c r="U600" s="72" t="s">
        <v>7</v>
      </c>
      <c r="V600" s="72" t="s">
        <v>1917</v>
      </c>
      <c r="W600" s="72" t="s">
        <v>1921</v>
      </c>
      <c r="X600" s="72" t="s">
        <v>2872</v>
      </c>
      <c r="Y600" s="72" t="s">
        <v>3006</v>
      </c>
      <c r="Z600" s="72" t="s">
        <v>129</v>
      </c>
      <c r="AA600" s="146" t="s">
        <v>2872</v>
      </c>
    </row>
    <row r="601" spans="1:27" ht="18.600000000000001" customHeight="1">
      <c r="A601" s="139" t="str">
        <f>IF(priority(Main[[#This Row],[Comments]])&lt;&gt;0, priority(Main[[#This Row],[Comments]]),"")</f>
        <v/>
      </c>
      <c r="B601" s="89" t="s">
        <v>1255</v>
      </c>
      <c r="C601" s="72" t="s">
        <v>4</v>
      </c>
      <c r="D601" s="73" t="s">
        <v>319</v>
      </c>
      <c r="E601" s="74">
        <v>40014.430787037039</v>
      </c>
      <c r="F601" s="74"/>
      <c r="G601" s="75" t="str">
        <f>IF(stdProdLT(Main[[#This Row],[Comments]])=0.1,"N/A",IF(stdProdLT(Main[[#This Row],[Comments]])=0,"",stdProdLT(Main[[#This Row],[Comments]])))</f>
        <v/>
      </c>
      <c r="H601" s="76" t="str">
        <f>IF(AND(Main[[#This Row],[In Stock Date]]&lt;&gt;"",Main[[#This Row],[Revised Due Date]]&lt;&gt;""),Main[[#This Row],[In Stock Date]]-Main[[#This Row],[Revised Due Date]],"")</f>
        <v/>
      </c>
      <c r="I601" s="72" t="s">
        <v>2016</v>
      </c>
      <c r="J601" s="72" t="s">
        <v>28</v>
      </c>
      <c r="K601" s="81" t="s">
        <v>4</v>
      </c>
      <c r="L601" s="74"/>
      <c r="M601" s="77" t="str">
        <f>IF(Main[[#This Row],[Tech Start Date]]&lt;1/1/1990,"",IF(Main[[#This Row],[Class]]="C",WORKDAY(Main[[#This Row],[Tech Start Date]],9),IF(Main[[#This Row],[Class]]="B", WORKDAY(Main[[#This Row],[Tech Start Date]],6),IF(Main[[#This Row],[Class]]="A",WORKDAY(Main[[#This Row],[Tech Start Date]],2),""))))</f>
        <v/>
      </c>
      <c r="N601" s="77" t="str">
        <f>IF(Main[[#This Row],[Tech Start Date]]&lt;1/1/1990,"",IF(Main[[#This Row],[Class]]="C",WORKDAY(Main[[#This Row],[Tech Start Date]],19),IF(Main[[#This Row],[Class]]="B", WORKDAY(Main[[#This Row],[Tech Start Date]],12),IF(Main[[#This Row],[Class]]="A",WORKDAY(Main[[#This Row],[Tech Start Date]],4),""))))</f>
        <v/>
      </c>
      <c r="O601" s="77" t="str">
        <f>IF(Main[[#This Row],[Tech Start Date]]&lt;1/1/1990,"",IF(Main[[#This Row],[Class]]="C",WORKDAY(Main[[#This Row],[Tech Start Date]],23),IF(Main[[#This Row],[Class]]="B", WORKDAY(Main[[#This Row],[Tech Start Date]],15),IF(Main[[#This Row],[Class]]="A",WORKDAY(Main[[#This Row],[Tech Start Date]],5),""))))</f>
        <v/>
      </c>
      <c r="P601" s="77" t="str">
        <f>IF(Main[[#This Row],[Tech Start Date]]&lt;1/1/1990,"",IF(Main[[#This Row],[Class]]="C",WORKDAY(Main[[#This Row],[Tech Start Date]],28),IF(Main[[#This Row],[Class]]="B", WORKDAY(Main[[#This Row],[Tech Start Date]],19),IF(Main[[#This Row],[Class]]="A",WORKDAY(Main[[#This Row],[Tech Start Date]],9),""))))</f>
        <v/>
      </c>
      <c r="Q601" s="74">
        <v>40237</v>
      </c>
      <c r="R601" s="74"/>
      <c r="S601" s="72" t="s">
        <v>17</v>
      </c>
      <c r="T601" s="80" t="s">
        <v>4</v>
      </c>
      <c r="U601" s="72" t="s">
        <v>7</v>
      </c>
      <c r="V601" s="72" t="s">
        <v>1932</v>
      </c>
      <c r="W601" s="72" t="s">
        <v>1925</v>
      </c>
      <c r="X601" s="72" t="s">
        <v>2868</v>
      </c>
      <c r="Y601" s="72" t="s">
        <v>3051</v>
      </c>
      <c r="Z601" s="72" t="s">
        <v>2214</v>
      </c>
      <c r="AA601" s="146" t="s">
        <v>2016</v>
      </c>
    </row>
    <row r="602" spans="1:27" ht="18.600000000000001" customHeight="1">
      <c r="A602" s="139" t="str">
        <f>IF(priority(Main[[#This Row],[Comments]])&lt;&gt;0, priority(Main[[#This Row],[Comments]]),"")</f>
        <v/>
      </c>
      <c r="B602" s="89" t="s">
        <v>1431</v>
      </c>
      <c r="C602" s="72" t="s">
        <v>72</v>
      </c>
      <c r="D602" s="73" t="s">
        <v>513</v>
      </c>
      <c r="E602" s="74"/>
      <c r="F602" s="74">
        <v>40544</v>
      </c>
      <c r="G602" s="75" t="str">
        <f>IF(stdProdLT(Main[[#This Row],[Comments]])=0.1,"N/A",IF(stdProdLT(Main[[#This Row],[Comments]])=0,"",stdProdLT(Main[[#This Row],[Comments]])))</f>
        <v/>
      </c>
      <c r="H602" s="76" t="str">
        <f>IF(AND(Main[[#This Row],[In Stock Date]]&lt;&gt;"",Main[[#This Row],[Revised Due Date]]&lt;&gt;""),Main[[#This Row],[In Stock Date]]-Main[[#This Row],[Revised Due Date]],"")</f>
        <v/>
      </c>
      <c r="I602" s="72" t="s">
        <v>4</v>
      </c>
      <c r="J602" s="72" t="s">
        <v>4</v>
      </c>
      <c r="K602" s="72" t="s">
        <v>4</v>
      </c>
      <c r="L602" s="74"/>
      <c r="M602" s="77" t="str">
        <f>IF(Main[[#This Row],[Tech Start Date]]&lt;1/1/1990,"",IF(Main[[#This Row],[Class]]="C",WORKDAY(Main[[#This Row],[Tech Start Date]],9),IF(Main[[#This Row],[Class]]="B", WORKDAY(Main[[#This Row],[Tech Start Date]],6),IF(Main[[#This Row],[Class]]="A",WORKDAY(Main[[#This Row],[Tech Start Date]],2),""))))</f>
        <v/>
      </c>
      <c r="N602" s="77" t="str">
        <f>IF(Main[[#This Row],[Tech Start Date]]&lt;1/1/1990,"",IF(Main[[#This Row],[Class]]="C",WORKDAY(Main[[#This Row],[Tech Start Date]],19),IF(Main[[#This Row],[Class]]="B", WORKDAY(Main[[#This Row],[Tech Start Date]],12),IF(Main[[#This Row],[Class]]="A",WORKDAY(Main[[#This Row],[Tech Start Date]],4),""))))</f>
        <v/>
      </c>
      <c r="O602" s="77" t="str">
        <f>IF(Main[[#This Row],[Tech Start Date]]&lt;1/1/1990,"",IF(Main[[#This Row],[Class]]="C",WORKDAY(Main[[#This Row],[Tech Start Date]],23),IF(Main[[#This Row],[Class]]="B", WORKDAY(Main[[#This Row],[Tech Start Date]],15),IF(Main[[#This Row],[Class]]="A",WORKDAY(Main[[#This Row],[Tech Start Date]],5),""))))</f>
        <v/>
      </c>
      <c r="P602" s="77" t="str">
        <f>IF(Main[[#This Row],[Tech Start Date]]&lt;1/1/1990,"",IF(Main[[#This Row],[Class]]="C",WORKDAY(Main[[#This Row],[Tech Start Date]],28),IF(Main[[#This Row],[Class]]="B", WORKDAY(Main[[#This Row],[Tech Start Date]],19),IF(Main[[#This Row],[Class]]="A",WORKDAY(Main[[#This Row],[Tech Start Date]],9),""))))</f>
        <v/>
      </c>
      <c r="Q602" s="74"/>
      <c r="R602" s="74"/>
      <c r="S602" s="72" t="s">
        <v>11</v>
      </c>
      <c r="T602" s="80" t="s">
        <v>4</v>
      </c>
      <c r="U602" s="72" t="s">
        <v>14</v>
      </c>
      <c r="V602" s="72" t="s">
        <v>1920</v>
      </c>
      <c r="W602" s="72" t="s">
        <v>1925</v>
      </c>
      <c r="X602" s="72" t="s">
        <v>2853</v>
      </c>
      <c r="Y602" s="72" t="s">
        <v>2984</v>
      </c>
      <c r="Z602" s="72" t="s">
        <v>4</v>
      </c>
      <c r="AA602" s="146" t="s">
        <v>2853</v>
      </c>
    </row>
    <row r="603" spans="1:27" ht="18.600000000000001" customHeight="1">
      <c r="A603" s="139" t="str">
        <f>IF(priority(Main[[#This Row],[Comments]])&lt;&gt;0, priority(Main[[#This Row],[Comments]]),"")</f>
        <v/>
      </c>
      <c r="B603" s="89" t="s">
        <v>1642</v>
      </c>
      <c r="C603" s="72" t="s">
        <v>4</v>
      </c>
      <c r="D603" s="73" t="s">
        <v>1996</v>
      </c>
      <c r="E603" s="74"/>
      <c r="F603" s="74"/>
      <c r="G603" s="75" t="str">
        <f>IF(stdProdLT(Main[[#This Row],[Comments]])=0.1,"N/A",IF(stdProdLT(Main[[#This Row],[Comments]])=0,"",stdProdLT(Main[[#This Row],[Comments]])))</f>
        <v/>
      </c>
      <c r="H603" s="76" t="str">
        <f>IF(AND(Main[[#This Row],[In Stock Date]]&lt;&gt;"",Main[[#This Row],[Revised Due Date]]&lt;&gt;""),Main[[#This Row],[In Stock Date]]-Main[[#This Row],[Revised Due Date]],"")</f>
        <v/>
      </c>
      <c r="I603" s="72" t="s">
        <v>44</v>
      </c>
      <c r="J603" s="72" t="s">
        <v>28</v>
      </c>
      <c r="K603" s="72" t="s">
        <v>1926</v>
      </c>
      <c r="L603" s="74"/>
      <c r="M603" s="77" t="str">
        <f>IF(Main[[#This Row],[Tech Start Date]]&lt;1/1/1990,"",IF(Main[[#This Row],[Class]]="C",WORKDAY(Main[[#This Row],[Tech Start Date]],9),IF(Main[[#This Row],[Class]]="B", WORKDAY(Main[[#This Row],[Tech Start Date]],6),IF(Main[[#This Row],[Class]]="A",WORKDAY(Main[[#This Row],[Tech Start Date]],2),""))))</f>
        <v/>
      </c>
      <c r="N603" s="77" t="str">
        <f>IF(Main[[#This Row],[Tech Start Date]]&lt;1/1/1990,"",IF(Main[[#This Row],[Class]]="C",WORKDAY(Main[[#This Row],[Tech Start Date]],19),IF(Main[[#This Row],[Class]]="B", WORKDAY(Main[[#This Row],[Tech Start Date]],12),IF(Main[[#This Row],[Class]]="A",WORKDAY(Main[[#This Row],[Tech Start Date]],4),""))))</f>
        <v/>
      </c>
      <c r="O603" s="77" t="str">
        <f>IF(Main[[#This Row],[Tech Start Date]]&lt;1/1/1990,"",IF(Main[[#This Row],[Class]]="C",WORKDAY(Main[[#This Row],[Tech Start Date]],23),IF(Main[[#This Row],[Class]]="B", WORKDAY(Main[[#This Row],[Tech Start Date]],15),IF(Main[[#This Row],[Class]]="A",WORKDAY(Main[[#This Row],[Tech Start Date]],5),""))))</f>
        <v/>
      </c>
      <c r="P603" s="77" t="str">
        <f>IF(Main[[#This Row],[Tech Start Date]]&lt;1/1/1990,"",IF(Main[[#This Row],[Class]]="C",WORKDAY(Main[[#This Row],[Tech Start Date]],28),IF(Main[[#This Row],[Class]]="B", WORKDAY(Main[[#This Row],[Tech Start Date]],19),IF(Main[[#This Row],[Class]]="A",WORKDAY(Main[[#This Row],[Tech Start Date]],9),""))))</f>
        <v/>
      </c>
      <c r="Q603" s="74">
        <v>40755</v>
      </c>
      <c r="R603" s="154"/>
      <c r="S603" s="72" t="s">
        <v>6</v>
      </c>
      <c r="T603" s="80" t="s">
        <v>4</v>
      </c>
      <c r="U603" s="72" t="s">
        <v>14</v>
      </c>
      <c r="V603" s="72" t="s">
        <v>1920</v>
      </c>
      <c r="W603" s="72" t="s">
        <v>1921</v>
      </c>
      <c r="X603" s="72" t="s">
        <v>30</v>
      </c>
      <c r="Y603" s="72" t="s">
        <v>3052</v>
      </c>
      <c r="Z603" s="72" t="s">
        <v>44</v>
      </c>
      <c r="AA603" s="146" t="s">
        <v>3426</v>
      </c>
    </row>
    <row r="604" spans="1:27" ht="18.600000000000001" customHeight="1">
      <c r="A604" s="139" t="str">
        <f>IF(priority(Main[[#This Row],[Comments]])&lt;&gt;0, priority(Main[[#This Row],[Comments]]),"")</f>
        <v/>
      </c>
      <c r="B604" s="89" t="s">
        <v>1432</v>
      </c>
      <c r="C604" s="72" t="s">
        <v>4</v>
      </c>
      <c r="D604" s="73" t="s">
        <v>97</v>
      </c>
      <c r="E604" s="74"/>
      <c r="F604" s="74"/>
      <c r="G604" s="75" t="str">
        <f>IF(stdProdLT(Main[[#This Row],[Comments]])=0.1,"N/A",IF(stdProdLT(Main[[#This Row],[Comments]])=0,"",stdProdLT(Main[[#This Row],[Comments]])))</f>
        <v/>
      </c>
      <c r="H604" s="76" t="str">
        <f>IF(AND(Main[[#This Row],[In Stock Date]]&lt;&gt;"",Main[[#This Row],[Revised Due Date]]&lt;&gt;""),Main[[#This Row],[In Stock Date]]-Main[[#This Row],[Revised Due Date]],"")</f>
        <v/>
      </c>
      <c r="I604" s="72" t="s">
        <v>4</v>
      </c>
      <c r="J604" s="72" t="s">
        <v>4</v>
      </c>
      <c r="K604" s="81" t="s">
        <v>4</v>
      </c>
      <c r="L604" s="74"/>
      <c r="M604" s="77" t="str">
        <f>IF(Main[[#This Row],[Tech Start Date]]&lt;1/1/1990,"",IF(Main[[#This Row],[Class]]="C",WORKDAY(Main[[#This Row],[Tech Start Date]],9),IF(Main[[#This Row],[Class]]="B", WORKDAY(Main[[#This Row],[Tech Start Date]],6),IF(Main[[#This Row],[Class]]="A",WORKDAY(Main[[#This Row],[Tech Start Date]],2),""))))</f>
        <v/>
      </c>
      <c r="N604" s="77" t="str">
        <f>IF(Main[[#This Row],[Tech Start Date]]&lt;1/1/1990,"",IF(Main[[#This Row],[Class]]="C",WORKDAY(Main[[#This Row],[Tech Start Date]],19),IF(Main[[#This Row],[Class]]="B", WORKDAY(Main[[#This Row],[Tech Start Date]],12),IF(Main[[#This Row],[Class]]="A",WORKDAY(Main[[#This Row],[Tech Start Date]],4),""))))</f>
        <v/>
      </c>
      <c r="O604" s="77" t="str">
        <f>IF(Main[[#This Row],[Tech Start Date]]&lt;1/1/1990,"",IF(Main[[#This Row],[Class]]="C",WORKDAY(Main[[#This Row],[Tech Start Date]],23),IF(Main[[#This Row],[Class]]="B", WORKDAY(Main[[#This Row],[Tech Start Date]],15),IF(Main[[#This Row],[Class]]="A",WORKDAY(Main[[#This Row],[Tech Start Date]],5),""))))</f>
        <v/>
      </c>
      <c r="P604" s="77" t="str">
        <f>IF(Main[[#This Row],[Tech Start Date]]&lt;1/1/1990,"",IF(Main[[#This Row],[Class]]="C",WORKDAY(Main[[#This Row],[Tech Start Date]],28),IF(Main[[#This Row],[Class]]="B", WORKDAY(Main[[#This Row],[Tech Start Date]],19),IF(Main[[#This Row],[Class]]="A",WORKDAY(Main[[#This Row],[Tech Start Date]],9),""))))</f>
        <v/>
      </c>
      <c r="Q604" s="74">
        <v>40858</v>
      </c>
      <c r="R604" s="74"/>
      <c r="S604" s="72" t="s">
        <v>17</v>
      </c>
      <c r="T604" s="80" t="s">
        <v>4</v>
      </c>
      <c r="U604" s="72" t="s">
        <v>14</v>
      </c>
      <c r="V604" s="72" t="s">
        <v>1917</v>
      </c>
      <c r="W604" s="72" t="s">
        <v>1922</v>
      </c>
      <c r="X604" s="72" t="s">
        <v>50</v>
      </c>
      <c r="Y604" s="72" t="s">
        <v>2965</v>
      </c>
      <c r="Z604" s="72" t="s">
        <v>4</v>
      </c>
      <c r="AA604" s="146" t="s">
        <v>2834</v>
      </c>
    </row>
    <row r="605" spans="1:27" ht="18.600000000000001" customHeight="1">
      <c r="A605" s="139" t="str">
        <f>IF(priority(Main[[#This Row],[Comments]])&lt;&gt;0, priority(Main[[#This Row],[Comments]]),"")</f>
        <v/>
      </c>
      <c r="B605" s="89" t="s">
        <v>1433</v>
      </c>
      <c r="C605" s="72" t="s">
        <v>47</v>
      </c>
      <c r="D605" s="73" t="s">
        <v>517</v>
      </c>
      <c r="E605" s="74"/>
      <c r="F605" s="74"/>
      <c r="G605" s="75" t="str">
        <f>IF(stdProdLT(Main[[#This Row],[Comments]])=0.1,"N/A",IF(stdProdLT(Main[[#This Row],[Comments]])=0,"",stdProdLT(Main[[#This Row],[Comments]])))</f>
        <v/>
      </c>
      <c r="H605" s="76" t="str">
        <f>IF(AND(Main[[#This Row],[In Stock Date]]&lt;&gt;"",Main[[#This Row],[Revised Due Date]]&lt;&gt;""),Main[[#This Row],[In Stock Date]]-Main[[#This Row],[Revised Due Date]],"")</f>
        <v/>
      </c>
      <c r="I605" s="72" t="s">
        <v>4</v>
      </c>
      <c r="J605" s="72" t="s">
        <v>4</v>
      </c>
      <c r="K605" s="72" t="s">
        <v>4</v>
      </c>
      <c r="L605" s="74"/>
      <c r="M605" s="77" t="str">
        <f>IF(Main[[#This Row],[Tech Start Date]]&lt;1/1/1990,"",IF(Main[[#This Row],[Class]]="C",WORKDAY(Main[[#This Row],[Tech Start Date]],9),IF(Main[[#This Row],[Class]]="B", WORKDAY(Main[[#This Row],[Tech Start Date]],6),IF(Main[[#This Row],[Class]]="A",WORKDAY(Main[[#This Row],[Tech Start Date]],2),""))))</f>
        <v/>
      </c>
      <c r="N605" s="77" t="str">
        <f>IF(Main[[#This Row],[Tech Start Date]]&lt;1/1/1990,"",IF(Main[[#This Row],[Class]]="C",WORKDAY(Main[[#This Row],[Tech Start Date]],19),IF(Main[[#This Row],[Class]]="B", WORKDAY(Main[[#This Row],[Tech Start Date]],12),IF(Main[[#This Row],[Class]]="A",WORKDAY(Main[[#This Row],[Tech Start Date]],4),""))))</f>
        <v/>
      </c>
      <c r="O605" s="77" t="str">
        <f>IF(Main[[#This Row],[Tech Start Date]]&lt;1/1/1990,"",IF(Main[[#This Row],[Class]]="C",WORKDAY(Main[[#This Row],[Tech Start Date]],23),IF(Main[[#This Row],[Class]]="B", WORKDAY(Main[[#This Row],[Tech Start Date]],15),IF(Main[[#This Row],[Class]]="A",WORKDAY(Main[[#This Row],[Tech Start Date]],5),""))))</f>
        <v/>
      </c>
      <c r="P605" s="77" t="str">
        <f>IF(Main[[#This Row],[Tech Start Date]]&lt;1/1/1990,"",IF(Main[[#This Row],[Class]]="C",WORKDAY(Main[[#This Row],[Tech Start Date]],28),IF(Main[[#This Row],[Class]]="B", WORKDAY(Main[[#This Row],[Tech Start Date]],19),IF(Main[[#This Row],[Class]]="A",WORKDAY(Main[[#This Row],[Tech Start Date]],9),""))))</f>
        <v/>
      </c>
      <c r="Q605" s="74"/>
      <c r="R605" s="74"/>
      <c r="S605" s="72" t="s">
        <v>49</v>
      </c>
      <c r="T605" s="80" t="s">
        <v>4</v>
      </c>
      <c r="U605" s="72" t="s">
        <v>14</v>
      </c>
      <c r="V605" s="72" t="s">
        <v>1920</v>
      </c>
      <c r="W605" s="72" t="s">
        <v>1921</v>
      </c>
      <c r="X605" s="72" t="s">
        <v>306</v>
      </c>
      <c r="Y605" s="72" t="s">
        <v>4</v>
      </c>
      <c r="Z605" s="72" t="s">
        <v>4</v>
      </c>
      <c r="AA605" s="146" t="s">
        <v>4</v>
      </c>
    </row>
    <row r="606" spans="1:27" ht="18.600000000000001" customHeight="1">
      <c r="A606" s="139" t="str">
        <f>IF(priority(Main[[#This Row],[Comments]])&lt;&gt;0, priority(Main[[#This Row],[Comments]]),"")</f>
        <v/>
      </c>
      <c r="B606" s="89" t="s">
        <v>1434</v>
      </c>
      <c r="C606" s="72" t="s">
        <v>518</v>
      </c>
      <c r="D606" s="73" t="s">
        <v>519</v>
      </c>
      <c r="E606" s="74"/>
      <c r="F606" s="74">
        <v>40548</v>
      </c>
      <c r="G606" s="75" t="str">
        <f>IF(stdProdLT(Main[[#This Row],[Comments]])=0.1,"N/A",IF(stdProdLT(Main[[#This Row],[Comments]])=0,"",stdProdLT(Main[[#This Row],[Comments]])))</f>
        <v/>
      </c>
      <c r="H606" s="76" t="str">
        <f>IF(AND(Main[[#This Row],[In Stock Date]]&lt;&gt;"",Main[[#This Row],[Revised Due Date]]&lt;&gt;""),Main[[#This Row],[In Stock Date]]-Main[[#This Row],[Revised Due Date]],"")</f>
        <v/>
      </c>
      <c r="I606" s="72" t="s">
        <v>4</v>
      </c>
      <c r="J606" s="72" t="s">
        <v>4</v>
      </c>
      <c r="K606" s="81" t="s">
        <v>1929</v>
      </c>
      <c r="L606" s="74"/>
      <c r="M606" s="77" t="str">
        <f>IF(Main[[#This Row],[Tech Start Date]]&lt;1/1/1990,"",IF(Main[[#This Row],[Class]]="C",WORKDAY(Main[[#This Row],[Tech Start Date]],9),IF(Main[[#This Row],[Class]]="B", WORKDAY(Main[[#This Row],[Tech Start Date]],6),IF(Main[[#This Row],[Class]]="A",WORKDAY(Main[[#This Row],[Tech Start Date]],2),""))))</f>
        <v/>
      </c>
      <c r="N606" s="77" t="str">
        <f>IF(Main[[#This Row],[Tech Start Date]]&lt;1/1/1990,"",IF(Main[[#This Row],[Class]]="C",WORKDAY(Main[[#This Row],[Tech Start Date]],19),IF(Main[[#This Row],[Class]]="B", WORKDAY(Main[[#This Row],[Tech Start Date]],12),IF(Main[[#This Row],[Class]]="A",WORKDAY(Main[[#This Row],[Tech Start Date]],4),""))))</f>
        <v/>
      </c>
      <c r="O606" s="77" t="str">
        <f>IF(Main[[#This Row],[Tech Start Date]]&lt;1/1/1990,"",IF(Main[[#This Row],[Class]]="C",WORKDAY(Main[[#This Row],[Tech Start Date]],23),IF(Main[[#This Row],[Class]]="B", WORKDAY(Main[[#This Row],[Tech Start Date]],15),IF(Main[[#This Row],[Class]]="A",WORKDAY(Main[[#This Row],[Tech Start Date]],5),""))))</f>
        <v/>
      </c>
      <c r="P606" s="77" t="str">
        <f>IF(Main[[#This Row],[Tech Start Date]]&lt;1/1/1990,"",IF(Main[[#This Row],[Class]]="C",WORKDAY(Main[[#This Row],[Tech Start Date]],28),IF(Main[[#This Row],[Class]]="B", WORKDAY(Main[[#This Row],[Tech Start Date]],19),IF(Main[[#This Row],[Class]]="A",WORKDAY(Main[[#This Row],[Tech Start Date]],9),""))))</f>
        <v/>
      </c>
      <c r="Q606" s="74"/>
      <c r="R606" s="154"/>
      <c r="S606" s="72" t="s">
        <v>11</v>
      </c>
      <c r="T606" s="80" t="s">
        <v>4</v>
      </c>
      <c r="U606" s="72" t="s">
        <v>14</v>
      </c>
      <c r="V606" s="72" t="s">
        <v>1918</v>
      </c>
      <c r="W606" s="72" t="s">
        <v>1922</v>
      </c>
      <c r="X606" s="72" t="s">
        <v>2895</v>
      </c>
      <c r="Y606" s="72" t="s">
        <v>4</v>
      </c>
      <c r="Z606" s="72" t="s">
        <v>4</v>
      </c>
      <c r="AA606" s="146" t="s">
        <v>4</v>
      </c>
    </row>
    <row r="607" spans="1:27" ht="18.600000000000001" customHeight="1">
      <c r="A607" s="139" t="str">
        <f>IF(priority(Main[[#This Row],[Comments]])&lt;&gt;0, priority(Main[[#This Row],[Comments]]),"")</f>
        <v/>
      </c>
      <c r="B607" s="89" t="s">
        <v>1435</v>
      </c>
      <c r="C607" s="72" t="s">
        <v>122</v>
      </c>
      <c r="D607" s="73" t="s">
        <v>520</v>
      </c>
      <c r="E607" s="74"/>
      <c r="F607" s="74"/>
      <c r="G607" s="75" t="str">
        <f>IF(stdProdLT(Main[[#This Row],[Comments]])=0.1,"N/A",IF(stdProdLT(Main[[#This Row],[Comments]])=0,"",stdProdLT(Main[[#This Row],[Comments]])))</f>
        <v/>
      </c>
      <c r="H607" s="76" t="str">
        <f>IF(AND(Main[[#This Row],[In Stock Date]]&lt;&gt;"",Main[[#This Row],[Revised Due Date]]&lt;&gt;""),Main[[#This Row],[In Stock Date]]-Main[[#This Row],[Revised Due Date]],"")</f>
        <v/>
      </c>
      <c r="I607" s="72" t="s">
        <v>4</v>
      </c>
      <c r="J607" s="72" t="s">
        <v>4</v>
      </c>
      <c r="K607" s="72" t="s">
        <v>4</v>
      </c>
      <c r="L607" s="74"/>
      <c r="M607" s="77" t="str">
        <f>IF(Main[[#This Row],[Tech Start Date]]&lt;1/1/1990,"",IF(Main[[#This Row],[Class]]="C",WORKDAY(Main[[#This Row],[Tech Start Date]],9),IF(Main[[#This Row],[Class]]="B", WORKDAY(Main[[#This Row],[Tech Start Date]],6),IF(Main[[#This Row],[Class]]="A",WORKDAY(Main[[#This Row],[Tech Start Date]],2),""))))</f>
        <v/>
      </c>
      <c r="N607" s="77" t="str">
        <f>IF(Main[[#This Row],[Tech Start Date]]&lt;1/1/1990,"",IF(Main[[#This Row],[Class]]="C",WORKDAY(Main[[#This Row],[Tech Start Date]],19),IF(Main[[#This Row],[Class]]="B", WORKDAY(Main[[#This Row],[Tech Start Date]],12),IF(Main[[#This Row],[Class]]="A",WORKDAY(Main[[#This Row],[Tech Start Date]],4),""))))</f>
        <v/>
      </c>
      <c r="O607" s="77" t="str">
        <f>IF(Main[[#This Row],[Tech Start Date]]&lt;1/1/1990,"",IF(Main[[#This Row],[Class]]="C",WORKDAY(Main[[#This Row],[Tech Start Date]],23),IF(Main[[#This Row],[Class]]="B", WORKDAY(Main[[#This Row],[Tech Start Date]],15),IF(Main[[#This Row],[Class]]="A",WORKDAY(Main[[#This Row],[Tech Start Date]],5),""))))</f>
        <v/>
      </c>
      <c r="P607" s="77" t="str">
        <f>IF(Main[[#This Row],[Tech Start Date]]&lt;1/1/1990,"",IF(Main[[#This Row],[Class]]="C",WORKDAY(Main[[#This Row],[Tech Start Date]],28),IF(Main[[#This Row],[Class]]="B", WORKDAY(Main[[#This Row],[Tech Start Date]],19),IF(Main[[#This Row],[Class]]="A",WORKDAY(Main[[#This Row],[Tech Start Date]],9),""))))</f>
        <v/>
      </c>
      <c r="Q607" s="74">
        <v>40245</v>
      </c>
      <c r="R607" s="74"/>
      <c r="S607" s="72" t="s">
        <v>11</v>
      </c>
      <c r="T607" s="80" t="s">
        <v>4</v>
      </c>
      <c r="U607" s="72" t="s">
        <v>14</v>
      </c>
      <c r="V607" s="72" t="s">
        <v>1920</v>
      </c>
      <c r="W607" s="72" t="s">
        <v>1919</v>
      </c>
      <c r="X607" s="72" t="s">
        <v>2878</v>
      </c>
      <c r="Y607" s="72" t="s">
        <v>4</v>
      </c>
      <c r="Z607" s="72" t="s">
        <v>4</v>
      </c>
      <c r="AA607" s="146" t="s">
        <v>2878</v>
      </c>
    </row>
    <row r="608" spans="1:27" ht="18.600000000000001" customHeight="1">
      <c r="A608" s="139" t="str">
        <f>IF(priority(Main[[#This Row],[Comments]])&lt;&gt;0, priority(Main[[#This Row],[Comments]]),"")</f>
        <v/>
      </c>
      <c r="B608" s="89" t="s">
        <v>1436</v>
      </c>
      <c r="C608" s="72" t="s">
        <v>4</v>
      </c>
      <c r="D608" s="73" t="s">
        <v>521</v>
      </c>
      <c r="E608" s="74"/>
      <c r="F608" s="74">
        <v>40178</v>
      </c>
      <c r="G608" s="75" t="str">
        <f>IF(stdProdLT(Main[[#This Row],[Comments]])=0.1,"N/A",IF(stdProdLT(Main[[#This Row],[Comments]])=0,"",stdProdLT(Main[[#This Row],[Comments]])))</f>
        <v/>
      </c>
      <c r="H608" s="76" t="str">
        <f>IF(AND(Main[[#This Row],[In Stock Date]]&lt;&gt;"",Main[[#This Row],[Revised Due Date]]&lt;&gt;""),Main[[#This Row],[In Stock Date]]-Main[[#This Row],[Revised Due Date]],"")</f>
        <v/>
      </c>
      <c r="I608" s="72" t="s">
        <v>4</v>
      </c>
      <c r="J608" s="72" t="s">
        <v>4</v>
      </c>
      <c r="K608" s="72" t="s">
        <v>4</v>
      </c>
      <c r="L608" s="74"/>
      <c r="M608" s="77" t="str">
        <f>IF(Main[[#This Row],[Tech Start Date]]&lt;1/1/1990,"",IF(Main[[#This Row],[Class]]="C",WORKDAY(Main[[#This Row],[Tech Start Date]],9),IF(Main[[#This Row],[Class]]="B", WORKDAY(Main[[#This Row],[Tech Start Date]],6),IF(Main[[#This Row],[Class]]="A",WORKDAY(Main[[#This Row],[Tech Start Date]],2),""))))</f>
        <v/>
      </c>
      <c r="N608" s="77" t="str">
        <f>IF(Main[[#This Row],[Tech Start Date]]&lt;1/1/1990,"",IF(Main[[#This Row],[Class]]="C",WORKDAY(Main[[#This Row],[Tech Start Date]],19),IF(Main[[#This Row],[Class]]="B", WORKDAY(Main[[#This Row],[Tech Start Date]],12),IF(Main[[#This Row],[Class]]="A",WORKDAY(Main[[#This Row],[Tech Start Date]],4),""))))</f>
        <v/>
      </c>
      <c r="O608" s="77" t="str">
        <f>IF(Main[[#This Row],[Tech Start Date]]&lt;1/1/1990,"",IF(Main[[#This Row],[Class]]="C",WORKDAY(Main[[#This Row],[Tech Start Date]],23),IF(Main[[#This Row],[Class]]="B", WORKDAY(Main[[#This Row],[Tech Start Date]],15),IF(Main[[#This Row],[Class]]="A",WORKDAY(Main[[#This Row],[Tech Start Date]],5),""))))</f>
        <v/>
      </c>
      <c r="P608" s="77" t="str">
        <f>IF(Main[[#This Row],[Tech Start Date]]&lt;1/1/1990,"",IF(Main[[#This Row],[Class]]="C",WORKDAY(Main[[#This Row],[Tech Start Date]],28),IF(Main[[#This Row],[Class]]="B", WORKDAY(Main[[#This Row],[Tech Start Date]],19),IF(Main[[#This Row],[Class]]="A",WORKDAY(Main[[#This Row],[Tech Start Date]],9),""))))</f>
        <v/>
      </c>
      <c r="Q608" s="74">
        <v>40158</v>
      </c>
      <c r="R608" s="74"/>
      <c r="S608" s="72" t="s">
        <v>11</v>
      </c>
      <c r="T608" s="80" t="s">
        <v>4</v>
      </c>
      <c r="U608" s="72" t="s">
        <v>14</v>
      </c>
      <c r="V608" s="72" t="s">
        <v>1917</v>
      </c>
      <c r="W608" s="72" t="s">
        <v>1922</v>
      </c>
      <c r="X608" s="72" t="s">
        <v>2830</v>
      </c>
      <c r="Y608" s="72" t="s">
        <v>2949</v>
      </c>
      <c r="Z608" s="72" t="s">
        <v>4</v>
      </c>
      <c r="AA608" s="146" t="s">
        <v>2830</v>
      </c>
    </row>
    <row r="609" spans="1:27" ht="18.600000000000001" customHeight="1">
      <c r="A609" s="139" t="str">
        <f>IF(priority(Main[[#This Row],[Comments]])&lt;&gt;0, priority(Main[[#This Row],[Comments]]),"")</f>
        <v/>
      </c>
      <c r="B609" s="89" t="s">
        <v>2378</v>
      </c>
      <c r="C609" s="72" t="s">
        <v>72</v>
      </c>
      <c r="D609" s="73" t="s">
        <v>2379</v>
      </c>
      <c r="E609" s="74"/>
      <c r="F609" s="74"/>
      <c r="G609" s="75" t="str">
        <f>IF(stdProdLT(Main[[#This Row],[Comments]])=0.1,"N/A",IF(stdProdLT(Main[[#This Row],[Comments]])=0,"",stdProdLT(Main[[#This Row],[Comments]])))</f>
        <v/>
      </c>
      <c r="H609" s="76" t="str">
        <f>IF(AND(Main[[#This Row],[In Stock Date]]&lt;&gt;"",Main[[#This Row],[Revised Due Date]]&lt;&gt;""),Main[[#This Row],[In Stock Date]]-Main[[#This Row],[Revised Due Date]],"")</f>
        <v/>
      </c>
      <c r="I609" s="72" t="s">
        <v>4</v>
      </c>
      <c r="J609" s="72" t="s">
        <v>4</v>
      </c>
      <c r="K609" s="72" t="s">
        <v>4</v>
      </c>
      <c r="L609" s="74"/>
      <c r="M609" s="77" t="str">
        <f>IF(Main[[#This Row],[Tech Start Date]]&lt;1/1/1990,"",IF(Main[[#This Row],[Class]]="C",WORKDAY(Main[[#This Row],[Tech Start Date]],9),IF(Main[[#This Row],[Class]]="B", WORKDAY(Main[[#This Row],[Tech Start Date]],6),IF(Main[[#This Row],[Class]]="A",WORKDAY(Main[[#This Row],[Tech Start Date]],2),""))))</f>
        <v/>
      </c>
      <c r="N609" s="77" t="str">
        <f>IF(Main[[#This Row],[Tech Start Date]]&lt;1/1/1990,"",IF(Main[[#This Row],[Class]]="C",WORKDAY(Main[[#This Row],[Tech Start Date]],19),IF(Main[[#This Row],[Class]]="B", WORKDAY(Main[[#This Row],[Tech Start Date]],12),IF(Main[[#This Row],[Class]]="A",WORKDAY(Main[[#This Row],[Tech Start Date]],4),""))))</f>
        <v/>
      </c>
      <c r="O609" s="77" t="str">
        <f>IF(Main[[#This Row],[Tech Start Date]]&lt;1/1/1990,"",IF(Main[[#This Row],[Class]]="C",WORKDAY(Main[[#This Row],[Tech Start Date]],23),IF(Main[[#This Row],[Class]]="B", WORKDAY(Main[[#This Row],[Tech Start Date]],15),IF(Main[[#This Row],[Class]]="A",WORKDAY(Main[[#This Row],[Tech Start Date]],5),""))))</f>
        <v/>
      </c>
      <c r="P609" s="77" t="str">
        <f>IF(Main[[#This Row],[Tech Start Date]]&lt;1/1/1990,"",IF(Main[[#This Row],[Class]]="C",WORKDAY(Main[[#This Row],[Tech Start Date]],28),IF(Main[[#This Row],[Class]]="B", WORKDAY(Main[[#This Row],[Tech Start Date]],19),IF(Main[[#This Row],[Class]]="A",WORKDAY(Main[[#This Row],[Tech Start Date]],9),""))))</f>
        <v/>
      </c>
      <c r="Q609" s="74"/>
      <c r="R609" s="74"/>
      <c r="S609" s="72" t="s">
        <v>17</v>
      </c>
      <c r="T609" s="80" t="s">
        <v>4</v>
      </c>
      <c r="U609" s="72" t="s">
        <v>14</v>
      </c>
      <c r="V609" s="72" t="s">
        <v>1918</v>
      </c>
      <c r="W609" s="72" t="s">
        <v>1919</v>
      </c>
      <c r="X609" s="72" t="s">
        <v>2896</v>
      </c>
      <c r="Y609" s="72" t="s">
        <v>3053</v>
      </c>
      <c r="Z609" s="72" t="s">
        <v>4</v>
      </c>
      <c r="AA609" s="146" t="s">
        <v>2896</v>
      </c>
    </row>
    <row r="610" spans="1:27" ht="18.600000000000001" customHeight="1">
      <c r="A610" s="139" t="str">
        <f>IF(priority(Main[[#This Row],[Comments]])&lt;&gt;0, priority(Main[[#This Row],[Comments]]),"")</f>
        <v/>
      </c>
      <c r="B610" s="89" t="s">
        <v>1441</v>
      </c>
      <c r="C610" s="72" t="s">
        <v>113</v>
      </c>
      <c r="D610" s="73" t="s">
        <v>522</v>
      </c>
      <c r="E610" s="74"/>
      <c r="F610" s="74"/>
      <c r="G610" s="75" t="str">
        <f>IF(stdProdLT(Main[[#This Row],[Comments]])=0.1,"N/A",IF(stdProdLT(Main[[#This Row],[Comments]])=0,"",stdProdLT(Main[[#This Row],[Comments]])))</f>
        <v/>
      </c>
      <c r="H610" s="76" t="str">
        <f>IF(AND(Main[[#This Row],[In Stock Date]]&lt;&gt;"",Main[[#This Row],[Revised Due Date]]&lt;&gt;""),Main[[#This Row],[In Stock Date]]-Main[[#This Row],[Revised Due Date]],"")</f>
        <v/>
      </c>
      <c r="I610" s="72" t="s">
        <v>4</v>
      </c>
      <c r="J610" s="72" t="s">
        <v>4</v>
      </c>
      <c r="K610" s="72" t="s">
        <v>4</v>
      </c>
      <c r="L610" s="74"/>
      <c r="M610" s="77" t="str">
        <f>IF(Main[[#This Row],[Tech Start Date]]&lt;1/1/1990,"",IF(Main[[#This Row],[Class]]="C",WORKDAY(Main[[#This Row],[Tech Start Date]],9),IF(Main[[#This Row],[Class]]="B", WORKDAY(Main[[#This Row],[Tech Start Date]],6),IF(Main[[#This Row],[Class]]="A",WORKDAY(Main[[#This Row],[Tech Start Date]],2),""))))</f>
        <v/>
      </c>
      <c r="N610" s="77" t="str">
        <f>IF(Main[[#This Row],[Tech Start Date]]&lt;1/1/1990,"",IF(Main[[#This Row],[Class]]="C",WORKDAY(Main[[#This Row],[Tech Start Date]],19),IF(Main[[#This Row],[Class]]="B", WORKDAY(Main[[#This Row],[Tech Start Date]],12),IF(Main[[#This Row],[Class]]="A",WORKDAY(Main[[#This Row],[Tech Start Date]],4),""))))</f>
        <v/>
      </c>
      <c r="O610" s="77" t="str">
        <f>IF(Main[[#This Row],[Tech Start Date]]&lt;1/1/1990,"",IF(Main[[#This Row],[Class]]="C",WORKDAY(Main[[#This Row],[Tech Start Date]],23),IF(Main[[#This Row],[Class]]="B", WORKDAY(Main[[#This Row],[Tech Start Date]],15),IF(Main[[#This Row],[Class]]="A",WORKDAY(Main[[#This Row],[Tech Start Date]],5),""))))</f>
        <v/>
      </c>
      <c r="P610" s="77" t="str">
        <f>IF(Main[[#This Row],[Tech Start Date]]&lt;1/1/1990,"",IF(Main[[#This Row],[Class]]="C",WORKDAY(Main[[#This Row],[Tech Start Date]],28),IF(Main[[#This Row],[Class]]="B", WORKDAY(Main[[#This Row],[Tech Start Date]],19),IF(Main[[#This Row],[Class]]="A",WORKDAY(Main[[#This Row],[Tech Start Date]],9),""))))</f>
        <v/>
      </c>
      <c r="Q610" s="74">
        <v>40505</v>
      </c>
      <c r="R610" s="154"/>
      <c r="S610" s="72" t="s">
        <v>49</v>
      </c>
      <c r="T610" s="80" t="s">
        <v>4</v>
      </c>
      <c r="U610" s="72" t="s">
        <v>12</v>
      </c>
      <c r="V610" s="72" t="s">
        <v>1918</v>
      </c>
      <c r="W610" s="72" t="s">
        <v>1922</v>
      </c>
      <c r="X610" s="72" t="s">
        <v>2897</v>
      </c>
      <c r="Y610" s="72" t="s">
        <v>2987</v>
      </c>
      <c r="Z610" s="72" t="s">
        <v>4</v>
      </c>
      <c r="AA610" s="146" t="s">
        <v>2845</v>
      </c>
    </row>
    <row r="611" spans="1:27" ht="18.600000000000001" customHeight="1">
      <c r="A611" s="139" t="str">
        <f>IF(priority(Main[[#This Row],[Comments]])&lt;&gt;0, priority(Main[[#This Row],[Comments]]),"")</f>
        <v/>
      </c>
      <c r="B611" s="89" t="s">
        <v>2264</v>
      </c>
      <c r="C611" s="72" t="s">
        <v>4</v>
      </c>
      <c r="D611" s="73" t="s">
        <v>2298</v>
      </c>
      <c r="E611" s="74">
        <v>40806.662407407406</v>
      </c>
      <c r="F611" s="74"/>
      <c r="G611" s="75" t="str">
        <f>IF(stdProdLT(Main[[#This Row],[Comments]])=0.1,"N/A",IF(stdProdLT(Main[[#This Row],[Comments]])=0,"",stdProdLT(Main[[#This Row],[Comments]])))</f>
        <v/>
      </c>
      <c r="H611" s="76" t="str">
        <f>IF(AND(Main[[#This Row],[In Stock Date]]&lt;&gt;"",Main[[#This Row],[Revised Due Date]]&lt;&gt;""),Main[[#This Row],[In Stock Date]]-Main[[#This Row],[Revised Due Date]],"")</f>
        <v/>
      </c>
      <c r="I611" s="72" t="s">
        <v>30</v>
      </c>
      <c r="J611" s="72" t="s">
        <v>21</v>
      </c>
      <c r="K611" s="72" t="s">
        <v>1926</v>
      </c>
      <c r="L611" s="74"/>
      <c r="M611" s="77" t="str">
        <f>IF(Main[[#This Row],[Tech Start Date]]&lt;1/1/1990,"",IF(Main[[#This Row],[Class]]="C",WORKDAY(Main[[#This Row],[Tech Start Date]],9),IF(Main[[#This Row],[Class]]="B", WORKDAY(Main[[#This Row],[Tech Start Date]],6),IF(Main[[#This Row],[Class]]="A",WORKDAY(Main[[#This Row],[Tech Start Date]],2),""))))</f>
        <v/>
      </c>
      <c r="N611" s="77" t="str">
        <f>IF(Main[[#This Row],[Tech Start Date]]&lt;1/1/1990,"",IF(Main[[#This Row],[Class]]="C",WORKDAY(Main[[#This Row],[Tech Start Date]],19),IF(Main[[#This Row],[Class]]="B", WORKDAY(Main[[#This Row],[Tech Start Date]],12),IF(Main[[#This Row],[Class]]="A",WORKDAY(Main[[#This Row],[Tech Start Date]],4),""))))</f>
        <v/>
      </c>
      <c r="O611" s="77" t="str">
        <f>IF(Main[[#This Row],[Tech Start Date]]&lt;1/1/1990,"",IF(Main[[#This Row],[Class]]="C",WORKDAY(Main[[#This Row],[Tech Start Date]],23),IF(Main[[#This Row],[Class]]="B", WORKDAY(Main[[#This Row],[Tech Start Date]],15),IF(Main[[#This Row],[Class]]="A",WORKDAY(Main[[#This Row],[Tech Start Date]],5),""))))</f>
        <v/>
      </c>
      <c r="P611" s="77" t="str">
        <f>IF(Main[[#This Row],[Tech Start Date]]&lt;1/1/1990,"",IF(Main[[#This Row],[Class]]="C",WORKDAY(Main[[#This Row],[Tech Start Date]],28),IF(Main[[#This Row],[Class]]="B", WORKDAY(Main[[#This Row],[Tech Start Date]],19),IF(Main[[#This Row],[Class]]="A",WORKDAY(Main[[#This Row],[Tech Start Date]],9),""))))</f>
        <v/>
      </c>
      <c r="Q611" s="74"/>
      <c r="R611" s="74"/>
      <c r="S611" s="72" t="s">
        <v>6</v>
      </c>
      <c r="T611" s="80" t="s">
        <v>4</v>
      </c>
      <c r="U611" s="72" t="s">
        <v>29</v>
      </c>
      <c r="V611" s="72" t="s">
        <v>1920</v>
      </c>
      <c r="W611" s="72" t="s">
        <v>1921</v>
      </c>
      <c r="X611" s="72" t="s">
        <v>306</v>
      </c>
      <c r="Y611" s="72" t="s">
        <v>4</v>
      </c>
      <c r="Z611" s="72" t="s">
        <v>30</v>
      </c>
      <c r="AA611" s="146" t="s">
        <v>3398</v>
      </c>
    </row>
    <row r="612" spans="1:27" ht="18.600000000000001" customHeight="1">
      <c r="A612" s="139" t="str">
        <f>IF(priority(Main[[#This Row],[Comments]])&lt;&gt;0, priority(Main[[#This Row],[Comments]]),"")</f>
        <v/>
      </c>
      <c r="B612" s="89" t="s">
        <v>2546</v>
      </c>
      <c r="C612" s="72" t="s">
        <v>2359</v>
      </c>
      <c r="D612" s="73" t="s">
        <v>2360</v>
      </c>
      <c r="E612" s="74"/>
      <c r="F612" s="74">
        <v>41008</v>
      </c>
      <c r="G612" s="75" t="str">
        <f>IF(stdProdLT(Main[[#This Row],[Comments]])=0.1,"N/A",IF(stdProdLT(Main[[#This Row],[Comments]])=0,"",stdProdLT(Main[[#This Row],[Comments]])))</f>
        <v/>
      </c>
      <c r="H612" s="76" t="str">
        <f>IF(AND(Main[[#This Row],[In Stock Date]]&lt;&gt;"",Main[[#This Row],[Revised Due Date]]&lt;&gt;""),Main[[#This Row],[In Stock Date]]-Main[[#This Row],[Revised Due Date]],"")</f>
        <v/>
      </c>
      <c r="I612" s="72" t="s">
        <v>4</v>
      </c>
      <c r="J612" s="72" t="s">
        <v>4</v>
      </c>
      <c r="K612" s="72" t="s">
        <v>4</v>
      </c>
      <c r="L612" s="74"/>
      <c r="M612" s="77" t="str">
        <f>IF(Main[[#This Row],[Tech Start Date]]&lt;1/1/1990,"",IF(Main[[#This Row],[Class]]="C",WORKDAY(Main[[#This Row],[Tech Start Date]],9),IF(Main[[#This Row],[Class]]="B", WORKDAY(Main[[#This Row],[Tech Start Date]],6),IF(Main[[#This Row],[Class]]="A",WORKDAY(Main[[#This Row],[Tech Start Date]],2),""))))</f>
        <v/>
      </c>
      <c r="N612" s="77" t="str">
        <f>IF(Main[[#This Row],[Tech Start Date]]&lt;1/1/1990,"",IF(Main[[#This Row],[Class]]="C",WORKDAY(Main[[#This Row],[Tech Start Date]],19),IF(Main[[#This Row],[Class]]="B", WORKDAY(Main[[#This Row],[Tech Start Date]],12),IF(Main[[#This Row],[Class]]="A",WORKDAY(Main[[#This Row],[Tech Start Date]],4),""))))</f>
        <v/>
      </c>
      <c r="O612" s="77" t="str">
        <f>IF(Main[[#This Row],[Tech Start Date]]&lt;1/1/1990,"",IF(Main[[#This Row],[Class]]="C",WORKDAY(Main[[#This Row],[Tech Start Date]],23),IF(Main[[#This Row],[Class]]="B", WORKDAY(Main[[#This Row],[Tech Start Date]],15),IF(Main[[#This Row],[Class]]="A",WORKDAY(Main[[#This Row],[Tech Start Date]],5),""))))</f>
        <v/>
      </c>
      <c r="P612" s="77" t="str">
        <f>IF(Main[[#This Row],[Tech Start Date]]&lt;1/1/1990,"",IF(Main[[#This Row],[Class]]="C",WORKDAY(Main[[#This Row],[Tech Start Date]],28),IF(Main[[#This Row],[Class]]="B", WORKDAY(Main[[#This Row],[Tech Start Date]],19),IF(Main[[#This Row],[Class]]="A",WORKDAY(Main[[#This Row],[Tech Start Date]],9),""))))</f>
        <v/>
      </c>
      <c r="Q612" s="74">
        <v>40826</v>
      </c>
      <c r="R612" s="74"/>
      <c r="S612" s="72" t="s">
        <v>11</v>
      </c>
      <c r="T612" s="80" t="s">
        <v>4</v>
      </c>
      <c r="U612" s="72" t="s">
        <v>12</v>
      </c>
      <c r="V612" s="72" t="s">
        <v>1920</v>
      </c>
      <c r="W612" s="72" t="s">
        <v>1923</v>
      </c>
      <c r="X612" s="72" t="s">
        <v>2849</v>
      </c>
      <c r="Y612" s="72" t="s">
        <v>4</v>
      </c>
      <c r="Z612" s="72" t="s">
        <v>4</v>
      </c>
      <c r="AA612" s="146" t="s">
        <v>2849</v>
      </c>
    </row>
    <row r="613" spans="1:27" ht="18.600000000000001" customHeight="1">
      <c r="A613" s="139" t="str">
        <f>IF(priority(Main[[#This Row],[Comments]])&lt;&gt;0, priority(Main[[#This Row],[Comments]]),"")</f>
        <v/>
      </c>
      <c r="B613" s="89" t="s">
        <v>1458</v>
      </c>
      <c r="C613" s="72" t="s">
        <v>4</v>
      </c>
      <c r="D613" s="73" t="s">
        <v>523</v>
      </c>
      <c r="E613" s="74">
        <v>40371.58488425926</v>
      </c>
      <c r="F613" s="74"/>
      <c r="G613" s="75" t="str">
        <f>IF(stdProdLT(Main[[#This Row],[Comments]])=0.1,"N/A",IF(stdProdLT(Main[[#This Row],[Comments]])=0,"",stdProdLT(Main[[#This Row],[Comments]])))</f>
        <v/>
      </c>
      <c r="H613" s="76" t="str">
        <f>IF(AND(Main[[#This Row],[In Stock Date]]&lt;&gt;"",Main[[#This Row],[Revised Due Date]]&lt;&gt;""),Main[[#This Row],[In Stock Date]]-Main[[#This Row],[Revised Due Date]],"")</f>
        <v/>
      </c>
      <c r="I613" s="72" t="s">
        <v>4</v>
      </c>
      <c r="J613" s="72" t="s">
        <v>4</v>
      </c>
      <c r="K613" s="81" t="s">
        <v>4</v>
      </c>
      <c r="L613" s="74"/>
      <c r="M613" s="77" t="str">
        <f>IF(Main[[#This Row],[Tech Start Date]]&lt;1/1/1990,"",IF(Main[[#This Row],[Class]]="C",WORKDAY(Main[[#This Row],[Tech Start Date]],9),IF(Main[[#This Row],[Class]]="B", WORKDAY(Main[[#This Row],[Tech Start Date]],6),IF(Main[[#This Row],[Class]]="A",WORKDAY(Main[[#This Row],[Tech Start Date]],2),""))))</f>
        <v/>
      </c>
      <c r="N613" s="77" t="str">
        <f>IF(Main[[#This Row],[Tech Start Date]]&lt;1/1/1990,"",IF(Main[[#This Row],[Class]]="C",WORKDAY(Main[[#This Row],[Tech Start Date]],19),IF(Main[[#This Row],[Class]]="B", WORKDAY(Main[[#This Row],[Tech Start Date]],12),IF(Main[[#This Row],[Class]]="A",WORKDAY(Main[[#This Row],[Tech Start Date]],4),""))))</f>
        <v/>
      </c>
      <c r="O613" s="77" t="str">
        <f>IF(Main[[#This Row],[Tech Start Date]]&lt;1/1/1990,"",IF(Main[[#This Row],[Class]]="C",WORKDAY(Main[[#This Row],[Tech Start Date]],23),IF(Main[[#This Row],[Class]]="B", WORKDAY(Main[[#This Row],[Tech Start Date]],15),IF(Main[[#This Row],[Class]]="A",WORKDAY(Main[[#This Row],[Tech Start Date]],5),""))))</f>
        <v/>
      </c>
      <c r="P613" s="77" t="str">
        <f>IF(Main[[#This Row],[Tech Start Date]]&lt;1/1/1990,"",IF(Main[[#This Row],[Class]]="C",WORKDAY(Main[[#This Row],[Tech Start Date]],28),IF(Main[[#This Row],[Class]]="B", WORKDAY(Main[[#This Row],[Tech Start Date]],19),IF(Main[[#This Row],[Class]]="A",WORKDAY(Main[[#This Row],[Tech Start Date]],9),""))))</f>
        <v/>
      </c>
      <c r="Q613" s="74">
        <v>40385</v>
      </c>
      <c r="R613" s="74"/>
      <c r="S613" s="72" t="s">
        <v>6</v>
      </c>
      <c r="T613" s="80" t="s">
        <v>4</v>
      </c>
      <c r="U613" s="72" t="s">
        <v>7</v>
      </c>
      <c r="V613" s="72" t="s">
        <v>1917</v>
      </c>
      <c r="W613" s="72" t="s">
        <v>1922</v>
      </c>
      <c r="X613" s="72" t="s">
        <v>102</v>
      </c>
      <c r="Y613" s="72" t="s">
        <v>3054</v>
      </c>
      <c r="Z613" s="72" t="s">
        <v>4</v>
      </c>
      <c r="AA613" s="146" t="s">
        <v>3427</v>
      </c>
    </row>
    <row r="614" spans="1:27" ht="18.600000000000001" customHeight="1">
      <c r="A614" s="139" t="str">
        <f>IF(priority(Main[[#This Row],[Comments]])&lt;&gt;0, priority(Main[[#This Row],[Comments]]),"")</f>
        <v/>
      </c>
      <c r="B614" s="89" t="s">
        <v>1461</v>
      </c>
      <c r="C614" s="72" t="s">
        <v>525</v>
      </c>
      <c r="D614" s="73" t="s">
        <v>526</v>
      </c>
      <c r="E614" s="74"/>
      <c r="F614" s="74">
        <v>40276</v>
      </c>
      <c r="G614" s="75" t="str">
        <f>IF(stdProdLT(Main[[#This Row],[Comments]])=0.1,"N/A",IF(stdProdLT(Main[[#This Row],[Comments]])=0,"",stdProdLT(Main[[#This Row],[Comments]])))</f>
        <v/>
      </c>
      <c r="H614" s="76" t="str">
        <f>IF(AND(Main[[#This Row],[In Stock Date]]&lt;&gt;"",Main[[#This Row],[Revised Due Date]]&lt;&gt;""),Main[[#This Row],[In Stock Date]]-Main[[#This Row],[Revised Due Date]],"")</f>
        <v/>
      </c>
      <c r="I614" s="72" t="s">
        <v>4</v>
      </c>
      <c r="J614" s="72" t="s">
        <v>4</v>
      </c>
      <c r="K614" s="72" t="s">
        <v>4</v>
      </c>
      <c r="L614" s="74"/>
      <c r="M614" s="77" t="str">
        <f>IF(Main[[#This Row],[Tech Start Date]]&lt;1/1/1990,"",IF(Main[[#This Row],[Class]]="C",WORKDAY(Main[[#This Row],[Tech Start Date]],9),IF(Main[[#This Row],[Class]]="B", WORKDAY(Main[[#This Row],[Tech Start Date]],6),IF(Main[[#This Row],[Class]]="A",WORKDAY(Main[[#This Row],[Tech Start Date]],2),""))))</f>
        <v/>
      </c>
      <c r="N614" s="77" t="str">
        <f>IF(Main[[#This Row],[Tech Start Date]]&lt;1/1/1990,"",IF(Main[[#This Row],[Class]]="C",WORKDAY(Main[[#This Row],[Tech Start Date]],19),IF(Main[[#This Row],[Class]]="B", WORKDAY(Main[[#This Row],[Tech Start Date]],12),IF(Main[[#This Row],[Class]]="A",WORKDAY(Main[[#This Row],[Tech Start Date]],4),""))))</f>
        <v/>
      </c>
      <c r="O614" s="77" t="str">
        <f>IF(Main[[#This Row],[Tech Start Date]]&lt;1/1/1990,"",IF(Main[[#This Row],[Class]]="C",WORKDAY(Main[[#This Row],[Tech Start Date]],23),IF(Main[[#This Row],[Class]]="B", WORKDAY(Main[[#This Row],[Tech Start Date]],15),IF(Main[[#This Row],[Class]]="A",WORKDAY(Main[[#This Row],[Tech Start Date]],5),""))))</f>
        <v/>
      </c>
      <c r="P614" s="77" t="str">
        <f>IF(Main[[#This Row],[Tech Start Date]]&lt;1/1/1990,"",IF(Main[[#This Row],[Class]]="C",WORKDAY(Main[[#This Row],[Tech Start Date]],28),IF(Main[[#This Row],[Class]]="B", WORKDAY(Main[[#This Row],[Tech Start Date]],19),IF(Main[[#This Row],[Class]]="A",WORKDAY(Main[[#This Row],[Tech Start Date]],9),""))))</f>
        <v/>
      </c>
      <c r="Q614" s="74">
        <v>40164</v>
      </c>
      <c r="R614" s="74"/>
      <c r="S614" s="72" t="s">
        <v>11</v>
      </c>
      <c r="T614" s="80" t="s">
        <v>4</v>
      </c>
      <c r="U614" s="72" t="s">
        <v>14</v>
      </c>
      <c r="V614" s="72" t="s">
        <v>1920</v>
      </c>
      <c r="W614" s="72" t="s">
        <v>1923</v>
      </c>
      <c r="X614" s="72" t="s">
        <v>2898</v>
      </c>
      <c r="Y614" s="72" t="s">
        <v>4</v>
      </c>
      <c r="Z614" s="72" t="s">
        <v>4</v>
      </c>
      <c r="AA614" s="146" t="s">
        <v>2898</v>
      </c>
    </row>
    <row r="615" spans="1:27" ht="18.600000000000001" customHeight="1">
      <c r="A615" s="139" t="str">
        <f>IF(priority(Main[[#This Row],[Comments]])&lt;&gt;0, priority(Main[[#This Row],[Comments]]),"")</f>
        <v/>
      </c>
      <c r="B615" s="89" t="s">
        <v>1699</v>
      </c>
      <c r="C615" s="72" t="s">
        <v>4</v>
      </c>
      <c r="D615" s="73" t="s">
        <v>754</v>
      </c>
      <c r="E615" s="74">
        <v>40700.558032407411</v>
      </c>
      <c r="F615" s="74"/>
      <c r="G615" s="75" t="str">
        <f>IF(stdProdLT(Main[[#This Row],[Comments]])=0.1,"N/A",IF(stdProdLT(Main[[#This Row],[Comments]])=0,"",stdProdLT(Main[[#This Row],[Comments]])))</f>
        <v/>
      </c>
      <c r="H615" s="76" t="str">
        <f>IF(AND(Main[[#This Row],[In Stock Date]]&lt;&gt;"",Main[[#This Row],[Revised Due Date]]&lt;&gt;""),Main[[#This Row],[In Stock Date]]-Main[[#This Row],[Revised Due Date]],"")</f>
        <v/>
      </c>
      <c r="I615" s="72" t="s">
        <v>4</v>
      </c>
      <c r="J615" s="72" t="s">
        <v>4</v>
      </c>
      <c r="K615" s="72" t="s">
        <v>4</v>
      </c>
      <c r="L615" s="74"/>
      <c r="M615" s="77" t="str">
        <f>IF(Main[[#This Row],[Tech Start Date]]&lt;1/1/1990,"",IF(Main[[#This Row],[Class]]="C",WORKDAY(Main[[#This Row],[Tech Start Date]],9),IF(Main[[#This Row],[Class]]="B", WORKDAY(Main[[#This Row],[Tech Start Date]],6),IF(Main[[#This Row],[Class]]="A",WORKDAY(Main[[#This Row],[Tech Start Date]],2),""))))</f>
        <v/>
      </c>
      <c r="N615" s="77" t="str">
        <f>IF(Main[[#This Row],[Tech Start Date]]&lt;1/1/1990,"",IF(Main[[#This Row],[Class]]="C",WORKDAY(Main[[#This Row],[Tech Start Date]],19),IF(Main[[#This Row],[Class]]="B", WORKDAY(Main[[#This Row],[Tech Start Date]],12),IF(Main[[#This Row],[Class]]="A",WORKDAY(Main[[#This Row],[Tech Start Date]],4),""))))</f>
        <v/>
      </c>
      <c r="O615" s="77" t="str">
        <f>IF(Main[[#This Row],[Tech Start Date]]&lt;1/1/1990,"",IF(Main[[#This Row],[Class]]="C",WORKDAY(Main[[#This Row],[Tech Start Date]],23),IF(Main[[#This Row],[Class]]="B", WORKDAY(Main[[#This Row],[Tech Start Date]],15),IF(Main[[#This Row],[Class]]="A",WORKDAY(Main[[#This Row],[Tech Start Date]],5),""))))</f>
        <v/>
      </c>
      <c r="P615" s="77" t="str">
        <f>IF(Main[[#This Row],[Tech Start Date]]&lt;1/1/1990,"",IF(Main[[#This Row],[Class]]="C",WORKDAY(Main[[#This Row],[Tech Start Date]],28),IF(Main[[#This Row],[Class]]="B", WORKDAY(Main[[#This Row],[Tech Start Date]],19),IF(Main[[#This Row],[Class]]="A",WORKDAY(Main[[#This Row],[Tech Start Date]],9),""))))</f>
        <v/>
      </c>
      <c r="Q615" s="74">
        <v>40714</v>
      </c>
      <c r="R615" s="74"/>
      <c r="S615" s="72" t="s">
        <v>6</v>
      </c>
      <c r="T615" s="80" t="s">
        <v>4</v>
      </c>
      <c r="U615" s="72" t="s">
        <v>696</v>
      </c>
      <c r="V615" s="72" t="s">
        <v>1917</v>
      </c>
      <c r="W615" s="72" t="s">
        <v>4</v>
      </c>
      <c r="X615" s="72" t="s">
        <v>2842</v>
      </c>
      <c r="Y615" s="72" t="s">
        <v>2971</v>
      </c>
      <c r="Z615" s="72" t="s">
        <v>4</v>
      </c>
      <c r="AA615" s="146" t="s">
        <v>2842</v>
      </c>
    </row>
    <row r="616" spans="1:27" ht="18.600000000000001" customHeight="1">
      <c r="A616" s="139" t="str">
        <f>IF(priority(Main[[#This Row],[Comments]])&lt;&gt;0, priority(Main[[#This Row],[Comments]]),"")</f>
        <v/>
      </c>
      <c r="B616" s="89" t="s">
        <v>1463</v>
      </c>
      <c r="C616" s="72" t="s">
        <v>4</v>
      </c>
      <c r="D616" s="73" t="s">
        <v>527</v>
      </c>
      <c r="E616" s="74"/>
      <c r="F616" s="74">
        <v>40431</v>
      </c>
      <c r="G616" s="75" t="str">
        <f>IF(stdProdLT(Main[[#This Row],[Comments]])=0.1,"N/A",IF(stdProdLT(Main[[#This Row],[Comments]])=0,"",stdProdLT(Main[[#This Row],[Comments]])))</f>
        <v/>
      </c>
      <c r="H616" s="76" t="str">
        <f>IF(AND(Main[[#This Row],[In Stock Date]]&lt;&gt;"",Main[[#This Row],[Revised Due Date]]&lt;&gt;""),Main[[#This Row],[In Stock Date]]-Main[[#This Row],[Revised Due Date]],"")</f>
        <v/>
      </c>
      <c r="I616" s="72" t="s">
        <v>4</v>
      </c>
      <c r="J616" s="72" t="s">
        <v>28</v>
      </c>
      <c r="K616" s="72" t="s">
        <v>4</v>
      </c>
      <c r="L616" s="74"/>
      <c r="M616" s="77" t="str">
        <f>IF(Main[[#This Row],[Tech Start Date]]&lt;1/1/1990,"",IF(Main[[#This Row],[Class]]="C",WORKDAY(Main[[#This Row],[Tech Start Date]],9),IF(Main[[#This Row],[Class]]="B", WORKDAY(Main[[#This Row],[Tech Start Date]],6),IF(Main[[#This Row],[Class]]="A",WORKDAY(Main[[#This Row],[Tech Start Date]],2),""))))</f>
        <v/>
      </c>
      <c r="N616" s="77" t="str">
        <f>IF(Main[[#This Row],[Tech Start Date]]&lt;1/1/1990,"",IF(Main[[#This Row],[Class]]="C",WORKDAY(Main[[#This Row],[Tech Start Date]],19),IF(Main[[#This Row],[Class]]="B", WORKDAY(Main[[#This Row],[Tech Start Date]],12),IF(Main[[#This Row],[Class]]="A",WORKDAY(Main[[#This Row],[Tech Start Date]],4),""))))</f>
        <v/>
      </c>
      <c r="O616" s="77" t="str">
        <f>IF(Main[[#This Row],[Tech Start Date]]&lt;1/1/1990,"",IF(Main[[#This Row],[Class]]="C",WORKDAY(Main[[#This Row],[Tech Start Date]],23),IF(Main[[#This Row],[Class]]="B", WORKDAY(Main[[#This Row],[Tech Start Date]],15),IF(Main[[#This Row],[Class]]="A",WORKDAY(Main[[#This Row],[Tech Start Date]],5),""))))</f>
        <v/>
      </c>
      <c r="P616" s="77" t="str">
        <f>IF(Main[[#This Row],[Tech Start Date]]&lt;1/1/1990,"",IF(Main[[#This Row],[Class]]="C",WORKDAY(Main[[#This Row],[Tech Start Date]],28),IF(Main[[#This Row],[Class]]="B", WORKDAY(Main[[#This Row],[Tech Start Date]],19),IF(Main[[#This Row],[Class]]="A",WORKDAY(Main[[#This Row],[Tech Start Date]],9),""))))</f>
        <v/>
      </c>
      <c r="Q616" s="74">
        <v>40410</v>
      </c>
      <c r="R616" s="74"/>
      <c r="S616" s="72" t="s">
        <v>11</v>
      </c>
      <c r="T616" s="80" t="s">
        <v>4</v>
      </c>
      <c r="U616" s="72" t="s">
        <v>14</v>
      </c>
      <c r="V616" s="72" t="s">
        <v>1918</v>
      </c>
      <c r="W616" s="72" t="s">
        <v>1925</v>
      </c>
      <c r="X616" s="72" t="s">
        <v>2830</v>
      </c>
      <c r="Y616" s="72" t="s">
        <v>2949</v>
      </c>
      <c r="Z616" s="72" t="s">
        <v>108</v>
      </c>
      <c r="AA616" s="146" t="s">
        <v>2830</v>
      </c>
    </row>
    <row r="617" spans="1:27" ht="18.600000000000001" customHeight="1">
      <c r="A617" s="139" t="str">
        <f>IF(priority(Main[[#This Row],[Comments]])&lt;&gt;0, priority(Main[[#This Row],[Comments]]),"")</f>
        <v/>
      </c>
      <c r="B617" s="89" t="s">
        <v>1464</v>
      </c>
      <c r="C617" s="72" t="s">
        <v>4</v>
      </c>
      <c r="D617" s="73" t="s">
        <v>528</v>
      </c>
      <c r="E617" s="74"/>
      <c r="F617" s="74">
        <v>40786</v>
      </c>
      <c r="G617" s="75" t="str">
        <f>IF(stdProdLT(Main[[#This Row],[Comments]])=0.1,"N/A",IF(stdProdLT(Main[[#This Row],[Comments]])=0,"",stdProdLT(Main[[#This Row],[Comments]])))</f>
        <v/>
      </c>
      <c r="H617" s="76" t="str">
        <f>IF(AND(Main[[#This Row],[In Stock Date]]&lt;&gt;"",Main[[#This Row],[Revised Due Date]]&lt;&gt;""),Main[[#This Row],[In Stock Date]]-Main[[#This Row],[Revised Due Date]],"")</f>
        <v/>
      </c>
      <c r="I617" s="72" t="s">
        <v>4</v>
      </c>
      <c r="J617" s="72" t="s">
        <v>4</v>
      </c>
      <c r="K617" s="72" t="s">
        <v>4</v>
      </c>
      <c r="L617" s="74"/>
      <c r="M617" s="77" t="str">
        <f>IF(Main[[#This Row],[Tech Start Date]]&lt;1/1/1990,"",IF(Main[[#This Row],[Class]]="C",WORKDAY(Main[[#This Row],[Tech Start Date]],9),IF(Main[[#This Row],[Class]]="B", WORKDAY(Main[[#This Row],[Tech Start Date]],6),IF(Main[[#This Row],[Class]]="A",WORKDAY(Main[[#This Row],[Tech Start Date]],2),""))))</f>
        <v/>
      </c>
      <c r="N617" s="77" t="str">
        <f>IF(Main[[#This Row],[Tech Start Date]]&lt;1/1/1990,"",IF(Main[[#This Row],[Class]]="C",WORKDAY(Main[[#This Row],[Tech Start Date]],19),IF(Main[[#This Row],[Class]]="B", WORKDAY(Main[[#This Row],[Tech Start Date]],12),IF(Main[[#This Row],[Class]]="A",WORKDAY(Main[[#This Row],[Tech Start Date]],4),""))))</f>
        <v/>
      </c>
      <c r="O617" s="77" t="str">
        <f>IF(Main[[#This Row],[Tech Start Date]]&lt;1/1/1990,"",IF(Main[[#This Row],[Class]]="C",WORKDAY(Main[[#This Row],[Tech Start Date]],23),IF(Main[[#This Row],[Class]]="B", WORKDAY(Main[[#This Row],[Tech Start Date]],15),IF(Main[[#This Row],[Class]]="A",WORKDAY(Main[[#This Row],[Tech Start Date]],5),""))))</f>
        <v/>
      </c>
      <c r="P617" s="77" t="str">
        <f>IF(Main[[#This Row],[Tech Start Date]]&lt;1/1/1990,"",IF(Main[[#This Row],[Class]]="C",WORKDAY(Main[[#This Row],[Tech Start Date]],28),IF(Main[[#This Row],[Class]]="B", WORKDAY(Main[[#This Row],[Tech Start Date]],19),IF(Main[[#This Row],[Class]]="A",WORKDAY(Main[[#This Row],[Tech Start Date]],9),""))))</f>
        <v/>
      </c>
      <c r="Q617" s="74">
        <v>40749</v>
      </c>
      <c r="R617" s="74"/>
      <c r="S617" s="72" t="s">
        <v>11</v>
      </c>
      <c r="T617" s="80" t="s">
        <v>4</v>
      </c>
      <c r="U617" s="72" t="s">
        <v>14</v>
      </c>
      <c r="V617" s="72" t="s">
        <v>1920</v>
      </c>
      <c r="W617" s="72" t="s">
        <v>1925</v>
      </c>
      <c r="X617" s="72" t="s">
        <v>554</v>
      </c>
      <c r="Y617" s="72" t="s">
        <v>3056</v>
      </c>
      <c r="Z617" s="72" t="s">
        <v>4</v>
      </c>
      <c r="AA617" s="146" t="s">
        <v>2866</v>
      </c>
    </row>
    <row r="618" spans="1:27" ht="18.600000000000001" customHeight="1">
      <c r="A618" s="139" t="str">
        <f>IF(priority(Main[[#This Row],[Comments]])&lt;&gt;0, priority(Main[[#This Row],[Comments]]),"")</f>
        <v/>
      </c>
      <c r="B618" s="89" t="s">
        <v>1442</v>
      </c>
      <c r="C618" s="72" t="s">
        <v>95</v>
      </c>
      <c r="D618" s="73" t="s">
        <v>529</v>
      </c>
      <c r="E618" s="74"/>
      <c r="F618" s="74"/>
      <c r="G618" s="75" t="str">
        <f>IF(stdProdLT(Main[[#This Row],[Comments]])=0.1,"N/A",IF(stdProdLT(Main[[#This Row],[Comments]])=0,"",stdProdLT(Main[[#This Row],[Comments]])))</f>
        <v/>
      </c>
      <c r="H618" s="76" t="str">
        <f>IF(AND(Main[[#This Row],[In Stock Date]]&lt;&gt;"",Main[[#This Row],[Revised Due Date]]&lt;&gt;""),Main[[#This Row],[In Stock Date]]-Main[[#This Row],[Revised Due Date]],"")</f>
        <v/>
      </c>
      <c r="I618" s="72" t="s">
        <v>530</v>
      </c>
      <c r="J618" s="72" t="s">
        <v>4</v>
      </c>
      <c r="K618" s="72" t="s">
        <v>4</v>
      </c>
      <c r="L618" s="74"/>
      <c r="M618" s="77" t="str">
        <f>IF(Main[[#This Row],[Tech Start Date]]&lt;1/1/1990,"",IF(Main[[#This Row],[Class]]="C",WORKDAY(Main[[#This Row],[Tech Start Date]],9),IF(Main[[#This Row],[Class]]="B", WORKDAY(Main[[#This Row],[Tech Start Date]],6),IF(Main[[#This Row],[Class]]="A",WORKDAY(Main[[#This Row],[Tech Start Date]],2),""))))</f>
        <v/>
      </c>
      <c r="N618" s="77" t="str">
        <f>IF(Main[[#This Row],[Tech Start Date]]&lt;1/1/1990,"",IF(Main[[#This Row],[Class]]="C",WORKDAY(Main[[#This Row],[Tech Start Date]],19),IF(Main[[#This Row],[Class]]="B", WORKDAY(Main[[#This Row],[Tech Start Date]],12),IF(Main[[#This Row],[Class]]="A",WORKDAY(Main[[#This Row],[Tech Start Date]],4),""))))</f>
        <v/>
      </c>
      <c r="O618" s="77" t="str">
        <f>IF(Main[[#This Row],[Tech Start Date]]&lt;1/1/1990,"",IF(Main[[#This Row],[Class]]="C",WORKDAY(Main[[#This Row],[Tech Start Date]],23),IF(Main[[#This Row],[Class]]="B", WORKDAY(Main[[#This Row],[Tech Start Date]],15),IF(Main[[#This Row],[Class]]="A",WORKDAY(Main[[#This Row],[Tech Start Date]],5),""))))</f>
        <v/>
      </c>
      <c r="P618" s="77" t="str">
        <f>IF(Main[[#This Row],[Tech Start Date]]&lt;1/1/1990,"",IF(Main[[#This Row],[Class]]="C",WORKDAY(Main[[#This Row],[Tech Start Date]],28),IF(Main[[#This Row],[Class]]="B", WORKDAY(Main[[#This Row],[Tech Start Date]],19),IF(Main[[#This Row],[Class]]="A",WORKDAY(Main[[#This Row],[Tech Start Date]],9),""))))</f>
        <v/>
      </c>
      <c r="Q618" s="74">
        <v>40352</v>
      </c>
      <c r="R618" s="74"/>
      <c r="S618" s="72" t="s">
        <v>11</v>
      </c>
      <c r="T618" s="80" t="s">
        <v>4</v>
      </c>
      <c r="U618" s="72" t="s">
        <v>14</v>
      </c>
      <c r="V618" s="72" t="s">
        <v>1920</v>
      </c>
      <c r="W618" s="72" t="s">
        <v>1919</v>
      </c>
      <c r="X618" s="72" t="s">
        <v>2843</v>
      </c>
      <c r="Y618" s="72" t="s">
        <v>3057</v>
      </c>
      <c r="Z618" s="72" t="s">
        <v>4</v>
      </c>
      <c r="AA618" s="146" t="s">
        <v>3418</v>
      </c>
    </row>
    <row r="619" spans="1:27" ht="18.600000000000001" customHeight="1">
      <c r="A619" s="139" t="str">
        <f>IF(priority(Main[[#This Row],[Comments]])&lt;&gt;0, priority(Main[[#This Row],[Comments]]),"")</f>
        <v/>
      </c>
      <c r="B619" s="89" t="s">
        <v>1444</v>
      </c>
      <c r="C619" s="72" t="s">
        <v>169</v>
      </c>
      <c r="D619" s="73" t="s">
        <v>532</v>
      </c>
      <c r="E619" s="74"/>
      <c r="F619" s="74">
        <v>40237</v>
      </c>
      <c r="G619" s="75" t="str">
        <f>IF(stdProdLT(Main[[#This Row],[Comments]])=0.1,"N/A",IF(stdProdLT(Main[[#This Row],[Comments]])=0,"",stdProdLT(Main[[#This Row],[Comments]])))</f>
        <v/>
      </c>
      <c r="H619" s="76" t="str">
        <f>IF(AND(Main[[#This Row],[In Stock Date]]&lt;&gt;"",Main[[#This Row],[Revised Due Date]]&lt;&gt;""),Main[[#This Row],[In Stock Date]]-Main[[#This Row],[Revised Due Date]],"")</f>
        <v/>
      </c>
      <c r="I619" s="72" t="s">
        <v>4</v>
      </c>
      <c r="J619" s="72" t="s">
        <v>4</v>
      </c>
      <c r="K619" s="72" t="s">
        <v>4</v>
      </c>
      <c r="L619" s="74"/>
      <c r="M619" s="77" t="str">
        <f>IF(Main[[#This Row],[Tech Start Date]]&lt;1/1/1990,"",IF(Main[[#This Row],[Class]]="C",WORKDAY(Main[[#This Row],[Tech Start Date]],9),IF(Main[[#This Row],[Class]]="B", WORKDAY(Main[[#This Row],[Tech Start Date]],6),IF(Main[[#This Row],[Class]]="A",WORKDAY(Main[[#This Row],[Tech Start Date]],2),""))))</f>
        <v/>
      </c>
      <c r="N619" s="77" t="str">
        <f>IF(Main[[#This Row],[Tech Start Date]]&lt;1/1/1990,"",IF(Main[[#This Row],[Class]]="C",WORKDAY(Main[[#This Row],[Tech Start Date]],19),IF(Main[[#This Row],[Class]]="B", WORKDAY(Main[[#This Row],[Tech Start Date]],12),IF(Main[[#This Row],[Class]]="A",WORKDAY(Main[[#This Row],[Tech Start Date]],4),""))))</f>
        <v/>
      </c>
      <c r="O619" s="77" t="str">
        <f>IF(Main[[#This Row],[Tech Start Date]]&lt;1/1/1990,"",IF(Main[[#This Row],[Class]]="C",WORKDAY(Main[[#This Row],[Tech Start Date]],23),IF(Main[[#This Row],[Class]]="B", WORKDAY(Main[[#This Row],[Tech Start Date]],15),IF(Main[[#This Row],[Class]]="A",WORKDAY(Main[[#This Row],[Tech Start Date]],5),""))))</f>
        <v/>
      </c>
      <c r="P619" s="77" t="str">
        <f>IF(Main[[#This Row],[Tech Start Date]]&lt;1/1/1990,"",IF(Main[[#This Row],[Class]]="C",WORKDAY(Main[[#This Row],[Tech Start Date]],28),IF(Main[[#This Row],[Class]]="B", WORKDAY(Main[[#This Row],[Tech Start Date]],19),IF(Main[[#This Row],[Class]]="A",WORKDAY(Main[[#This Row],[Tech Start Date]],9),""))))</f>
        <v/>
      </c>
      <c r="Q619" s="74">
        <v>40132</v>
      </c>
      <c r="R619" s="74"/>
      <c r="S619" s="72" t="s">
        <v>11</v>
      </c>
      <c r="T619" s="80" t="s">
        <v>4</v>
      </c>
      <c r="U619" s="72" t="s">
        <v>14</v>
      </c>
      <c r="V619" s="72" t="s">
        <v>1917</v>
      </c>
      <c r="W619" s="72" t="s">
        <v>1922</v>
      </c>
      <c r="X619" s="72" t="s">
        <v>2864</v>
      </c>
      <c r="Y619" s="72" t="s">
        <v>4</v>
      </c>
      <c r="Z619" s="72" t="s">
        <v>4</v>
      </c>
      <c r="AA619" s="146" t="s">
        <v>2864</v>
      </c>
    </row>
    <row r="620" spans="1:27" ht="18.600000000000001" customHeight="1">
      <c r="A620" s="139" t="str">
        <f>IF(priority(Main[[#This Row],[Comments]])&lt;&gt;0, priority(Main[[#This Row],[Comments]]),"")</f>
        <v/>
      </c>
      <c r="B620" s="89" t="s">
        <v>3272</v>
      </c>
      <c r="C620" s="72" t="s">
        <v>3273</v>
      </c>
      <c r="D620" s="73" t="s">
        <v>3372</v>
      </c>
      <c r="E620" s="74"/>
      <c r="F620" s="74">
        <v>41090</v>
      </c>
      <c r="G620" s="75" t="str">
        <f>IF(stdProdLT(Main[[#This Row],[Comments]])=0.1,"N/A",IF(stdProdLT(Main[[#This Row],[Comments]])=0,"",stdProdLT(Main[[#This Row],[Comments]])))</f>
        <v/>
      </c>
      <c r="H620" s="76" t="str">
        <f>IF(AND(Main[[#This Row],[In Stock Date]]&lt;&gt;"",Main[[#This Row],[Revised Due Date]]&lt;&gt;""),Main[[#This Row],[In Stock Date]]-Main[[#This Row],[Revised Due Date]],"")</f>
        <v/>
      </c>
      <c r="I620" s="72" t="s">
        <v>4</v>
      </c>
      <c r="J620" s="72" t="s">
        <v>4</v>
      </c>
      <c r="K620" s="72" t="s">
        <v>4</v>
      </c>
      <c r="L620" s="74"/>
      <c r="M620" s="77" t="str">
        <f>IF(Main[[#This Row],[Tech Start Date]]&lt;1/1/1990,"",IF(Main[[#This Row],[Class]]="C",WORKDAY(Main[[#This Row],[Tech Start Date]],9),IF(Main[[#This Row],[Class]]="B", WORKDAY(Main[[#This Row],[Tech Start Date]],6),IF(Main[[#This Row],[Class]]="A",WORKDAY(Main[[#This Row],[Tech Start Date]],2),""))))</f>
        <v/>
      </c>
      <c r="N620" s="77" t="str">
        <f>IF(Main[[#This Row],[Tech Start Date]]&lt;1/1/1990,"",IF(Main[[#This Row],[Class]]="C",WORKDAY(Main[[#This Row],[Tech Start Date]],19),IF(Main[[#This Row],[Class]]="B", WORKDAY(Main[[#This Row],[Tech Start Date]],12),IF(Main[[#This Row],[Class]]="A",WORKDAY(Main[[#This Row],[Tech Start Date]],4),""))))</f>
        <v/>
      </c>
      <c r="O620" s="77" t="str">
        <f>IF(Main[[#This Row],[Tech Start Date]]&lt;1/1/1990,"",IF(Main[[#This Row],[Class]]="C",WORKDAY(Main[[#This Row],[Tech Start Date]],23),IF(Main[[#This Row],[Class]]="B", WORKDAY(Main[[#This Row],[Tech Start Date]],15),IF(Main[[#This Row],[Class]]="A",WORKDAY(Main[[#This Row],[Tech Start Date]],5),""))))</f>
        <v/>
      </c>
      <c r="P620" s="77" t="str">
        <f>IF(Main[[#This Row],[Tech Start Date]]&lt;1/1/1990,"",IF(Main[[#This Row],[Class]]="C",WORKDAY(Main[[#This Row],[Tech Start Date]],28),IF(Main[[#This Row],[Class]]="B", WORKDAY(Main[[#This Row],[Tech Start Date]],19),IF(Main[[#This Row],[Class]]="A",WORKDAY(Main[[#This Row],[Tech Start Date]],9),""))))</f>
        <v/>
      </c>
      <c r="Q620" s="74"/>
      <c r="R620" s="74"/>
      <c r="S620" s="72" t="s">
        <v>11</v>
      </c>
      <c r="T620" s="80" t="s">
        <v>3274</v>
      </c>
      <c r="U620" s="72" t="s">
        <v>14</v>
      </c>
      <c r="V620" s="72" t="s">
        <v>1918</v>
      </c>
      <c r="W620" s="72" t="s">
        <v>1925</v>
      </c>
      <c r="X620" s="72" t="s">
        <v>2858</v>
      </c>
      <c r="Y620" s="72" t="s">
        <v>2996</v>
      </c>
      <c r="Z620" s="72" t="s">
        <v>4</v>
      </c>
      <c r="AA620" s="146" t="s">
        <v>2858</v>
      </c>
    </row>
    <row r="621" spans="1:27" ht="18.600000000000001" customHeight="1">
      <c r="A621" s="139" t="str">
        <f>IF(priority(Main[[#This Row],[Comments]])&lt;&gt;0, priority(Main[[#This Row],[Comments]]),"")</f>
        <v/>
      </c>
      <c r="B621" s="89" t="s">
        <v>1445</v>
      </c>
      <c r="C621" s="72" t="s">
        <v>4</v>
      </c>
      <c r="D621" s="73" t="s">
        <v>533</v>
      </c>
      <c r="E621" s="74">
        <v>40108.684525462966</v>
      </c>
      <c r="F621" s="74"/>
      <c r="G621" s="75" t="str">
        <f>IF(stdProdLT(Main[[#This Row],[Comments]])=0.1,"N/A",IF(stdProdLT(Main[[#This Row],[Comments]])=0,"",stdProdLT(Main[[#This Row],[Comments]])))</f>
        <v/>
      </c>
      <c r="H621" s="76" t="str">
        <f>IF(AND(Main[[#This Row],[In Stock Date]]&lt;&gt;"",Main[[#This Row],[Revised Due Date]]&lt;&gt;""),Main[[#This Row],[In Stock Date]]-Main[[#This Row],[Revised Due Date]],"")</f>
        <v/>
      </c>
      <c r="I621" s="72" t="s">
        <v>4</v>
      </c>
      <c r="J621" s="72" t="s">
        <v>4</v>
      </c>
      <c r="K621" s="72" t="s">
        <v>4</v>
      </c>
      <c r="L621" s="74"/>
      <c r="M621" s="77" t="str">
        <f>IF(Main[[#This Row],[Tech Start Date]]&lt;1/1/1990,"",IF(Main[[#This Row],[Class]]="C",WORKDAY(Main[[#This Row],[Tech Start Date]],9),IF(Main[[#This Row],[Class]]="B", WORKDAY(Main[[#This Row],[Tech Start Date]],6),IF(Main[[#This Row],[Class]]="A",WORKDAY(Main[[#This Row],[Tech Start Date]],2),""))))</f>
        <v/>
      </c>
      <c r="N621" s="77" t="str">
        <f>IF(Main[[#This Row],[Tech Start Date]]&lt;1/1/1990,"",IF(Main[[#This Row],[Class]]="C",WORKDAY(Main[[#This Row],[Tech Start Date]],19),IF(Main[[#This Row],[Class]]="B", WORKDAY(Main[[#This Row],[Tech Start Date]],12),IF(Main[[#This Row],[Class]]="A",WORKDAY(Main[[#This Row],[Tech Start Date]],4),""))))</f>
        <v/>
      </c>
      <c r="O621" s="77" t="str">
        <f>IF(Main[[#This Row],[Tech Start Date]]&lt;1/1/1990,"",IF(Main[[#This Row],[Class]]="C",WORKDAY(Main[[#This Row],[Tech Start Date]],23),IF(Main[[#This Row],[Class]]="B", WORKDAY(Main[[#This Row],[Tech Start Date]],15),IF(Main[[#This Row],[Class]]="A",WORKDAY(Main[[#This Row],[Tech Start Date]],5),""))))</f>
        <v/>
      </c>
      <c r="P621" s="77" t="str">
        <f>IF(Main[[#This Row],[Tech Start Date]]&lt;1/1/1990,"",IF(Main[[#This Row],[Class]]="C",WORKDAY(Main[[#This Row],[Tech Start Date]],28),IF(Main[[#This Row],[Class]]="B", WORKDAY(Main[[#This Row],[Tech Start Date]],19),IF(Main[[#This Row],[Class]]="A",WORKDAY(Main[[#This Row],[Tech Start Date]],9),""))))</f>
        <v/>
      </c>
      <c r="Q621" s="74">
        <v>40208</v>
      </c>
      <c r="R621" s="74"/>
      <c r="S621" s="72" t="s">
        <v>17</v>
      </c>
      <c r="T621" s="80" t="s">
        <v>4</v>
      </c>
      <c r="U621" s="72" t="s">
        <v>534</v>
      </c>
      <c r="V621" s="72" t="s">
        <v>1918</v>
      </c>
      <c r="W621" s="72" t="s">
        <v>4</v>
      </c>
      <c r="X621" s="72" t="s">
        <v>2868</v>
      </c>
      <c r="Y621" s="72" t="s">
        <v>3012</v>
      </c>
      <c r="Z621" s="72" t="s">
        <v>4</v>
      </c>
      <c r="AA621" s="146" t="s">
        <v>2868</v>
      </c>
    </row>
    <row r="622" spans="1:27" ht="18.600000000000001" customHeight="1">
      <c r="A622" s="139" t="str">
        <f>IF(priority(Main[[#This Row],[Comments]])&lt;&gt;0, priority(Main[[#This Row],[Comments]]),"")</f>
        <v/>
      </c>
      <c r="B622" s="89" t="s">
        <v>1446</v>
      </c>
      <c r="C622" s="72" t="s">
        <v>79</v>
      </c>
      <c r="D622" s="73" t="s">
        <v>535</v>
      </c>
      <c r="E622" s="74"/>
      <c r="F622" s="74"/>
      <c r="G622" s="75" t="str">
        <f>IF(stdProdLT(Main[[#This Row],[Comments]])=0.1,"N/A",IF(stdProdLT(Main[[#This Row],[Comments]])=0,"",stdProdLT(Main[[#This Row],[Comments]])))</f>
        <v/>
      </c>
      <c r="H622" s="76" t="str">
        <f>IF(AND(Main[[#This Row],[In Stock Date]]&lt;&gt;"",Main[[#This Row],[Revised Due Date]]&lt;&gt;""),Main[[#This Row],[In Stock Date]]-Main[[#This Row],[Revised Due Date]],"")</f>
        <v/>
      </c>
      <c r="I622" s="72" t="s">
        <v>4</v>
      </c>
      <c r="J622" s="72" t="s">
        <v>4</v>
      </c>
      <c r="K622" s="72" t="s">
        <v>4</v>
      </c>
      <c r="L622" s="74"/>
      <c r="M622" s="77" t="str">
        <f>IF(Main[[#This Row],[Tech Start Date]]&lt;1/1/1990,"",IF(Main[[#This Row],[Class]]="C",WORKDAY(Main[[#This Row],[Tech Start Date]],9),IF(Main[[#This Row],[Class]]="B", WORKDAY(Main[[#This Row],[Tech Start Date]],6),IF(Main[[#This Row],[Class]]="A",WORKDAY(Main[[#This Row],[Tech Start Date]],2),""))))</f>
        <v/>
      </c>
      <c r="N622" s="77" t="str">
        <f>IF(Main[[#This Row],[Tech Start Date]]&lt;1/1/1990,"",IF(Main[[#This Row],[Class]]="C",WORKDAY(Main[[#This Row],[Tech Start Date]],19),IF(Main[[#This Row],[Class]]="B", WORKDAY(Main[[#This Row],[Tech Start Date]],12),IF(Main[[#This Row],[Class]]="A",WORKDAY(Main[[#This Row],[Tech Start Date]],4),""))))</f>
        <v/>
      </c>
      <c r="O622" s="77" t="str">
        <f>IF(Main[[#This Row],[Tech Start Date]]&lt;1/1/1990,"",IF(Main[[#This Row],[Class]]="C",WORKDAY(Main[[#This Row],[Tech Start Date]],23),IF(Main[[#This Row],[Class]]="B", WORKDAY(Main[[#This Row],[Tech Start Date]],15),IF(Main[[#This Row],[Class]]="A",WORKDAY(Main[[#This Row],[Tech Start Date]],5),""))))</f>
        <v/>
      </c>
      <c r="P622" s="77" t="str">
        <f>IF(Main[[#This Row],[Tech Start Date]]&lt;1/1/1990,"",IF(Main[[#This Row],[Class]]="C",WORKDAY(Main[[#This Row],[Tech Start Date]],28),IF(Main[[#This Row],[Class]]="B", WORKDAY(Main[[#This Row],[Tech Start Date]],19),IF(Main[[#This Row],[Class]]="A",WORKDAY(Main[[#This Row],[Tech Start Date]],9),""))))</f>
        <v/>
      </c>
      <c r="Q622" s="74">
        <v>40044</v>
      </c>
      <c r="R622" s="74"/>
      <c r="S622" s="72" t="s">
        <v>11</v>
      </c>
      <c r="T622" s="80" t="s">
        <v>4</v>
      </c>
      <c r="U622" s="72" t="s">
        <v>12</v>
      </c>
      <c r="V622" s="72" t="s">
        <v>1927</v>
      </c>
      <c r="W622" s="72" t="s">
        <v>1928</v>
      </c>
      <c r="X622" s="72" t="s">
        <v>2826</v>
      </c>
      <c r="Y622" s="72" t="s">
        <v>2962</v>
      </c>
      <c r="Z622" s="72" t="s">
        <v>81</v>
      </c>
      <c r="AA622" s="146" t="s">
        <v>2867</v>
      </c>
    </row>
    <row r="623" spans="1:27" ht="18.600000000000001" customHeight="1">
      <c r="A623" s="139" t="str">
        <f>IF(priority(Main[[#This Row],[Comments]])&lt;&gt;0, priority(Main[[#This Row],[Comments]]),"")</f>
        <v/>
      </c>
      <c r="B623" s="89" t="s">
        <v>1447</v>
      </c>
      <c r="C623" s="72" t="s">
        <v>4</v>
      </c>
      <c r="D623" s="73" t="s">
        <v>536</v>
      </c>
      <c r="E623" s="74"/>
      <c r="F623" s="74"/>
      <c r="G623" s="75" t="str">
        <f>IF(stdProdLT(Main[[#This Row],[Comments]])=0.1,"N/A",IF(stdProdLT(Main[[#This Row],[Comments]])=0,"",stdProdLT(Main[[#This Row],[Comments]])))</f>
        <v/>
      </c>
      <c r="H623" s="76" t="str">
        <f>IF(AND(Main[[#This Row],[In Stock Date]]&lt;&gt;"",Main[[#This Row],[Revised Due Date]]&lt;&gt;""),Main[[#This Row],[In Stock Date]]-Main[[#This Row],[Revised Due Date]],"")</f>
        <v/>
      </c>
      <c r="I623" s="72" t="s">
        <v>4</v>
      </c>
      <c r="J623" s="72" t="s">
        <v>4</v>
      </c>
      <c r="K623" s="72" t="s">
        <v>4</v>
      </c>
      <c r="L623" s="74"/>
      <c r="M623" s="77" t="str">
        <f>IF(Main[[#This Row],[Tech Start Date]]&lt;1/1/1990,"",IF(Main[[#This Row],[Class]]="C",WORKDAY(Main[[#This Row],[Tech Start Date]],9),IF(Main[[#This Row],[Class]]="B", WORKDAY(Main[[#This Row],[Tech Start Date]],6),IF(Main[[#This Row],[Class]]="A",WORKDAY(Main[[#This Row],[Tech Start Date]],2),""))))</f>
        <v/>
      </c>
      <c r="N623" s="77" t="str">
        <f>IF(Main[[#This Row],[Tech Start Date]]&lt;1/1/1990,"",IF(Main[[#This Row],[Class]]="C",WORKDAY(Main[[#This Row],[Tech Start Date]],19),IF(Main[[#This Row],[Class]]="B", WORKDAY(Main[[#This Row],[Tech Start Date]],12),IF(Main[[#This Row],[Class]]="A",WORKDAY(Main[[#This Row],[Tech Start Date]],4),""))))</f>
        <v/>
      </c>
      <c r="O623" s="77" t="str">
        <f>IF(Main[[#This Row],[Tech Start Date]]&lt;1/1/1990,"",IF(Main[[#This Row],[Class]]="C",WORKDAY(Main[[#This Row],[Tech Start Date]],23),IF(Main[[#This Row],[Class]]="B", WORKDAY(Main[[#This Row],[Tech Start Date]],15),IF(Main[[#This Row],[Class]]="A",WORKDAY(Main[[#This Row],[Tech Start Date]],5),""))))</f>
        <v/>
      </c>
      <c r="P623" s="77" t="str">
        <f>IF(Main[[#This Row],[Tech Start Date]]&lt;1/1/1990,"",IF(Main[[#This Row],[Class]]="C",WORKDAY(Main[[#This Row],[Tech Start Date]],28),IF(Main[[#This Row],[Class]]="B", WORKDAY(Main[[#This Row],[Tech Start Date]],19),IF(Main[[#This Row],[Class]]="A",WORKDAY(Main[[#This Row],[Tech Start Date]],9),""))))</f>
        <v/>
      </c>
      <c r="Q623" s="74"/>
      <c r="R623" s="74"/>
      <c r="S623" s="72" t="s">
        <v>6</v>
      </c>
      <c r="T623" s="80" t="s">
        <v>4</v>
      </c>
      <c r="U623" s="72" t="s">
        <v>14</v>
      </c>
      <c r="V623" s="72" t="s">
        <v>1920</v>
      </c>
      <c r="W623" s="72" t="s">
        <v>4</v>
      </c>
      <c r="X623" s="72" t="s">
        <v>2893</v>
      </c>
      <c r="Y623" s="72" t="s">
        <v>3049</v>
      </c>
      <c r="Z623" s="72" t="s">
        <v>4</v>
      </c>
      <c r="AA623" s="146" t="s">
        <v>2893</v>
      </c>
    </row>
    <row r="624" spans="1:27" ht="18.600000000000001" customHeight="1">
      <c r="A624" s="139" t="str">
        <f>IF(priority(Main[[#This Row],[Comments]])&lt;&gt;0, priority(Main[[#This Row],[Comments]]),"")</f>
        <v/>
      </c>
      <c r="B624" s="89" t="s">
        <v>1450</v>
      </c>
      <c r="C624" s="72" t="s">
        <v>4</v>
      </c>
      <c r="D624" s="73" t="s">
        <v>539</v>
      </c>
      <c r="E624" s="74"/>
      <c r="F624" s="74">
        <v>40390</v>
      </c>
      <c r="G624" s="75" t="str">
        <f>IF(stdProdLT(Main[[#This Row],[Comments]])=0.1,"N/A",IF(stdProdLT(Main[[#This Row],[Comments]])=0,"",stdProdLT(Main[[#This Row],[Comments]])))</f>
        <v/>
      </c>
      <c r="H624" s="76" t="str">
        <f>IF(AND(Main[[#This Row],[In Stock Date]]&lt;&gt;"",Main[[#This Row],[Revised Due Date]]&lt;&gt;""),Main[[#This Row],[In Stock Date]]-Main[[#This Row],[Revised Due Date]],"")</f>
        <v/>
      </c>
      <c r="I624" s="72" t="s">
        <v>4</v>
      </c>
      <c r="J624" s="72" t="s">
        <v>4</v>
      </c>
      <c r="K624" s="72" t="s">
        <v>4</v>
      </c>
      <c r="L624" s="74"/>
      <c r="M624" s="77" t="str">
        <f>IF(Main[[#This Row],[Tech Start Date]]&lt;1/1/1990,"",IF(Main[[#This Row],[Class]]="C",WORKDAY(Main[[#This Row],[Tech Start Date]],9),IF(Main[[#This Row],[Class]]="B", WORKDAY(Main[[#This Row],[Tech Start Date]],6),IF(Main[[#This Row],[Class]]="A",WORKDAY(Main[[#This Row],[Tech Start Date]],2),""))))</f>
        <v/>
      </c>
      <c r="N624" s="77" t="str">
        <f>IF(Main[[#This Row],[Tech Start Date]]&lt;1/1/1990,"",IF(Main[[#This Row],[Class]]="C",WORKDAY(Main[[#This Row],[Tech Start Date]],19),IF(Main[[#This Row],[Class]]="B", WORKDAY(Main[[#This Row],[Tech Start Date]],12),IF(Main[[#This Row],[Class]]="A",WORKDAY(Main[[#This Row],[Tech Start Date]],4),""))))</f>
        <v/>
      </c>
      <c r="O624" s="77" t="str">
        <f>IF(Main[[#This Row],[Tech Start Date]]&lt;1/1/1990,"",IF(Main[[#This Row],[Class]]="C",WORKDAY(Main[[#This Row],[Tech Start Date]],23),IF(Main[[#This Row],[Class]]="B", WORKDAY(Main[[#This Row],[Tech Start Date]],15),IF(Main[[#This Row],[Class]]="A",WORKDAY(Main[[#This Row],[Tech Start Date]],5),""))))</f>
        <v/>
      </c>
      <c r="P624" s="77" t="str">
        <f>IF(Main[[#This Row],[Tech Start Date]]&lt;1/1/1990,"",IF(Main[[#This Row],[Class]]="C",WORKDAY(Main[[#This Row],[Tech Start Date]],28),IF(Main[[#This Row],[Class]]="B", WORKDAY(Main[[#This Row],[Tech Start Date]],19),IF(Main[[#This Row],[Class]]="A",WORKDAY(Main[[#This Row],[Tech Start Date]],9),""))))</f>
        <v/>
      </c>
      <c r="Q624" s="74">
        <v>40329</v>
      </c>
      <c r="R624" s="74"/>
      <c r="S624" s="72" t="s">
        <v>11</v>
      </c>
      <c r="T624" s="80" t="s">
        <v>4</v>
      </c>
      <c r="U624" s="72" t="s">
        <v>12</v>
      </c>
      <c r="V624" s="72" t="s">
        <v>1927</v>
      </c>
      <c r="W624" s="72" t="s">
        <v>1923</v>
      </c>
      <c r="X624" s="72" t="s">
        <v>2878</v>
      </c>
      <c r="Y624" s="72" t="s">
        <v>3002</v>
      </c>
      <c r="Z624" s="72" t="s">
        <v>4</v>
      </c>
      <c r="AA624" s="146" t="s">
        <v>2878</v>
      </c>
    </row>
    <row r="625" spans="1:27" ht="18.600000000000001" customHeight="1">
      <c r="A625" s="139" t="str">
        <f>IF(priority(Main[[#This Row],[Comments]])&lt;&gt;0, priority(Main[[#This Row],[Comments]]),"")</f>
        <v/>
      </c>
      <c r="B625" s="89" t="s">
        <v>2723</v>
      </c>
      <c r="C625" s="72" t="s">
        <v>4</v>
      </c>
      <c r="D625" s="73" t="s">
        <v>2724</v>
      </c>
      <c r="E625" s="74">
        <v>40884.602025462962</v>
      </c>
      <c r="F625" s="74"/>
      <c r="G625" s="75" t="str">
        <f>IF(stdProdLT(Main[[#This Row],[Comments]])=0.1,"N/A",IF(stdProdLT(Main[[#This Row],[Comments]])=0,"",stdProdLT(Main[[#This Row],[Comments]])))</f>
        <v/>
      </c>
      <c r="H625" s="76" t="str">
        <f>IF(AND(Main[[#This Row],[In Stock Date]]&lt;&gt;"",Main[[#This Row],[Revised Due Date]]&lt;&gt;""),Main[[#This Row],[In Stock Date]]-Main[[#This Row],[Revised Due Date]],"")</f>
        <v/>
      </c>
      <c r="I625" s="72" t="s">
        <v>4</v>
      </c>
      <c r="J625" s="72" t="s">
        <v>4</v>
      </c>
      <c r="K625" s="72" t="s">
        <v>4</v>
      </c>
      <c r="L625" s="74"/>
      <c r="M625" s="77" t="str">
        <f>IF(Main[[#This Row],[Tech Start Date]]&lt;1/1/1990,"",IF(Main[[#This Row],[Class]]="C",WORKDAY(Main[[#This Row],[Tech Start Date]],9),IF(Main[[#This Row],[Class]]="B", WORKDAY(Main[[#This Row],[Tech Start Date]],6),IF(Main[[#This Row],[Class]]="A",WORKDAY(Main[[#This Row],[Tech Start Date]],2),""))))</f>
        <v/>
      </c>
      <c r="N625" s="77" t="str">
        <f>IF(Main[[#This Row],[Tech Start Date]]&lt;1/1/1990,"",IF(Main[[#This Row],[Class]]="C",WORKDAY(Main[[#This Row],[Tech Start Date]],19),IF(Main[[#This Row],[Class]]="B", WORKDAY(Main[[#This Row],[Tech Start Date]],12),IF(Main[[#This Row],[Class]]="A",WORKDAY(Main[[#This Row],[Tech Start Date]],4),""))))</f>
        <v/>
      </c>
      <c r="O625" s="77" t="str">
        <f>IF(Main[[#This Row],[Tech Start Date]]&lt;1/1/1990,"",IF(Main[[#This Row],[Class]]="C",WORKDAY(Main[[#This Row],[Tech Start Date]],23),IF(Main[[#This Row],[Class]]="B", WORKDAY(Main[[#This Row],[Tech Start Date]],15),IF(Main[[#This Row],[Class]]="A",WORKDAY(Main[[#This Row],[Tech Start Date]],5),""))))</f>
        <v/>
      </c>
      <c r="P625" s="77" t="str">
        <f>IF(Main[[#This Row],[Tech Start Date]]&lt;1/1/1990,"",IF(Main[[#This Row],[Class]]="C",WORKDAY(Main[[#This Row],[Tech Start Date]],28),IF(Main[[#This Row],[Class]]="B", WORKDAY(Main[[#This Row],[Tech Start Date]],19),IF(Main[[#This Row],[Class]]="A",WORKDAY(Main[[#This Row],[Tech Start Date]],9),""))))</f>
        <v/>
      </c>
      <c r="Q625" s="74"/>
      <c r="R625" s="74"/>
      <c r="S625" s="72" t="s">
        <v>17</v>
      </c>
      <c r="T625" s="80" t="s">
        <v>4</v>
      </c>
      <c r="U625" s="72" t="s">
        <v>7</v>
      </c>
      <c r="V625" s="72" t="s">
        <v>1932</v>
      </c>
      <c r="W625" s="72" t="s">
        <v>1922</v>
      </c>
      <c r="X625" s="72" t="s">
        <v>924</v>
      </c>
      <c r="Y625" s="72" t="s">
        <v>3023</v>
      </c>
      <c r="Z625" s="72" t="s">
        <v>4</v>
      </c>
      <c r="AA625" s="146" t="s">
        <v>909</v>
      </c>
    </row>
    <row r="626" spans="1:27" ht="18.600000000000001" customHeight="1">
      <c r="A626" s="139" t="str">
        <f>IF(priority(Main[[#This Row],[Comments]])&lt;&gt;0, priority(Main[[#This Row],[Comments]]),"")</f>
        <v/>
      </c>
      <c r="B626" s="89" t="s">
        <v>1451</v>
      </c>
      <c r="C626" s="72" t="s">
        <v>4</v>
      </c>
      <c r="D626" s="73" t="s">
        <v>540</v>
      </c>
      <c r="E626" s="74"/>
      <c r="F626" s="74"/>
      <c r="G626" s="75" t="str">
        <f>IF(stdProdLT(Main[[#This Row],[Comments]])=0.1,"N/A",IF(stdProdLT(Main[[#This Row],[Comments]])=0,"",stdProdLT(Main[[#This Row],[Comments]])))</f>
        <v/>
      </c>
      <c r="H626" s="76" t="str">
        <f>IF(AND(Main[[#This Row],[In Stock Date]]&lt;&gt;"",Main[[#This Row],[Revised Due Date]]&lt;&gt;""),Main[[#This Row],[In Stock Date]]-Main[[#This Row],[Revised Due Date]],"")</f>
        <v/>
      </c>
      <c r="I626" s="72" t="s">
        <v>4</v>
      </c>
      <c r="J626" s="72" t="s">
        <v>4</v>
      </c>
      <c r="K626" s="72" t="s">
        <v>4</v>
      </c>
      <c r="L626" s="74"/>
      <c r="M626" s="77" t="str">
        <f>IF(Main[[#This Row],[Tech Start Date]]&lt;1/1/1990,"",IF(Main[[#This Row],[Class]]="C",WORKDAY(Main[[#This Row],[Tech Start Date]],9),IF(Main[[#This Row],[Class]]="B", WORKDAY(Main[[#This Row],[Tech Start Date]],6),IF(Main[[#This Row],[Class]]="A",WORKDAY(Main[[#This Row],[Tech Start Date]],2),""))))</f>
        <v/>
      </c>
      <c r="N626" s="77" t="str">
        <f>IF(Main[[#This Row],[Tech Start Date]]&lt;1/1/1990,"",IF(Main[[#This Row],[Class]]="C",WORKDAY(Main[[#This Row],[Tech Start Date]],19),IF(Main[[#This Row],[Class]]="B", WORKDAY(Main[[#This Row],[Tech Start Date]],12),IF(Main[[#This Row],[Class]]="A",WORKDAY(Main[[#This Row],[Tech Start Date]],4),""))))</f>
        <v/>
      </c>
      <c r="O626" s="77" t="str">
        <f>IF(Main[[#This Row],[Tech Start Date]]&lt;1/1/1990,"",IF(Main[[#This Row],[Class]]="C",WORKDAY(Main[[#This Row],[Tech Start Date]],23),IF(Main[[#This Row],[Class]]="B", WORKDAY(Main[[#This Row],[Tech Start Date]],15),IF(Main[[#This Row],[Class]]="A",WORKDAY(Main[[#This Row],[Tech Start Date]],5),""))))</f>
        <v/>
      </c>
      <c r="P626" s="77" t="str">
        <f>IF(Main[[#This Row],[Tech Start Date]]&lt;1/1/1990,"",IF(Main[[#This Row],[Class]]="C",WORKDAY(Main[[#This Row],[Tech Start Date]],28),IF(Main[[#This Row],[Class]]="B", WORKDAY(Main[[#This Row],[Tech Start Date]],19),IF(Main[[#This Row],[Class]]="A",WORKDAY(Main[[#This Row],[Tech Start Date]],9),""))))</f>
        <v/>
      </c>
      <c r="Q626" s="74"/>
      <c r="R626" s="74"/>
      <c r="S626" s="72" t="s">
        <v>11</v>
      </c>
      <c r="T626" s="80" t="s">
        <v>4</v>
      </c>
      <c r="U626" s="72" t="s">
        <v>12</v>
      </c>
      <c r="V626" s="72" t="s">
        <v>1917</v>
      </c>
      <c r="W626" s="72" t="s">
        <v>1925</v>
      </c>
      <c r="X626" s="72" t="s">
        <v>909</v>
      </c>
      <c r="Y626" s="72" t="s">
        <v>4</v>
      </c>
      <c r="Z626" s="72" t="s">
        <v>4</v>
      </c>
      <c r="AA626" s="146" t="s">
        <v>4</v>
      </c>
    </row>
    <row r="627" spans="1:27" ht="18.600000000000001" customHeight="1">
      <c r="A627" s="139" t="str">
        <f>IF(priority(Main[[#This Row],[Comments]])&lt;&gt;0, priority(Main[[#This Row],[Comments]]),"")</f>
        <v/>
      </c>
      <c r="B627" s="89" t="s">
        <v>1452</v>
      </c>
      <c r="C627" s="72" t="s">
        <v>284</v>
      </c>
      <c r="D627" s="73" t="s">
        <v>541</v>
      </c>
      <c r="E627" s="74"/>
      <c r="F627" s="74"/>
      <c r="G627" s="75" t="str">
        <f>IF(stdProdLT(Main[[#This Row],[Comments]])=0.1,"N/A",IF(stdProdLT(Main[[#This Row],[Comments]])=0,"",stdProdLT(Main[[#This Row],[Comments]])))</f>
        <v/>
      </c>
      <c r="H627" s="76" t="str">
        <f>IF(AND(Main[[#This Row],[In Stock Date]]&lt;&gt;"",Main[[#This Row],[Revised Due Date]]&lt;&gt;""),Main[[#This Row],[In Stock Date]]-Main[[#This Row],[Revised Due Date]],"")</f>
        <v/>
      </c>
      <c r="I627" s="72" t="s">
        <v>4</v>
      </c>
      <c r="J627" s="72" t="s">
        <v>4</v>
      </c>
      <c r="K627" s="81" t="s">
        <v>4</v>
      </c>
      <c r="L627" s="74"/>
      <c r="M627" s="77" t="str">
        <f>IF(Main[[#This Row],[Tech Start Date]]&lt;1/1/1990,"",IF(Main[[#This Row],[Class]]="C",WORKDAY(Main[[#This Row],[Tech Start Date]],9),IF(Main[[#This Row],[Class]]="B", WORKDAY(Main[[#This Row],[Tech Start Date]],6),IF(Main[[#This Row],[Class]]="A",WORKDAY(Main[[#This Row],[Tech Start Date]],2),""))))</f>
        <v/>
      </c>
      <c r="N627" s="77" t="str">
        <f>IF(Main[[#This Row],[Tech Start Date]]&lt;1/1/1990,"",IF(Main[[#This Row],[Class]]="C",WORKDAY(Main[[#This Row],[Tech Start Date]],19),IF(Main[[#This Row],[Class]]="B", WORKDAY(Main[[#This Row],[Tech Start Date]],12),IF(Main[[#This Row],[Class]]="A",WORKDAY(Main[[#This Row],[Tech Start Date]],4),""))))</f>
        <v/>
      </c>
      <c r="O627" s="77" t="str">
        <f>IF(Main[[#This Row],[Tech Start Date]]&lt;1/1/1990,"",IF(Main[[#This Row],[Class]]="C",WORKDAY(Main[[#This Row],[Tech Start Date]],23),IF(Main[[#This Row],[Class]]="B", WORKDAY(Main[[#This Row],[Tech Start Date]],15),IF(Main[[#This Row],[Class]]="A",WORKDAY(Main[[#This Row],[Tech Start Date]],5),""))))</f>
        <v/>
      </c>
      <c r="P627" s="77" t="str">
        <f>IF(Main[[#This Row],[Tech Start Date]]&lt;1/1/1990,"",IF(Main[[#This Row],[Class]]="C",WORKDAY(Main[[#This Row],[Tech Start Date]],28),IF(Main[[#This Row],[Class]]="B", WORKDAY(Main[[#This Row],[Tech Start Date]],19),IF(Main[[#This Row],[Class]]="A",WORKDAY(Main[[#This Row],[Tech Start Date]],9),""))))</f>
        <v/>
      </c>
      <c r="Q627" s="74">
        <v>40147</v>
      </c>
      <c r="R627" s="74"/>
      <c r="S627" s="72" t="s">
        <v>11</v>
      </c>
      <c r="T627" s="80" t="s">
        <v>4</v>
      </c>
      <c r="U627" s="72" t="s">
        <v>14</v>
      </c>
      <c r="V627" s="72" t="s">
        <v>1927</v>
      </c>
      <c r="W627" s="72" t="s">
        <v>1925</v>
      </c>
      <c r="X627" s="72" t="s">
        <v>2823</v>
      </c>
      <c r="Y627" s="72" t="s">
        <v>4</v>
      </c>
      <c r="Z627" s="72" t="s">
        <v>4</v>
      </c>
      <c r="AA627" s="146" t="s">
        <v>2823</v>
      </c>
    </row>
    <row r="628" spans="1:27" ht="18.600000000000001" customHeight="1">
      <c r="A628" s="139" t="str">
        <f>IF(priority(Main[[#This Row],[Comments]])&lt;&gt;0, priority(Main[[#This Row],[Comments]]),"")</f>
        <v/>
      </c>
      <c r="B628" s="89" t="s">
        <v>1453</v>
      </c>
      <c r="C628" s="72" t="s">
        <v>31</v>
      </c>
      <c r="D628" s="73" t="s">
        <v>542</v>
      </c>
      <c r="E628" s="74"/>
      <c r="F628" s="74">
        <v>40512</v>
      </c>
      <c r="G628" s="75" t="str">
        <f>IF(stdProdLT(Main[[#This Row],[Comments]])=0.1,"N/A",IF(stdProdLT(Main[[#This Row],[Comments]])=0,"",stdProdLT(Main[[#This Row],[Comments]])))</f>
        <v/>
      </c>
      <c r="H628" s="76" t="str">
        <f>IF(AND(Main[[#This Row],[In Stock Date]]&lt;&gt;"",Main[[#This Row],[Revised Due Date]]&lt;&gt;""),Main[[#This Row],[In Stock Date]]-Main[[#This Row],[Revised Due Date]],"")</f>
        <v/>
      </c>
      <c r="I628" s="72" t="s">
        <v>4</v>
      </c>
      <c r="J628" s="72" t="s">
        <v>4</v>
      </c>
      <c r="K628" s="72" t="s">
        <v>4</v>
      </c>
      <c r="L628" s="74"/>
      <c r="M628" s="77" t="str">
        <f>IF(Main[[#This Row],[Tech Start Date]]&lt;1/1/1990,"",IF(Main[[#This Row],[Class]]="C",WORKDAY(Main[[#This Row],[Tech Start Date]],9),IF(Main[[#This Row],[Class]]="B", WORKDAY(Main[[#This Row],[Tech Start Date]],6),IF(Main[[#This Row],[Class]]="A",WORKDAY(Main[[#This Row],[Tech Start Date]],2),""))))</f>
        <v/>
      </c>
      <c r="N628" s="77" t="str">
        <f>IF(Main[[#This Row],[Tech Start Date]]&lt;1/1/1990,"",IF(Main[[#This Row],[Class]]="C",WORKDAY(Main[[#This Row],[Tech Start Date]],19),IF(Main[[#This Row],[Class]]="B", WORKDAY(Main[[#This Row],[Tech Start Date]],12),IF(Main[[#This Row],[Class]]="A",WORKDAY(Main[[#This Row],[Tech Start Date]],4),""))))</f>
        <v/>
      </c>
      <c r="O628" s="77" t="str">
        <f>IF(Main[[#This Row],[Tech Start Date]]&lt;1/1/1990,"",IF(Main[[#This Row],[Class]]="C",WORKDAY(Main[[#This Row],[Tech Start Date]],23),IF(Main[[#This Row],[Class]]="B", WORKDAY(Main[[#This Row],[Tech Start Date]],15),IF(Main[[#This Row],[Class]]="A",WORKDAY(Main[[#This Row],[Tech Start Date]],5),""))))</f>
        <v/>
      </c>
      <c r="P628" s="77" t="str">
        <f>IF(Main[[#This Row],[Tech Start Date]]&lt;1/1/1990,"",IF(Main[[#This Row],[Class]]="C",WORKDAY(Main[[#This Row],[Tech Start Date]],28),IF(Main[[#This Row],[Class]]="B", WORKDAY(Main[[#This Row],[Tech Start Date]],19),IF(Main[[#This Row],[Class]]="A",WORKDAY(Main[[#This Row],[Tech Start Date]],9),""))))</f>
        <v/>
      </c>
      <c r="Q628" s="74">
        <v>40415</v>
      </c>
      <c r="R628" s="74"/>
      <c r="S628" s="72" t="s">
        <v>11</v>
      </c>
      <c r="T628" s="80" t="s">
        <v>4</v>
      </c>
      <c r="U628" s="72" t="s">
        <v>14</v>
      </c>
      <c r="V628" s="72" t="s">
        <v>1920</v>
      </c>
      <c r="W628" s="72" t="s">
        <v>1923</v>
      </c>
      <c r="X628" s="72" t="s">
        <v>2836</v>
      </c>
      <c r="Y628" s="72" t="s">
        <v>2959</v>
      </c>
      <c r="Z628" s="72" t="s">
        <v>4</v>
      </c>
      <c r="AA628" s="146" t="s">
        <v>2836</v>
      </c>
    </row>
    <row r="629" spans="1:27" ht="18.600000000000001" customHeight="1">
      <c r="A629" s="139" t="str">
        <f>IF(priority(Main[[#This Row],[Comments]])&lt;&gt;0, priority(Main[[#This Row],[Comments]]),"")</f>
        <v/>
      </c>
      <c r="B629" s="89" t="s">
        <v>1454</v>
      </c>
      <c r="C629" s="72" t="s">
        <v>543</v>
      </c>
      <c r="D629" s="73" t="s">
        <v>544</v>
      </c>
      <c r="E629" s="74"/>
      <c r="F629" s="74">
        <v>40179</v>
      </c>
      <c r="G629" s="75" t="str">
        <f>IF(stdProdLT(Main[[#This Row],[Comments]])=0.1,"N/A",IF(stdProdLT(Main[[#This Row],[Comments]])=0,"",stdProdLT(Main[[#This Row],[Comments]])))</f>
        <v/>
      </c>
      <c r="H629" s="76" t="str">
        <f>IF(AND(Main[[#This Row],[In Stock Date]]&lt;&gt;"",Main[[#This Row],[Revised Due Date]]&lt;&gt;""),Main[[#This Row],[In Stock Date]]-Main[[#This Row],[Revised Due Date]],"")</f>
        <v/>
      </c>
      <c r="I629" s="72" t="s">
        <v>4</v>
      </c>
      <c r="J629" s="72" t="s">
        <v>4</v>
      </c>
      <c r="K629" s="72" t="s">
        <v>4</v>
      </c>
      <c r="L629" s="74"/>
      <c r="M629" s="77" t="str">
        <f>IF(Main[[#This Row],[Tech Start Date]]&lt;1/1/1990,"",IF(Main[[#This Row],[Class]]="C",WORKDAY(Main[[#This Row],[Tech Start Date]],9),IF(Main[[#This Row],[Class]]="B", WORKDAY(Main[[#This Row],[Tech Start Date]],6),IF(Main[[#This Row],[Class]]="A",WORKDAY(Main[[#This Row],[Tech Start Date]],2),""))))</f>
        <v/>
      </c>
      <c r="N629" s="77" t="str">
        <f>IF(Main[[#This Row],[Tech Start Date]]&lt;1/1/1990,"",IF(Main[[#This Row],[Class]]="C",WORKDAY(Main[[#This Row],[Tech Start Date]],19),IF(Main[[#This Row],[Class]]="B", WORKDAY(Main[[#This Row],[Tech Start Date]],12),IF(Main[[#This Row],[Class]]="A",WORKDAY(Main[[#This Row],[Tech Start Date]],4),""))))</f>
        <v/>
      </c>
      <c r="O629" s="77" t="str">
        <f>IF(Main[[#This Row],[Tech Start Date]]&lt;1/1/1990,"",IF(Main[[#This Row],[Class]]="C",WORKDAY(Main[[#This Row],[Tech Start Date]],23),IF(Main[[#This Row],[Class]]="B", WORKDAY(Main[[#This Row],[Tech Start Date]],15),IF(Main[[#This Row],[Class]]="A",WORKDAY(Main[[#This Row],[Tech Start Date]],5),""))))</f>
        <v/>
      </c>
      <c r="P629" s="77" t="str">
        <f>IF(Main[[#This Row],[Tech Start Date]]&lt;1/1/1990,"",IF(Main[[#This Row],[Class]]="C",WORKDAY(Main[[#This Row],[Tech Start Date]],28),IF(Main[[#This Row],[Class]]="B", WORKDAY(Main[[#This Row],[Tech Start Date]],19),IF(Main[[#This Row],[Class]]="A",WORKDAY(Main[[#This Row],[Tech Start Date]],9),""))))</f>
        <v/>
      </c>
      <c r="Q629" s="74">
        <v>40179</v>
      </c>
      <c r="R629" s="74"/>
      <c r="S629" s="72" t="s">
        <v>11</v>
      </c>
      <c r="T629" s="80" t="s">
        <v>4</v>
      </c>
      <c r="U629" s="72" t="s">
        <v>14</v>
      </c>
      <c r="V629" s="72" t="s">
        <v>1917</v>
      </c>
      <c r="W629" s="72" t="s">
        <v>1925</v>
      </c>
      <c r="X629" s="72" t="s">
        <v>2856</v>
      </c>
      <c r="Y629" s="72" t="s">
        <v>4</v>
      </c>
      <c r="Z629" s="72" t="s">
        <v>4</v>
      </c>
      <c r="AA629" s="146" t="s">
        <v>2856</v>
      </c>
    </row>
    <row r="630" spans="1:27" ht="18.600000000000001" customHeight="1">
      <c r="A630" s="139" t="str">
        <f>IF(priority(Main[[#This Row],[Comments]])&lt;&gt;0, priority(Main[[#This Row],[Comments]]),"")</f>
        <v/>
      </c>
      <c r="B630" s="89" t="s">
        <v>1455</v>
      </c>
      <c r="C630" s="72" t="s">
        <v>4</v>
      </c>
      <c r="D630" s="73" t="s">
        <v>545</v>
      </c>
      <c r="E630" s="74">
        <v>40675.613807870373</v>
      </c>
      <c r="F630" s="74"/>
      <c r="G630" s="75" t="str">
        <f>IF(stdProdLT(Main[[#This Row],[Comments]])=0.1,"N/A",IF(stdProdLT(Main[[#This Row],[Comments]])=0,"",stdProdLT(Main[[#This Row],[Comments]])))</f>
        <v/>
      </c>
      <c r="H630" s="76" t="str">
        <f>IF(AND(Main[[#This Row],[In Stock Date]]&lt;&gt;"",Main[[#This Row],[Revised Due Date]]&lt;&gt;""),Main[[#This Row],[In Stock Date]]-Main[[#This Row],[Revised Due Date]],"")</f>
        <v/>
      </c>
      <c r="I630" s="72" t="s">
        <v>4</v>
      </c>
      <c r="J630" s="72" t="s">
        <v>4</v>
      </c>
      <c r="K630" s="72" t="s">
        <v>4</v>
      </c>
      <c r="L630" s="74"/>
      <c r="M630" s="77" t="str">
        <f>IF(Main[[#This Row],[Tech Start Date]]&lt;1/1/1990,"",IF(Main[[#This Row],[Class]]="C",WORKDAY(Main[[#This Row],[Tech Start Date]],9),IF(Main[[#This Row],[Class]]="B", WORKDAY(Main[[#This Row],[Tech Start Date]],6),IF(Main[[#This Row],[Class]]="A",WORKDAY(Main[[#This Row],[Tech Start Date]],2),""))))</f>
        <v/>
      </c>
      <c r="N630" s="77" t="str">
        <f>IF(Main[[#This Row],[Tech Start Date]]&lt;1/1/1990,"",IF(Main[[#This Row],[Class]]="C",WORKDAY(Main[[#This Row],[Tech Start Date]],19),IF(Main[[#This Row],[Class]]="B", WORKDAY(Main[[#This Row],[Tech Start Date]],12),IF(Main[[#This Row],[Class]]="A",WORKDAY(Main[[#This Row],[Tech Start Date]],4),""))))</f>
        <v/>
      </c>
      <c r="O630" s="77" t="str">
        <f>IF(Main[[#This Row],[Tech Start Date]]&lt;1/1/1990,"",IF(Main[[#This Row],[Class]]="C",WORKDAY(Main[[#This Row],[Tech Start Date]],23),IF(Main[[#This Row],[Class]]="B", WORKDAY(Main[[#This Row],[Tech Start Date]],15),IF(Main[[#This Row],[Class]]="A",WORKDAY(Main[[#This Row],[Tech Start Date]],5),""))))</f>
        <v/>
      </c>
      <c r="P630" s="77" t="str">
        <f>IF(Main[[#This Row],[Tech Start Date]]&lt;1/1/1990,"",IF(Main[[#This Row],[Class]]="C",WORKDAY(Main[[#This Row],[Tech Start Date]],28),IF(Main[[#This Row],[Class]]="B", WORKDAY(Main[[#This Row],[Tech Start Date]],19),IF(Main[[#This Row],[Class]]="A",WORKDAY(Main[[#This Row],[Tech Start Date]],9),""))))</f>
        <v/>
      </c>
      <c r="Q630" s="74">
        <v>40676</v>
      </c>
      <c r="R630" s="74"/>
      <c r="S630" s="72" t="s">
        <v>6</v>
      </c>
      <c r="T630" s="80" t="s">
        <v>4</v>
      </c>
      <c r="U630" s="72" t="s">
        <v>7</v>
      </c>
      <c r="V630" s="72" t="s">
        <v>1917</v>
      </c>
      <c r="W630" s="72" t="s">
        <v>1921</v>
      </c>
      <c r="X630" s="72" t="s">
        <v>126</v>
      </c>
      <c r="Y630" s="72" t="s">
        <v>3039</v>
      </c>
      <c r="Z630" s="72" t="s">
        <v>4</v>
      </c>
      <c r="AA630" s="146" t="s">
        <v>126</v>
      </c>
    </row>
    <row r="631" spans="1:27" ht="18.600000000000001" customHeight="1">
      <c r="A631" s="139" t="str">
        <f>IF(priority(Main[[#This Row],[Comments]])&lt;&gt;0, priority(Main[[#This Row],[Comments]]),"")</f>
        <v/>
      </c>
      <c r="B631" s="89" t="s">
        <v>1456</v>
      </c>
      <c r="C631" s="72" t="s">
        <v>4</v>
      </c>
      <c r="D631" s="73" t="s">
        <v>546</v>
      </c>
      <c r="E631" s="74">
        <v>40519.5781712963</v>
      </c>
      <c r="F631" s="74"/>
      <c r="G631" s="75" t="str">
        <f>IF(stdProdLT(Main[[#This Row],[Comments]])=0.1,"N/A",IF(stdProdLT(Main[[#This Row],[Comments]])=0,"",stdProdLT(Main[[#This Row],[Comments]])))</f>
        <v/>
      </c>
      <c r="H631" s="76" t="str">
        <f>IF(AND(Main[[#This Row],[In Stock Date]]&lt;&gt;"",Main[[#This Row],[Revised Due Date]]&lt;&gt;""),Main[[#This Row],[In Stock Date]]-Main[[#This Row],[Revised Due Date]],"")</f>
        <v/>
      </c>
      <c r="I631" s="72" t="s">
        <v>4</v>
      </c>
      <c r="J631" s="72" t="s">
        <v>28</v>
      </c>
      <c r="K631" s="72" t="s">
        <v>4</v>
      </c>
      <c r="L631" s="74"/>
      <c r="M631" s="77" t="str">
        <f>IF(Main[[#This Row],[Tech Start Date]]&lt;1/1/1990,"",IF(Main[[#This Row],[Class]]="C",WORKDAY(Main[[#This Row],[Tech Start Date]],9),IF(Main[[#This Row],[Class]]="B", WORKDAY(Main[[#This Row],[Tech Start Date]],6),IF(Main[[#This Row],[Class]]="A",WORKDAY(Main[[#This Row],[Tech Start Date]],2),""))))</f>
        <v/>
      </c>
      <c r="N631" s="77" t="str">
        <f>IF(Main[[#This Row],[Tech Start Date]]&lt;1/1/1990,"",IF(Main[[#This Row],[Class]]="C",WORKDAY(Main[[#This Row],[Tech Start Date]],19),IF(Main[[#This Row],[Class]]="B", WORKDAY(Main[[#This Row],[Tech Start Date]],12),IF(Main[[#This Row],[Class]]="A",WORKDAY(Main[[#This Row],[Tech Start Date]],4),""))))</f>
        <v/>
      </c>
      <c r="O631" s="77" t="str">
        <f>IF(Main[[#This Row],[Tech Start Date]]&lt;1/1/1990,"",IF(Main[[#This Row],[Class]]="C",WORKDAY(Main[[#This Row],[Tech Start Date]],23),IF(Main[[#This Row],[Class]]="B", WORKDAY(Main[[#This Row],[Tech Start Date]],15),IF(Main[[#This Row],[Class]]="A",WORKDAY(Main[[#This Row],[Tech Start Date]],5),""))))</f>
        <v/>
      </c>
      <c r="P631" s="77" t="str">
        <f>IF(Main[[#This Row],[Tech Start Date]]&lt;1/1/1990,"",IF(Main[[#This Row],[Class]]="C",WORKDAY(Main[[#This Row],[Tech Start Date]],28),IF(Main[[#This Row],[Class]]="B", WORKDAY(Main[[#This Row],[Tech Start Date]],19),IF(Main[[#This Row],[Class]]="A",WORKDAY(Main[[#This Row],[Tech Start Date]],9),""))))</f>
        <v/>
      </c>
      <c r="Q631" s="74"/>
      <c r="R631" s="74"/>
      <c r="S631" s="72" t="s">
        <v>6</v>
      </c>
      <c r="T631" s="80" t="s">
        <v>4</v>
      </c>
      <c r="U631" s="72" t="s">
        <v>7</v>
      </c>
      <c r="V631" s="72" t="s">
        <v>1917</v>
      </c>
      <c r="W631" s="72" t="s">
        <v>1919</v>
      </c>
      <c r="X631" s="72" t="s">
        <v>2825</v>
      </c>
      <c r="Y631" s="72" t="s">
        <v>2938</v>
      </c>
      <c r="Z631" s="72" t="s">
        <v>129</v>
      </c>
      <c r="AA631" s="146" t="s">
        <v>2825</v>
      </c>
    </row>
    <row r="632" spans="1:27" ht="18.600000000000001" customHeight="1">
      <c r="A632" s="139" t="str">
        <f>IF(priority(Main[[#This Row],[Comments]])&lt;&gt;0, priority(Main[[#This Row],[Comments]]),"")</f>
        <v/>
      </c>
      <c r="B632" s="89" t="s">
        <v>1457</v>
      </c>
      <c r="C632" s="72" t="s">
        <v>547</v>
      </c>
      <c r="D632" s="73" t="s">
        <v>548</v>
      </c>
      <c r="E632" s="74"/>
      <c r="F632" s="74">
        <v>40549</v>
      </c>
      <c r="G632" s="75" t="str">
        <f>IF(stdProdLT(Main[[#This Row],[Comments]])=0.1,"N/A",IF(stdProdLT(Main[[#This Row],[Comments]])=0,"",stdProdLT(Main[[#This Row],[Comments]])))</f>
        <v/>
      </c>
      <c r="H632" s="76" t="str">
        <f>IF(AND(Main[[#This Row],[In Stock Date]]&lt;&gt;"",Main[[#This Row],[Revised Due Date]]&lt;&gt;""),Main[[#This Row],[In Stock Date]]-Main[[#This Row],[Revised Due Date]],"")</f>
        <v/>
      </c>
      <c r="I632" s="72" t="s">
        <v>4</v>
      </c>
      <c r="J632" s="72" t="s">
        <v>4</v>
      </c>
      <c r="K632" s="72" t="s">
        <v>4</v>
      </c>
      <c r="L632" s="74"/>
      <c r="M632" s="77" t="str">
        <f>IF(Main[[#This Row],[Tech Start Date]]&lt;1/1/1990,"",IF(Main[[#This Row],[Class]]="C",WORKDAY(Main[[#This Row],[Tech Start Date]],9),IF(Main[[#This Row],[Class]]="B", WORKDAY(Main[[#This Row],[Tech Start Date]],6),IF(Main[[#This Row],[Class]]="A",WORKDAY(Main[[#This Row],[Tech Start Date]],2),""))))</f>
        <v/>
      </c>
      <c r="N632" s="77" t="str">
        <f>IF(Main[[#This Row],[Tech Start Date]]&lt;1/1/1990,"",IF(Main[[#This Row],[Class]]="C",WORKDAY(Main[[#This Row],[Tech Start Date]],19),IF(Main[[#This Row],[Class]]="B", WORKDAY(Main[[#This Row],[Tech Start Date]],12),IF(Main[[#This Row],[Class]]="A",WORKDAY(Main[[#This Row],[Tech Start Date]],4),""))))</f>
        <v/>
      </c>
      <c r="O632" s="77" t="str">
        <f>IF(Main[[#This Row],[Tech Start Date]]&lt;1/1/1990,"",IF(Main[[#This Row],[Class]]="C",WORKDAY(Main[[#This Row],[Tech Start Date]],23),IF(Main[[#This Row],[Class]]="B", WORKDAY(Main[[#This Row],[Tech Start Date]],15),IF(Main[[#This Row],[Class]]="A",WORKDAY(Main[[#This Row],[Tech Start Date]],5),""))))</f>
        <v/>
      </c>
      <c r="P632" s="77" t="str">
        <f>IF(Main[[#This Row],[Tech Start Date]]&lt;1/1/1990,"",IF(Main[[#This Row],[Class]]="C",WORKDAY(Main[[#This Row],[Tech Start Date]],28),IF(Main[[#This Row],[Class]]="B", WORKDAY(Main[[#This Row],[Tech Start Date]],19),IF(Main[[#This Row],[Class]]="A",WORKDAY(Main[[#This Row],[Tech Start Date]],9),""))))</f>
        <v/>
      </c>
      <c r="Q632" s="74">
        <v>40464</v>
      </c>
      <c r="R632" s="74"/>
      <c r="S632" s="72" t="s">
        <v>11</v>
      </c>
      <c r="T632" s="80" t="s">
        <v>4</v>
      </c>
      <c r="U632" s="72" t="s">
        <v>14</v>
      </c>
      <c r="V632" s="72" t="s">
        <v>1920</v>
      </c>
      <c r="W632" s="72" t="s">
        <v>1923</v>
      </c>
      <c r="X632" s="72" t="s">
        <v>2836</v>
      </c>
      <c r="Y632" s="72" t="s">
        <v>2959</v>
      </c>
      <c r="Z632" s="72" t="s">
        <v>4</v>
      </c>
      <c r="AA632" s="146" t="s">
        <v>2836</v>
      </c>
    </row>
    <row r="633" spans="1:27" ht="18.600000000000001" customHeight="1">
      <c r="A633" s="139" t="str">
        <f>IF(priority(Main[[#This Row],[Comments]])&lt;&gt;0, priority(Main[[#This Row],[Comments]]),"")</f>
        <v/>
      </c>
      <c r="B633" s="89" t="s">
        <v>1469</v>
      </c>
      <c r="C633" s="72" t="s">
        <v>72</v>
      </c>
      <c r="D633" s="73" t="s">
        <v>549</v>
      </c>
      <c r="E633" s="74"/>
      <c r="F633" s="74">
        <v>40030</v>
      </c>
      <c r="G633" s="75" t="str">
        <f>IF(stdProdLT(Main[[#This Row],[Comments]])=0.1,"N/A",IF(stdProdLT(Main[[#This Row],[Comments]])=0,"",stdProdLT(Main[[#This Row],[Comments]])))</f>
        <v/>
      </c>
      <c r="H633" s="76" t="str">
        <f>IF(AND(Main[[#This Row],[In Stock Date]]&lt;&gt;"",Main[[#This Row],[Revised Due Date]]&lt;&gt;""),Main[[#This Row],[In Stock Date]]-Main[[#This Row],[Revised Due Date]],"")</f>
        <v/>
      </c>
      <c r="I633" s="72" t="s">
        <v>4</v>
      </c>
      <c r="J633" s="72" t="s">
        <v>4</v>
      </c>
      <c r="K633" s="72" t="s">
        <v>4</v>
      </c>
      <c r="L633" s="74"/>
      <c r="M633" s="77" t="str">
        <f>IF(Main[[#This Row],[Tech Start Date]]&lt;1/1/1990,"",IF(Main[[#This Row],[Class]]="C",WORKDAY(Main[[#This Row],[Tech Start Date]],9),IF(Main[[#This Row],[Class]]="B", WORKDAY(Main[[#This Row],[Tech Start Date]],6),IF(Main[[#This Row],[Class]]="A",WORKDAY(Main[[#This Row],[Tech Start Date]],2),""))))</f>
        <v/>
      </c>
      <c r="N633" s="77" t="str">
        <f>IF(Main[[#This Row],[Tech Start Date]]&lt;1/1/1990,"",IF(Main[[#This Row],[Class]]="C",WORKDAY(Main[[#This Row],[Tech Start Date]],19),IF(Main[[#This Row],[Class]]="B", WORKDAY(Main[[#This Row],[Tech Start Date]],12),IF(Main[[#This Row],[Class]]="A",WORKDAY(Main[[#This Row],[Tech Start Date]],4),""))))</f>
        <v/>
      </c>
      <c r="O633" s="77" t="str">
        <f>IF(Main[[#This Row],[Tech Start Date]]&lt;1/1/1990,"",IF(Main[[#This Row],[Class]]="C",WORKDAY(Main[[#This Row],[Tech Start Date]],23),IF(Main[[#This Row],[Class]]="B", WORKDAY(Main[[#This Row],[Tech Start Date]],15),IF(Main[[#This Row],[Class]]="A",WORKDAY(Main[[#This Row],[Tech Start Date]],5),""))))</f>
        <v/>
      </c>
      <c r="P633" s="77" t="str">
        <f>IF(Main[[#This Row],[Tech Start Date]]&lt;1/1/1990,"",IF(Main[[#This Row],[Class]]="C",WORKDAY(Main[[#This Row],[Tech Start Date]],28),IF(Main[[#This Row],[Class]]="B", WORKDAY(Main[[#This Row],[Tech Start Date]],19),IF(Main[[#This Row],[Class]]="A",WORKDAY(Main[[#This Row],[Tech Start Date]],9),""))))</f>
        <v/>
      </c>
      <c r="Q633" s="74">
        <v>39959</v>
      </c>
      <c r="R633" s="74"/>
      <c r="S633" s="72" t="s">
        <v>11</v>
      </c>
      <c r="T633" s="80" t="s">
        <v>4</v>
      </c>
      <c r="U633" s="72" t="s">
        <v>14</v>
      </c>
      <c r="V633" s="72" t="s">
        <v>1927</v>
      </c>
      <c r="W633" s="72" t="s">
        <v>4</v>
      </c>
      <c r="X633" s="72" t="s">
        <v>2830</v>
      </c>
      <c r="Y633" s="72" t="s">
        <v>2949</v>
      </c>
      <c r="Z633" s="72" t="s">
        <v>4</v>
      </c>
      <c r="AA633" s="146" t="s">
        <v>2830</v>
      </c>
    </row>
    <row r="634" spans="1:27" ht="18.600000000000001" customHeight="1">
      <c r="A634" s="139" t="str">
        <f>IF(priority(Main[[#This Row],[Comments]])&lt;&gt;0, priority(Main[[#This Row],[Comments]]),"")</f>
        <v/>
      </c>
      <c r="B634" s="89" t="s">
        <v>1471</v>
      </c>
      <c r="C634" s="72" t="s">
        <v>4</v>
      </c>
      <c r="D634" s="73" t="s">
        <v>550</v>
      </c>
      <c r="E634" s="74"/>
      <c r="F634" s="74"/>
      <c r="G634" s="75" t="str">
        <f>IF(stdProdLT(Main[[#This Row],[Comments]])=0.1,"N/A",IF(stdProdLT(Main[[#This Row],[Comments]])=0,"",stdProdLT(Main[[#This Row],[Comments]])))</f>
        <v/>
      </c>
      <c r="H634" s="76" t="str">
        <f>IF(AND(Main[[#This Row],[In Stock Date]]&lt;&gt;"",Main[[#This Row],[Revised Due Date]]&lt;&gt;""),Main[[#This Row],[In Stock Date]]-Main[[#This Row],[Revised Due Date]],"")</f>
        <v/>
      </c>
      <c r="I634" s="72" t="s">
        <v>4</v>
      </c>
      <c r="J634" s="72" t="s">
        <v>4</v>
      </c>
      <c r="K634" s="72" t="s">
        <v>4</v>
      </c>
      <c r="L634" s="74"/>
      <c r="M634" s="77" t="str">
        <f>IF(Main[[#This Row],[Tech Start Date]]&lt;1/1/1990,"",IF(Main[[#This Row],[Class]]="C",WORKDAY(Main[[#This Row],[Tech Start Date]],9),IF(Main[[#This Row],[Class]]="B", WORKDAY(Main[[#This Row],[Tech Start Date]],6),IF(Main[[#This Row],[Class]]="A",WORKDAY(Main[[#This Row],[Tech Start Date]],2),""))))</f>
        <v/>
      </c>
      <c r="N634" s="77" t="str">
        <f>IF(Main[[#This Row],[Tech Start Date]]&lt;1/1/1990,"",IF(Main[[#This Row],[Class]]="C",WORKDAY(Main[[#This Row],[Tech Start Date]],19),IF(Main[[#This Row],[Class]]="B", WORKDAY(Main[[#This Row],[Tech Start Date]],12),IF(Main[[#This Row],[Class]]="A",WORKDAY(Main[[#This Row],[Tech Start Date]],4),""))))</f>
        <v/>
      </c>
      <c r="O634" s="77" t="str">
        <f>IF(Main[[#This Row],[Tech Start Date]]&lt;1/1/1990,"",IF(Main[[#This Row],[Class]]="C",WORKDAY(Main[[#This Row],[Tech Start Date]],23),IF(Main[[#This Row],[Class]]="B", WORKDAY(Main[[#This Row],[Tech Start Date]],15),IF(Main[[#This Row],[Class]]="A",WORKDAY(Main[[#This Row],[Tech Start Date]],5),""))))</f>
        <v/>
      </c>
      <c r="P634" s="77" t="str">
        <f>IF(Main[[#This Row],[Tech Start Date]]&lt;1/1/1990,"",IF(Main[[#This Row],[Class]]="C",WORKDAY(Main[[#This Row],[Tech Start Date]],28),IF(Main[[#This Row],[Class]]="B", WORKDAY(Main[[#This Row],[Tech Start Date]],19),IF(Main[[#This Row],[Class]]="A",WORKDAY(Main[[#This Row],[Tech Start Date]],9),""))))</f>
        <v/>
      </c>
      <c r="Q634" s="74"/>
      <c r="R634" s="74"/>
      <c r="S634" s="72" t="s">
        <v>6</v>
      </c>
      <c r="T634" s="80" t="s">
        <v>4</v>
      </c>
      <c r="U634" s="72" t="s">
        <v>14</v>
      </c>
      <c r="V634" s="72" t="s">
        <v>1920</v>
      </c>
      <c r="W634" s="72" t="s">
        <v>4</v>
      </c>
      <c r="X634" s="72" t="s">
        <v>2893</v>
      </c>
      <c r="Y634" s="72" t="s">
        <v>3049</v>
      </c>
      <c r="Z634" s="72" t="s">
        <v>4</v>
      </c>
      <c r="AA634" s="146" t="s">
        <v>2893</v>
      </c>
    </row>
    <row r="635" spans="1:27" ht="18.600000000000001" customHeight="1">
      <c r="A635" s="139" t="str">
        <f>IF(priority(Main[[#This Row],[Comments]])&lt;&gt;0, priority(Main[[#This Row],[Comments]]),"")</f>
        <v/>
      </c>
      <c r="B635" s="89" t="s">
        <v>1472</v>
      </c>
      <c r="C635" s="72" t="s">
        <v>33</v>
      </c>
      <c r="D635" s="73" t="s">
        <v>551</v>
      </c>
      <c r="E635" s="74"/>
      <c r="F635" s="74"/>
      <c r="G635" s="75" t="str">
        <f>IF(stdProdLT(Main[[#This Row],[Comments]])=0.1,"N/A",IF(stdProdLT(Main[[#This Row],[Comments]])=0,"",stdProdLT(Main[[#This Row],[Comments]])))</f>
        <v/>
      </c>
      <c r="H635" s="76" t="str">
        <f>IF(AND(Main[[#This Row],[In Stock Date]]&lt;&gt;"",Main[[#This Row],[Revised Due Date]]&lt;&gt;""),Main[[#This Row],[In Stock Date]]-Main[[#This Row],[Revised Due Date]],"")</f>
        <v/>
      </c>
      <c r="I635" s="72" t="s">
        <v>4</v>
      </c>
      <c r="J635" s="72" t="s">
        <v>4</v>
      </c>
      <c r="K635" s="72" t="s">
        <v>4</v>
      </c>
      <c r="L635" s="74"/>
      <c r="M635" s="77" t="str">
        <f>IF(Main[[#This Row],[Tech Start Date]]&lt;1/1/1990,"",IF(Main[[#This Row],[Class]]="C",WORKDAY(Main[[#This Row],[Tech Start Date]],9),IF(Main[[#This Row],[Class]]="B", WORKDAY(Main[[#This Row],[Tech Start Date]],6),IF(Main[[#This Row],[Class]]="A",WORKDAY(Main[[#This Row],[Tech Start Date]],2),""))))</f>
        <v/>
      </c>
      <c r="N635" s="77" t="str">
        <f>IF(Main[[#This Row],[Tech Start Date]]&lt;1/1/1990,"",IF(Main[[#This Row],[Class]]="C",WORKDAY(Main[[#This Row],[Tech Start Date]],19),IF(Main[[#This Row],[Class]]="B", WORKDAY(Main[[#This Row],[Tech Start Date]],12),IF(Main[[#This Row],[Class]]="A",WORKDAY(Main[[#This Row],[Tech Start Date]],4),""))))</f>
        <v/>
      </c>
      <c r="O635" s="77" t="str">
        <f>IF(Main[[#This Row],[Tech Start Date]]&lt;1/1/1990,"",IF(Main[[#This Row],[Class]]="C",WORKDAY(Main[[#This Row],[Tech Start Date]],23),IF(Main[[#This Row],[Class]]="B", WORKDAY(Main[[#This Row],[Tech Start Date]],15),IF(Main[[#This Row],[Class]]="A",WORKDAY(Main[[#This Row],[Tech Start Date]],5),""))))</f>
        <v/>
      </c>
      <c r="P635" s="77" t="str">
        <f>IF(Main[[#This Row],[Tech Start Date]]&lt;1/1/1990,"",IF(Main[[#This Row],[Class]]="C",WORKDAY(Main[[#This Row],[Tech Start Date]],28),IF(Main[[#This Row],[Class]]="B", WORKDAY(Main[[#This Row],[Tech Start Date]],19),IF(Main[[#This Row],[Class]]="A",WORKDAY(Main[[#This Row],[Tech Start Date]],9),""))))</f>
        <v/>
      </c>
      <c r="Q635" s="74">
        <v>40004</v>
      </c>
      <c r="R635" s="74"/>
      <c r="S635" s="72" t="s">
        <v>11</v>
      </c>
      <c r="T635" s="80" t="s">
        <v>4</v>
      </c>
      <c r="U635" s="72" t="s">
        <v>14</v>
      </c>
      <c r="V635" s="72" t="s">
        <v>1917</v>
      </c>
      <c r="W635" s="72" t="s">
        <v>1925</v>
      </c>
      <c r="X635" s="72" t="s">
        <v>2859</v>
      </c>
      <c r="Y635" s="72" t="s">
        <v>2997</v>
      </c>
      <c r="Z635" s="72" t="s">
        <v>4</v>
      </c>
      <c r="AA635" s="146" t="s">
        <v>2859</v>
      </c>
    </row>
    <row r="636" spans="1:27" ht="18.600000000000001" customHeight="1">
      <c r="A636" s="139" t="str">
        <f>IF(priority(Main[[#This Row],[Comments]])&lt;&gt;0, priority(Main[[#This Row],[Comments]]),"")</f>
        <v/>
      </c>
      <c r="B636" s="89" t="s">
        <v>1473</v>
      </c>
      <c r="C636" s="72" t="s">
        <v>552</v>
      </c>
      <c r="D636" s="73" t="s">
        <v>553</v>
      </c>
      <c r="E636" s="74"/>
      <c r="F636" s="74"/>
      <c r="G636" s="75" t="str">
        <f>IF(stdProdLT(Main[[#This Row],[Comments]])=0.1,"N/A",IF(stdProdLT(Main[[#This Row],[Comments]])=0,"",stdProdLT(Main[[#This Row],[Comments]])))</f>
        <v/>
      </c>
      <c r="H636" s="76" t="str">
        <f>IF(AND(Main[[#This Row],[In Stock Date]]&lt;&gt;"",Main[[#This Row],[Revised Due Date]]&lt;&gt;""),Main[[#This Row],[In Stock Date]]-Main[[#This Row],[Revised Due Date]],"")</f>
        <v/>
      </c>
      <c r="I636" s="72" t="s">
        <v>554</v>
      </c>
      <c r="J636" s="72" t="s">
        <v>28</v>
      </c>
      <c r="K636" s="72" t="s">
        <v>4</v>
      </c>
      <c r="L636" s="74"/>
      <c r="M636" s="77" t="str">
        <f>IF(Main[[#This Row],[Tech Start Date]]&lt;1/1/1990,"",IF(Main[[#This Row],[Class]]="C",WORKDAY(Main[[#This Row],[Tech Start Date]],9),IF(Main[[#This Row],[Class]]="B", WORKDAY(Main[[#This Row],[Tech Start Date]],6),IF(Main[[#This Row],[Class]]="A",WORKDAY(Main[[#This Row],[Tech Start Date]],2),""))))</f>
        <v/>
      </c>
      <c r="N636" s="77" t="str">
        <f>IF(Main[[#This Row],[Tech Start Date]]&lt;1/1/1990,"",IF(Main[[#This Row],[Class]]="C",WORKDAY(Main[[#This Row],[Tech Start Date]],19),IF(Main[[#This Row],[Class]]="B", WORKDAY(Main[[#This Row],[Tech Start Date]],12),IF(Main[[#This Row],[Class]]="A",WORKDAY(Main[[#This Row],[Tech Start Date]],4),""))))</f>
        <v/>
      </c>
      <c r="O636" s="77" t="str">
        <f>IF(Main[[#This Row],[Tech Start Date]]&lt;1/1/1990,"",IF(Main[[#This Row],[Class]]="C",WORKDAY(Main[[#This Row],[Tech Start Date]],23),IF(Main[[#This Row],[Class]]="B", WORKDAY(Main[[#This Row],[Tech Start Date]],15),IF(Main[[#This Row],[Class]]="A",WORKDAY(Main[[#This Row],[Tech Start Date]],5),""))))</f>
        <v/>
      </c>
      <c r="P636" s="77" t="str">
        <f>IF(Main[[#This Row],[Tech Start Date]]&lt;1/1/1990,"",IF(Main[[#This Row],[Class]]="C",WORKDAY(Main[[#This Row],[Tech Start Date]],28),IF(Main[[#This Row],[Class]]="B", WORKDAY(Main[[#This Row],[Tech Start Date]],19),IF(Main[[#This Row],[Class]]="A",WORKDAY(Main[[#This Row],[Tech Start Date]],9),""))))</f>
        <v/>
      </c>
      <c r="Q636" s="74">
        <v>40401</v>
      </c>
      <c r="R636" s="74"/>
      <c r="S636" s="72" t="s">
        <v>11</v>
      </c>
      <c r="T636" s="80" t="s">
        <v>4</v>
      </c>
      <c r="U636" s="72" t="s">
        <v>14</v>
      </c>
      <c r="V636" s="72" t="s">
        <v>1927</v>
      </c>
      <c r="W636" s="72" t="s">
        <v>1919</v>
      </c>
      <c r="X636" s="72" t="s">
        <v>2860</v>
      </c>
      <c r="Y636" s="72" t="s">
        <v>3060</v>
      </c>
      <c r="Z636" s="72" t="s">
        <v>530</v>
      </c>
      <c r="AA636" s="146" t="s">
        <v>2860</v>
      </c>
    </row>
    <row r="637" spans="1:27" ht="18.600000000000001" customHeight="1">
      <c r="A637" s="139" t="str">
        <f>IF(priority(Main[[#This Row],[Comments]])&lt;&gt;0, priority(Main[[#This Row],[Comments]]),"")</f>
        <v/>
      </c>
      <c r="B637" s="89" t="s">
        <v>1474</v>
      </c>
      <c r="C637" s="72" t="s">
        <v>4</v>
      </c>
      <c r="D637" s="73" t="s">
        <v>555</v>
      </c>
      <c r="E637" s="74"/>
      <c r="F637" s="74"/>
      <c r="G637" s="75" t="str">
        <f>IF(stdProdLT(Main[[#This Row],[Comments]])=0.1,"N/A",IF(stdProdLT(Main[[#This Row],[Comments]])=0,"",stdProdLT(Main[[#This Row],[Comments]])))</f>
        <v/>
      </c>
      <c r="H637" s="76" t="str">
        <f>IF(AND(Main[[#This Row],[In Stock Date]]&lt;&gt;"",Main[[#This Row],[Revised Due Date]]&lt;&gt;""),Main[[#This Row],[In Stock Date]]-Main[[#This Row],[Revised Due Date]],"")</f>
        <v/>
      </c>
      <c r="I637" s="72" t="s">
        <v>4</v>
      </c>
      <c r="J637" s="72" t="s">
        <v>4</v>
      </c>
      <c r="K637" s="72" t="s">
        <v>4</v>
      </c>
      <c r="L637" s="74"/>
      <c r="M637" s="77" t="str">
        <f>IF(Main[[#This Row],[Tech Start Date]]&lt;1/1/1990,"",IF(Main[[#This Row],[Class]]="C",WORKDAY(Main[[#This Row],[Tech Start Date]],9),IF(Main[[#This Row],[Class]]="B", WORKDAY(Main[[#This Row],[Tech Start Date]],6),IF(Main[[#This Row],[Class]]="A",WORKDAY(Main[[#This Row],[Tech Start Date]],2),""))))</f>
        <v/>
      </c>
      <c r="N637" s="77" t="str">
        <f>IF(Main[[#This Row],[Tech Start Date]]&lt;1/1/1990,"",IF(Main[[#This Row],[Class]]="C",WORKDAY(Main[[#This Row],[Tech Start Date]],19),IF(Main[[#This Row],[Class]]="B", WORKDAY(Main[[#This Row],[Tech Start Date]],12),IF(Main[[#This Row],[Class]]="A",WORKDAY(Main[[#This Row],[Tech Start Date]],4),""))))</f>
        <v/>
      </c>
      <c r="O637" s="77" t="str">
        <f>IF(Main[[#This Row],[Tech Start Date]]&lt;1/1/1990,"",IF(Main[[#This Row],[Class]]="C",WORKDAY(Main[[#This Row],[Tech Start Date]],23),IF(Main[[#This Row],[Class]]="B", WORKDAY(Main[[#This Row],[Tech Start Date]],15),IF(Main[[#This Row],[Class]]="A",WORKDAY(Main[[#This Row],[Tech Start Date]],5),""))))</f>
        <v/>
      </c>
      <c r="P637" s="77" t="str">
        <f>IF(Main[[#This Row],[Tech Start Date]]&lt;1/1/1990,"",IF(Main[[#This Row],[Class]]="C",WORKDAY(Main[[#This Row],[Tech Start Date]],28),IF(Main[[#This Row],[Class]]="B", WORKDAY(Main[[#This Row],[Tech Start Date]],19),IF(Main[[#This Row],[Class]]="A",WORKDAY(Main[[#This Row],[Tech Start Date]],9),""))))</f>
        <v/>
      </c>
      <c r="Q637" s="74">
        <v>40385</v>
      </c>
      <c r="R637" s="74"/>
      <c r="S637" s="72" t="s">
        <v>6</v>
      </c>
      <c r="T637" s="80" t="s">
        <v>4</v>
      </c>
      <c r="U637" s="72" t="s">
        <v>14</v>
      </c>
      <c r="V637" s="72" t="s">
        <v>1917</v>
      </c>
      <c r="W637" s="72" t="s">
        <v>1919</v>
      </c>
      <c r="X637" s="72" t="s">
        <v>102</v>
      </c>
      <c r="Y637" s="72" t="s">
        <v>3038</v>
      </c>
      <c r="Z637" s="72" t="s">
        <v>4</v>
      </c>
      <c r="AA637" s="146" t="s">
        <v>3408</v>
      </c>
    </row>
    <row r="638" spans="1:27" ht="18.600000000000001" customHeight="1">
      <c r="A638" s="139" t="str">
        <f>IF(priority(Main[[#This Row],[Comments]])&lt;&gt;0, priority(Main[[#This Row],[Comments]]),"")</f>
        <v/>
      </c>
      <c r="B638" s="89" t="s">
        <v>1476</v>
      </c>
      <c r="C638" s="72" t="s">
        <v>4</v>
      </c>
      <c r="D638" s="73" t="s">
        <v>97</v>
      </c>
      <c r="E638" s="74"/>
      <c r="F638" s="74"/>
      <c r="G638" s="75" t="str">
        <f>IF(stdProdLT(Main[[#This Row],[Comments]])=0.1,"N/A",IF(stdProdLT(Main[[#This Row],[Comments]])=0,"",stdProdLT(Main[[#This Row],[Comments]])))</f>
        <v/>
      </c>
      <c r="H638" s="76" t="str">
        <f>IF(AND(Main[[#This Row],[In Stock Date]]&lt;&gt;"",Main[[#This Row],[Revised Due Date]]&lt;&gt;""),Main[[#This Row],[In Stock Date]]-Main[[#This Row],[Revised Due Date]],"")</f>
        <v/>
      </c>
      <c r="I638" s="72" t="s">
        <v>4</v>
      </c>
      <c r="J638" s="72" t="s">
        <v>4</v>
      </c>
      <c r="K638" s="72" t="s">
        <v>4</v>
      </c>
      <c r="L638" s="74"/>
      <c r="M638" s="77" t="str">
        <f>IF(Main[[#This Row],[Tech Start Date]]&lt;1/1/1990,"",IF(Main[[#This Row],[Class]]="C",WORKDAY(Main[[#This Row],[Tech Start Date]],9),IF(Main[[#This Row],[Class]]="B", WORKDAY(Main[[#This Row],[Tech Start Date]],6),IF(Main[[#This Row],[Class]]="A",WORKDAY(Main[[#This Row],[Tech Start Date]],2),""))))</f>
        <v/>
      </c>
      <c r="N638" s="77" t="str">
        <f>IF(Main[[#This Row],[Tech Start Date]]&lt;1/1/1990,"",IF(Main[[#This Row],[Class]]="C",WORKDAY(Main[[#This Row],[Tech Start Date]],19),IF(Main[[#This Row],[Class]]="B", WORKDAY(Main[[#This Row],[Tech Start Date]],12),IF(Main[[#This Row],[Class]]="A",WORKDAY(Main[[#This Row],[Tech Start Date]],4),""))))</f>
        <v/>
      </c>
      <c r="O638" s="77" t="str">
        <f>IF(Main[[#This Row],[Tech Start Date]]&lt;1/1/1990,"",IF(Main[[#This Row],[Class]]="C",WORKDAY(Main[[#This Row],[Tech Start Date]],23),IF(Main[[#This Row],[Class]]="B", WORKDAY(Main[[#This Row],[Tech Start Date]],15),IF(Main[[#This Row],[Class]]="A",WORKDAY(Main[[#This Row],[Tech Start Date]],5),""))))</f>
        <v/>
      </c>
      <c r="P638" s="77" t="str">
        <f>IF(Main[[#This Row],[Tech Start Date]]&lt;1/1/1990,"",IF(Main[[#This Row],[Class]]="C",WORKDAY(Main[[#This Row],[Tech Start Date]],28),IF(Main[[#This Row],[Class]]="B", WORKDAY(Main[[#This Row],[Tech Start Date]],19),IF(Main[[#This Row],[Class]]="A",WORKDAY(Main[[#This Row],[Tech Start Date]],9),""))))</f>
        <v/>
      </c>
      <c r="Q638" s="74">
        <v>40858</v>
      </c>
      <c r="R638" s="74"/>
      <c r="S638" s="72" t="s">
        <v>17</v>
      </c>
      <c r="T638" s="80" t="s">
        <v>4</v>
      </c>
      <c r="U638" s="72" t="s">
        <v>14</v>
      </c>
      <c r="V638" s="72" t="s">
        <v>1917</v>
      </c>
      <c r="W638" s="72" t="s">
        <v>1922</v>
      </c>
      <c r="X638" s="72" t="s">
        <v>50</v>
      </c>
      <c r="Y638" s="72" t="s">
        <v>2965</v>
      </c>
      <c r="Z638" s="72" t="s">
        <v>4</v>
      </c>
      <c r="AA638" s="146" t="s">
        <v>2834</v>
      </c>
    </row>
    <row r="639" spans="1:27" ht="18.600000000000001" customHeight="1">
      <c r="A639" s="139" t="str">
        <f>IF(priority(Main[[#This Row],[Comments]])&lt;&gt;0, priority(Main[[#This Row],[Comments]]),"")</f>
        <v/>
      </c>
      <c r="B639" s="89" t="s">
        <v>1477</v>
      </c>
      <c r="C639" s="72" t="s">
        <v>4</v>
      </c>
      <c r="D639" s="73" t="s">
        <v>556</v>
      </c>
      <c r="E639" s="74">
        <v>40382.376319444447</v>
      </c>
      <c r="F639" s="74"/>
      <c r="G639" s="75" t="str">
        <f>IF(stdProdLT(Main[[#This Row],[Comments]])=0.1,"N/A",IF(stdProdLT(Main[[#This Row],[Comments]])=0,"",stdProdLT(Main[[#This Row],[Comments]])))</f>
        <v/>
      </c>
      <c r="H639" s="76" t="str">
        <f>IF(AND(Main[[#This Row],[In Stock Date]]&lt;&gt;"",Main[[#This Row],[Revised Due Date]]&lt;&gt;""),Main[[#This Row],[In Stock Date]]-Main[[#This Row],[Revised Due Date]],"")</f>
        <v/>
      </c>
      <c r="I639" s="72" t="s">
        <v>4</v>
      </c>
      <c r="J639" s="72" t="s">
        <v>4</v>
      </c>
      <c r="K639" s="72" t="s">
        <v>4</v>
      </c>
      <c r="L639" s="74"/>
      <c r="M639" s="77" t="str">
        <f>IF(Main[[#This Row],[Tech Start Date]]&lt;1/1/1990,"",IF(Main[[#This Row],[Class]]="C",WORKDAY(Main[[#This Row],[Tech Start Date]],9),IF(Main[[#This Row],[Class]]="B", WORKDAY(Main[[#This Row],[Tech Start Date]],6),IF(Main[[#This Row],[Class]]="A",WORKDAY(Main[[#This Row],[Tech Start Date]],2),""))))</f>
        <v/>
      </c>
      <c r="N639" s="77" t="str">
        <f>IF(Main[[#This Row],[Tech Start Date]]&lt;1/1/1990,"",IF(Main[[#This Row],[Class]]="C",WORKDAY(Main[[#This Row],[Tech Start Date]],19),IF(Main[[#This Row],[Class]]="B", WORKDAY(Main[[#This Row],[Tech Start Date]],12),IF(Main[[#This Row],[Class]]="A",WORKDAY(Main[[#This Row],[Tech Start Date]],4),""))))</f>
        <v/>
      </c>
      <c r="O639" s="77" t="str">
        <f>IF(Main[[#This Row],[Tech Start Date]]&lt;1/1/1990,"",IF(Main[[#This Row],[Class]]="C",WORKDAY(Main[[#This Row],[Tech Start Date]],23),IF(Main[[#This Row],[Class]]="B", WORKDAY(Main[[#This Row],[Tech Start Date]],15),IF(Main[[#This Row],[Class]]="A",WORKDAY(Main[[#This Row],[Tech Start Date]],5),""))))</f>
        <v/>
      </c>
      <c r="P639" s="77" t="str">
        <f>IF(Main[[#This Row],[Tech Start Date]]&lt;1/1/1990,"",IF(Main[[#This Row],[Class]]="C",WORKDAY(Main[[#This Row],[Tech Start Date]],28),IF(Main[[#This Row],[Class]]="B", WORKDAY(Main[[#This Row],[Tech Start Date]],19),IF(Main[[#This Row],[Class]]="A",WORKDAY(Main[[#This Row],[Tech Start Date]],9),""))))</f>
        <v/>
      </c>
      <c r="Q639" s="74">
        <v>40451</v>
      </c>
      <c r="R639" s="74"/>
      <c r="S639" s="72" t="s">
        <v>6</v>
      </c>
      <c r="T639" s="80" t="s">
        <v>4</v>
      </c>
      <c r="U639" s="72" t="s">
        <v>7</v>
      </c>
      <c r="V639" s="72" t="s">
        <v>1917</v>
      </c>
      <c r="W639" s="72" t="s">
        <v>4</v>
      </c>
      <c r="X639" s="72" t="s">
        <v>2893</v>
      </c>
      <c r="Y639" s="72" t="s">
        <v>3049</v>
      </c>
      <c r="Z639" s="72" t="s">
        <v>4</v>
      </c>
      <c r="AA639" s="146" t="s">
        <v>2893</v>
      </c>
    </row>
    <row r="640" spans="1:27" ht="18.600000000000001" customHeight="1">
      <c r="A640" s="139" t="str">
        <f>IF(priority(Main[[#This Row],[Comments]])&lt;&gt;0, priority(Main[[#This Row],[Comments]]),"")</f>
        <v/>
      </c>
      <c r="B640" s="89" t="s">
        <v>1478</v>
      </c>
      <c r="C640" s="72" t="s">
        <v>180</v>
      </c>
      <c r="D640" s="73" t="s">
        <v>557</v>
      </c>
      <c r="E640" s="74"/>
      <c r="F640" s="74">
        <v>40389</v>
      </c>
      <c r="G640" s="75" t="str">
        <f>IF(stdProdLT(Main[[#This Row],[Comments]])=0.1,"N/A",IF(stdProdLT(Main[[#This Row],[Comments]])=0,"",stdProdLT(Main[[#This Row],[Comments]])))</f>
        <v/>
      </c>
      <c r="H640" s="76" t="str">
        <f>IF(AND(Main[[#This Row],[In Stock Date]]&lt;&gt;"",Main[[#This Row],[Revised Due Date]]&lt;&gt;""),Main[[#This Row],[In Stock Date]]-Main[[#This Row],[Revised Due Date]],"")</f>
        <v/>
      </c>
      <c r="I640" s="72" t="s">
        <v>4</v>
      </c>
      <c r="J640" s="72" t="s">
        <v>4</v>
      </c>
      <c r="K640" s="72" t="s">
        <v>4</v>
      </c>
      <c r="L640" s="74"/>
      <c r="M640" s="77" t="str">
        <f>IF(Main[[#This Row],[Tech Start Date]]&lt;1/1/1990,"",IF(Main[[#This Row],[Class]]="C",WORKDAY(Main[[#This Row],[Tech Start Date]],9),IF(Main[[#This Row],[Class]]="B", WORKDAY(Main[[#This Row],[Tech Start Date]],6),IF(Main[[#This Row],[Class]]="A",WORKDAY(Main[[#This Row],[Tech Start Date]],2),""))))</f>
        <v/>
      </c>
      <c r="N640" s="77" t="str">
        <f>IF(Main[[#This Row],[Tech Start Date]]&lt;1/1/1990,"",IF(Main[[#This Row],[Class]]="C",WORKDAY(Main[[#This Row],[Tech Start Date]],19),IF(Main[[#This Row],[Class]]="B", WORKDAY(Main[[#This Row],[Tech Start Date]],12),IF(Main[[#This Row],[Class]]="A",WORKDAY(Main[[#This Row],[Tech Start Date]],4),""))))</f>
        <v/>
      </c>
      <c r="O640" s="77" t="str">
        <f>IF(Main[[#This Row],[Tech Start Date]]&lt;1/1/1990,"",IF(Main[[#This Row],[Class]]="C",WORKDAY(Main[[#This Row],[Tech Start Date]],23),IF(Main[[#This Row],[Class]]="B", WORKDAY(Main[[#This Row],[Tech Start Date]],15),IF(Main[[#This Row],[Class]]="A",WORKDAY(Main[[#This Row],[Tech Start Date]],5),""))))</f>
        <v/>
      </c>
      <c r="P640" s="77" t="str">
        <f>IF(Main[[#This Row],[Tech Start Date]]&lt;1/1/1990,"",IF(Main[[#This Row],[Class]]="C",WORKDAY(Main[[#This Row],[Tech Start Date]],28),IF(Main[[#This Row],[Class]]="B", WORKDAY(Main[[#This Row],[Tech Start Date]],19),IF(Main[[#This Row],[Class]]="A",WORKDAY(Main[[#This Row],[Tech Start Date]],9),""))))</f>
        <v/>
      </c>
      <c r="Q640" s="74">
        <v>40298</v>
      </c>
      <c r="R640" s="74"/>
      <c r="S640" s="72" t="s">
        <v>11</v>
      </c>
      <c r="T640" s="80" t="s">
        <v>4</v>
      </c>
      <c r="U640" s="72" t="s">
        <v>14</v>
      </c>
      <c r="V640" s="72" t="s">
        <v>1917</v>
      </c>
      <c r="W640" s="72" t="s">
        <v>1923</v>
      </c>
      <c r="X640" s="72" t="s">
        <v>2830</v>
      </c>
      <c r="Y640" s="72" t="s">
        <v>2949</v>
      </c>
      <c r="Z640" s="72" t="s">
        <v>4</v>
      </c>
      <c r="AA640" s="146" t="s">
        <v>2830</v>
      </c>
    </row>
    <row r="641" spans="1:27" ht="18.600000000000001" customHeight="1">
      <c r="A641" s="139" t="str">
        <f>IF(priority(Main[[#This Row],[Comments]])&lt;&gt;0, priority(Main[[#This Row],[Comments]]),"")</f>
        <v/>
      </c>
      <c r="B641" s="89" t="s">
        <v>1480</v>
      </c>
      <c r="C641" s="72" t="s">
        <v>573</v>
      </c>
      <c r="D641" s="73" t="s">
        <v>574</v>
      </c>
      <c r="E641" s="74"/>
      <c r="F641" s="74"/>
      <c r="G641" s="75" t="str">
        <f>IF(stdProdLT(Main[[#This Row],[Comments]])=0.1,"N/A",IF(stdProdLT(Main[[#This Row],[Comments]])=0,"",stdProdLT(Main[[#This Row],[Comments]])))</f>
        <v/>
      </c>
      <c r="H641" s="76" t="str">
        <f>IF(AND(Main[[#This Row],[In Stock Date]]&lt;&gt;"",Main[[#This Row],[Revised Due Date]]&lt;&gt;""),Main[[#This Row],[In Stock Date]]-Main[[#This Row],[Revised Due Date]],"")</f>
        <v/>
      </c>
      <c r="I641" s="72" t="s">
        <v>4</v>
      </c>
      <c r="J641" s="72" t="s">
        <v>4</v>
      </c>
      <c r="K641" s="72" t="s">
        <v>4</v>
      </c>
      <c r="L641" s="74"/>
      <c r="M641" s="77" t="str">
        <f>IF(Main[[#This Row],[Tech Start Date]]&lt;1/1/1990,"",IF(Main[[#This Row],[Class]]="C",WORKDAY(Main[[#This Row],[Tech Start Date]],9),IF(Main[[#This Row],[Class]]="B", WORKDAY(Main[[#This Row],[Tech Start Date]],6),IF(Main[[#This Row],[Class]]="A",WORKDAY(Main[[#This Row],[Tech Start Date]],2),""))))</f>
        <v/>
      </c>
      <c r="N641" s="77" t="str">
        <f>IF(Main[[#This Row],[Tech Start Date]]&lt;1/1/1990,"",IF(Main[[#This Row],[Class]]="C",WORKDAY(Main[[#This Row],[Tech Start Date]],19),IF(Main[[#This Row],[Class]]="B", WORKDAY(Main[[#This Row],[Tech Start Date]],12),IF(Main[[#This Row],[Class]]="A",WORKDAY(Main[[#This Row],[Tech Start Date]],4),""))))</f>
        <v/>
      </c>
      <c r="O641" s="77" t="str">
        <f>IF(Main[[#This Row],[Tech Start Date]]&lt;1/1/1990,"",IF(Main[[#This Row],[Class]]="C",WORKDAY(Main[[#This Row],[Tech Start Date]],23),IF(Main[[#This Row],[Class]]="B", WORKDAY(Main[[#This Row],[Tech Start Date]],15),IF(Main[[#This Row],[Class]]="A",WORKDAY(Main[[#This Row],[Tech Start Date]],5),""))))</f>
        <v/>
      </c>
      <c r="P641" s="77" t="str">
        <f>IF(Main[[#This Row],[Tech Start Date]]&lt;1/1/1990,"",IF(Main[[#This Row],[Class]]="C",WORKDAY(Main[[#This Row],[Tech Start Date]],28),IF(Main[[#This Row],[Class]]="B", WORKDAY(Main[[#This Row],[Tech Start Date]],19),IF(Main[[#This Row],[Class]]="A",WORKDAY(Main[[#This Row],[Tech Start Date]],9),""))))</f>
        <v/>
      </c>
      <c r="Q641" s="74">
        <v>40473</v>
      </c>
      <c r="R641" s="74"/>
      <c r="S641" s="72" t="s">
        <v>11</v>
      </c>
      <c r="T641" s="80" t="s">
        <v>4</v>
      </c>
      <c r="U641" s="72" t="s">
        <v>14</v>
      </c>
      <c r="V641" s="72" t="s">
        <v>1920</v>
      </c>
      <c r="W641" s="72" t="s">
        <v>1919</v>
      </c>
      <c r="X641" s="72" t="s">
        <v>554</v>
      </c>
      <c r="Y641" s="72" t="s">
        <v>4</v>
      </c>
      <c r="Z641" s="72" t="s">
        <v>4</v>
      </c>
      <c r="AA641" s="146" t="s">
        <v>554</v>
      </c>
    </row>
    <row r="642" spans="1:27" ht="18.600000000000001" customHeight="1">
      <c r="A642" s="139" t="str">
        <f>IF(priority(Main[[#This Row],[Comments]])&lt;&gt;0, priority(Main[[#This Row],[Comments]]),"")</f>
        <v/>
      </c>
      <c r="B642" s="89" t="s">
        <v>1481</v>
      </c>
      <c r="C642" s="72" t="s">
        <v>4</v>
      </c>
      <c r="D642" s="73" t="s">
        <v>575</v>
      </c>
      <c r="E642" s="74">
        <v>40463.687627314815</v>
      </c>
      <c r="F642" s="74"/>
      <c r="G642" s="75" t="str">
        <f>IF(stdProdLT(Main[[#This Row],[Comments]])=0.1,"N/A",IF(stdProdLT(Main[[#This Row],[Comments]])=0,"",stdProdLT(Main[[#This Row],[Comments]])))</f>
        <v/>
      </c>
      <c r="H642" s="76" t="str">
        <f>IF(AND(Main[[#This Row],[In Stock Date]]&lt;&gt;"",Main[[#This Row],[Revised Due Date]]&lt;&gt;""),Main[[#This Row],[In Stock Date]]-Main[[#This Row],[Revised Due Date]],"")</f>
        <v/>
      </c>
      <c r="I642" s="72" t="s">
        <v>4</v>
      </c>
      <c r="J642" s="72" t="s">
        <v>28</v>
      </c>
      <c r="K642" s="81" t="s">
        <v>4</v>
      </c>
      <c r="L642" s="74"/>
      <c r="M642" s="77" t="str">
        <f>IF(Main[[#This Row],[Tech Start Date]]&lt;1/1/1990,"",IF(Main[[#This Row],[Class]]="C",WORKDAY(Main[[#This Row],[Tech Start Date]],9),IF(Main[[#This Row],[Class]]="B", WORKDAY(Main[[#This Row],[Tech Start Date]],6),IF(Main[[#This Row],[Class]]="A",WORKDAY(Main[[#This Row],[Tech Start Date]],2),""))))</f>
        <v/>
      </c>
      <c r="N642" s="77" t="str">
        <f>IF(Main[[#This Row],[Tech Start Date]]&lt;1/1/1990,"",IF(Main[[#This Row],[Class]]="C",WORKDAY(Main[[#This Row],[Tech Start Date]],19),IF(Main[[#This Row],[Class]]="B", WORKDAY(Main[[#This Row],[Tech Start Date]],12),IF(Main[[#This Row],[Class]]="A",WORKDAY(Main[[#This Row],[Tech Start Date]],4),""))))</f>
        <v/>
      </c>
      <c r="O642" s="77" t="str">
        <f>IF(Main[[#This Row],[Tech Start Date]]&lt;1/1/1990,"",IF(Main[[#This Row],[Class]]="C",WORKDAY(Main[[#This Row],[Tech Start Date]],23),IF(Main[[#This Row],[Class]]="B", WORKDAY(Main[[#This Row],[Tech Start Date]],15),IF(Main[[#This Row],[Class]]="A",WORKDAY(Main[[#This Row],[Tech Start Date]],5),""))))</f>
        <v/>
      </c>
      <c r="P642" s="77" t="str">
        <f>IF(Main[[#This Row],[Tech Start Date]]&lt;1/1/1990,"",IF(Main[[#This Row],[Class]]="C",WORKDAY(Main[[#This Row],[Tech Start Date]],28),IF(Main[[#This Row],[Class]]="B", WORKDAY(Main[[#This Row],[Tech Start Date]],19),IF(Main[[#This Row],[Class]]="A",WORKDAY(Main[[#This Row],[Tech Start Date]],9),""))))</f>
        <v/>
      </c>
      <c r="Q642" s="74"/>
      <c r="R642" s="74"/>
      <c r="S642" s="72" t="s">
        <v>6</v>
      </c>
      <c r="T642" s="80" t="s">
        <v>4</v>
      </c>
      <c r="U642" s="72" t="s">
        <v>7</v>
      </c>
      <c r="V642" s="72" t="s">
        <v>1917</v>
      </c>
      <c r="W642" s="72" t="s">
        <v>1925</v>
      </c>
      <c r="X642" s="72" t="s">
        <v>885</v>
      </c>
      <c r="Y642" s="72" t="s">
        <v>2969</v>
      </c>
      <c r="Z642" s="72" t="s">
        <v>129</v>
      </c>
      <c r="AA642" s="146" t="s">
        <v>885</v>
      </c>
    </row>
    <row r="643" spans="1:27" ht="18.600000000000001" customHeight="1">
      <c r="A643" s="139" t="str">
        <f>IF(priority(Main[[#This Row],[Comments]])&lt;&gt;0, priority(Main[[#This Row],[Comments]]),"")</f>
        <v/>
      </c>
      <c r="B643" s="89" t="s">
        <v>2728</v>
      </c>
      <c r="C643" s="72" t="s">
        <v>122</v>
      </c>
      <c r="D643" s="73" t="s">
        <v>2729</v>
      </c>
      <c r="E643" s="74">
        <v>40889.572662037041</v>
      </c>
      <c r="F643" s="74"/>
      <c r="G643" s="75" t="str">
        <f>IF(stdProdLT(Main[[#This Row],[Comments]])=0.1,"N/A",IF(stdProdLT(Main[[#This Row],[Comments]])=0,"",stdProdLT(Main[[#This Row],[Comments]])))</f>
        <v/>
      </c>
      <c r="H643" s="76" t="str">
        <f>IF(AND(Main[[#This Row],[In Stock Date]]&lt;&gt;"",Main[[#This Row],[Revised Due Date]]&lt;&gt;""),Main[[#This Row],[In Stock Date]]-Main[[#This Row],[Revised Due Date]],"")</f>
        <v/>
      </c>
      <c r="I643" s="72" t="s">
        <v>4</v>
      </c>
      <c r="J643" s="72" t="s">
        <v>4</v>
      </c>
      <c r="K643" s="72" t="s">
        <v>4</v>
      </c>
      <c r="L643" s="74"/>
      <c r="M643" s="77" t="str">
        <f>IF(Main[[#This Row],[Tech Start Date]]&lt;1/1/1990,"",IF(Main[[#This Row],[Class]]="C",WORKDAY(Main[[#This Row],[Tech Start Date]],9),IF(Main[[#This Row],[Class]]="B", WORKDAY(Main[[#This Row],[Tech Start Date]],6),IF(Main[[#This Row],[Class]]="A",WORKDAY(Main[[#This Row],[Tech Start Date]],2),""))))</f>
        <v/>
      </c>
      <c r="N643" s="77" t="str">
        <f>IF(Main[[#This Row],[Tech Start Date]]&lt;1/1/1990,"",IF(Main[[#This Row],[Class]]="C",WORKDAY(Main[[#This Row],[Tech Start Date]],19),IF(Main[[#This Row],[Class]]="B", WORKDAY(Main[[#This Row],[Tech Start Date]],12),IF(Main[[#This Row],[Class]]="A",WORKDAY(Main[[#This Row],[Tech Start Date]],4),""))))</f>
        <v/>
      </c>
      <c r="O643" s="77" t="str">
        <f>IF(Main[[#This Row],[Tech Start Date]]&lt;1/1/1990,"",IF(Main[[#This Row],[Class]]="C",WORKDAY(Main[[#This Row],[Tech Start Date]],23),IF(Main[[#This Row],[Class]]="B", WORKDAY(Main[[#This Row],[Tech Start Date]],15),IF(Main[[#This Row],[Class]]="A",WORKDAY(Main[[#This Row],[Tech Start Date]],5),""))))</f>
        <v/>
      </c>
      <c r="P643" s="77" t="str">
        <f>IF(Main[[#This Row],[Tech Start Date]]&lt;1/1/1990,"",IF(Main[[#This Row],[Class]]="C",WORKDAY(Main[[#This Row],[Tech Start Date]],28),IF(Main[[#This Row],[Class]]="B", WORKDAY(Main[[#This Row],[Tech Start Date]],19),IF(Main[[#This Row],[Class]]="A",WORKDAY(Main[[#This Row],[Tech Start Date]],9),""))))</f>
        <v/>
      </c>
      <c r="Q643" s="74">
        <v>40910</v>
      </c>
      <c r="R643" s="74"/>
      <c r="S643" s="72" t="s">
        <v>6</v>
      </c>
      <c r="T643" s="80" t="s">
        <v>4</v>
      </c>
      <c r="U643" s="72" t="s">
        <v>7</v>
      </c>
      <c r="V643" s="72" t="s">
        <v>1917</v>
      </c>
      <c r="W643" s="72" t="s">
        <v>1923</v>
      </c>
      <c r="X643" s="72" t="s">
        <v>885</v>
      </c>
      <c r="Y643" s="72" t="s">
        <v>2969</v>
      </c>
      <c r="Z643" s="72" t="s">
        <v>4</v>
      </c>
      <c r="AA643" s="146" t="s">
        <v>885</v>
      </c>
    </row>
    <row r="644" spans="1:27" ht="18.600000000000001" customHeight="1">
      <c r="A644" s="139" t="str">
        <f>IF(priority(Main[[#This Row],[Comments]])&lt;&gt;0, priority(Main[[#This Row],[Comments]]),"")</f>
        <v/>
      </c>
      <c r="B644" s="89" t="s">
        <v>1125</v>
      </c>
      <c r="C644" s="72" t="s">
        <v>4</v>
      </c>
      <c r="D644" s="73" t="s">
        <v>175</v>
      </c>
      <c r="E644" s="74">
        <v>40421.149710648147</v>
      </c>
      <c r="F644" s="74"/>
      <c r="G644" s="75" t="str">
        <f>IF(stdProdLT(Main[[#This Row],[Comments]])=0.1,"N/A",IF(stdProdLT(Main[[#This Row],[Comments]])=0,"",stdProdLT(Main[[#This Row],[Comments]])))</f>
        <v/>
      </c>
      <c r="H644" s="76" t="str">
        <f>IF(AND(Main[[#This Row],[In Stock Date]]&lt;&gt;"",Main[[#This Row],[Revised Due Date]]&lt;&gt;""),Main[[#This Row],[In Stock Date]]-Main[[#This Row],[Revised Due Date]],"")</f>
        <v/>
      </c>
      <c r="I644" s="72" t="s">
        <v>81</v>
      </c>
      <c r="J644" s="72" t="s">
        <v>52</v>
      </c>
      <c r="K644" s="72" t="s">
        <v>4</v>
      </c>
      <c r="L644" s="74"/>
      <c r="M644" s="77" t="str">
        <f>IF(Main[[#This Row],[Tech Start Date]]&lt;1/1/1990,"",IF(Main[[#This Row],[Class]]="C",WORKDAY(Main[[#This Row],[Tech Start Date]],9),IF(Main[[#This Row],[Class]]="B", WORKDAY(Main[[#This Row],[Tech Start Date]],6),IF(Main[[#This Row],[Class]]="A",WORKDAY(Main[[#This Row],[Tech Start Date]],2),""))))</f>
        <v/>
      </c>
      <c r="N644" s="77" t="str">
        <f>IF(Main[[#This Row],[Tech Start Date]]&lt;1/1/1990,"",IF(Main[[#This Row],[Class]]="C",WORKDAY(Main[[#This Row],[Tech Start Date]],19),IF(Main[[#This Row],[Class]]="B", WORKDAY(Main[[#This Row],[Tech Start Date]],12),IF(Main[[#This Row],[Class]]="A",WORKDAY(Main[[#This Row],[Tech Start Date]],4),""))))</f>
        <v/>
      </c>
      <c r="O644" s="77" t="str">
        <f>IF(Main[[#This Row],[Tech Start Date]]&lt;1/1/1990,"",IF(Main[[#This Row],[Class]]="C",WORKDAY(Main[[#This Row],[Tech Start Date]],23),IF(Main[[#This Row],[Class]]="B", WORKDAY(Main[[#This Row],[Tech Start Date]],15),IF(Main[[#This Row],[Class]]="A",WORKDAY(Main[[#This Row],[Tech Start Date]],5),""))))</f>
        <v/>
      </c>
      <c r="P644" s="77" t="str">
        <f>IF(Main[[#This Row],[Tech Start Date]]&lt;1/1/1990,"",IF(Main[[#This Row],[Class]]="C",WORKDAY(Main[[#This Row],[Tech Start Date]],28),IF(Main[[#This Row],[Class]]="B", WORKDAY(Main[[#This Row],[Tech Start Date]],19),IF(Main[[#This Row],[Class]]="A",WORKDAY(Main[[#This Row],[Tech Start Date]],9),""))))</f>
        <v/>
      </c>
      <c r="Q644" s="74">
        <v>40451</v>
      </c>
      <c r="R644" s="74"/>
      <c r="S644" s="72" t="s">
        <v>6</v>
      </c>
      <c r="T644" s="80" t="s">
        <v>4</v>
      </c>
      <c r="U644" s="72" t="s">
        <v>29</v>
      </c>
      <c r="V644" s="72" t="s">
        <v>1927</v>
      </c>
      <c r="W644" s="72" t="s">
        <v>1919</v>
      </c>
      <c r="X644" s="72" t="s">
        <v>2828</v>
      </c>
      <c r="Y644" s="72" t="s">
        <v>2944</v>
      </c>
      <c r="Z644" s="72" t="s">
        <v>415</v>
      </c>
      <c r="AA644" s="146" t="s">
        <v>2828</v>
      </c>
    </row>
    <row r="645" spans="1:27" ht="18.600000000000001" customHeight="1">
      <c r="A645" s="139" t="str">
        <f>IF(priority(Main[[#This Row],[Comments]])&lt;&gt;0, priority(Main[[#This Row],[Comments]]),"")</f>
        <v/>
      </c>
      <c r="B645" s="123" t="s">
        <v>1482</v>
      </c>
      <c r="C645" s="116" t="s">
        <v>230</v>
      </c>
      <c r="D645" s="117" t="s">
        <v>564</v>
      </c>
      <c r="E645" s="118"/>
      <c r="F645" s="118">
        <v>40662</v>
      </c>
      <c r="G645" s="119" t="str">
        <f>IF(stdProdLT(Main[[#This Row],[Comments]])=0.1,"N/A",IF(stdProdLT(Main[[#This Row],[Comments]])=0,"",stdProdLT(Main[[#This Row],[Comments]])))</f>
        <v/>
      </c>
      <c r="H645" s="120" t="str">
        <f>IF(AND(Main[[#This Row],[In Stock Date]]&lt;&gt;"",Main[[#This Row],[Revised Due Date]]&lt;&gt;""),Main[[#This Row],[In Stock Date]]-Main[[#This Row],[Revised Due Date]],"")</f>
        <v/>
      </c>
      <c r="I645" s="116" t="s">
        <v>4</v>
      </c>
      <c r="J645" s="116" t="s">
        <v>4</v>
      </c>
      <c r="K645" s="116" t="s">
        <v>4</v>
      </c>
      <c r="L645" s="118"/>
      <c r="M645" s="121" t="str">
        <f>IF(Main[[#This Row],[Tech Start Date]]&lt;1/1/1990,"",IF(Main[[#This Row],[Class]]="C",WORKDAY(Main[[#This Row],[Tech Start Date]],9),IF(Main[[#This Row],[Class]]="B", WORKDAY(Main[[#This Row],[Tech Start Date]],6),IF(Main[[#This Row],[Class]]="A",WORKDAY(Main[[#This Row],[Tech Start Date]],2),""))))</f>
        <v/>
      </c>
      <c r="N645" s="121" t="str">
        <f>IF(Main[[#This Row],[Tech Start Date]]&lt;1/1/1990,"",IF(Main[[#This Row],[Class]]="C",WORKDAY(Main[[#This Row],[Tech Start Date]],19),IF(Main[[#This Row],[Class]]="B", WORKDAY(Main[[#This Row],[Tech Start Date]],12),IF(Main[[#This Row],[Class]]="A",WORKDAY(Main[[#This Row],[Tech Start Date]],4),""))))</f>
        <v/>
      </c>
      <c r="O645" s="121" t="str">
        <f>IF(Main[[#This Row],[Tech Start Date]]&lt;1/1/1990,"",IF(Main[[#This Row],[Class]]="C",WORKDAY(Main[[#This Row],[Tech Start Date]],23),IF(Main[[#This Row],[Class]]="B", WORKDAY(Main[[#This Row],[Tech Start Date]],15),IF(Main[[#This Row],[Class]]="A",WORKDAY(Main[[#This Row],[Tech Start Date]],5),""))))</f>
        <v/>
      </c>
      <c r="P645" s="121" t="str">
        <f>IF(Main[[#This Row],[Tech Start Date]]&lt;1/1/1990,"",IF(Main[[#This Row],[Class]]="C",WORKDAY(Main[[#This Row],[Tech Start Date]],28),IF(Main[[#This Row],[Class]]="B", WORKDAY(Main[[#This Row],[Tech Start Date]],19),IF(Main[[#This Row],[Class]]="A",WORKDAY(Main[[#This Row],[Tech Start Date]],9),""))))</f>
        <v/>
      </c>
      <c r="Q645" s="118">
        <v>40480</v>
      </c>
      <c r="R645" s="118"/>
      <c r="S645" s="116" t="s">
        <v>11</v>
      </c>
      <c r="T645" s="122" t="s">
        <v>4</v>
      </c>
      <c r="U645" s="116" t="s">
        <v>14</v>
      </c>
      <c r="V645" s="116" t="s">
        <v>1920</v>
      </c>
      <c r="W645" s="116" t="s">
        <v>1925</v>
      </c>
      <c r="X645" s="116" t="s">
        <v>2866</v>
      </c>
      <c r="Y645" s="116" t="s">
        <v>4</v>
      </c>
      <c r="Z645" s="116" t="s">
        <v>4</v>
      </c>
      <c r="AA645" s="146" t="s">
        <v>2866</v>
      </c>
    </row>
    <row r="646" spans="1:27" ht="18.600000000000001" customHeight="1">
      <c r="A646" s="139" t="str">
        <f>IF(priority(Main[[#This Row],[Comments]])&lt;&gt;0, priority(Main[[#This Row],[Comments]]),"")</f>
        <v/>
      </c>
      <c r="B646" s="89" t="s">
        <v>1483</v>
      </c>
      <c r="C646" s="72" t="s">
        <v>4</v>
      </c>
      <c r="D646" s="73" t="s">
        <v>39</v>
      </c>
      <c r="E646" s="74"/>
      <c r="F646" s="74"/>
      <c r="G646" s="75" t="str">
        <f>IF(stdProdLT(Main[[#This Row],[Comments]])=0.1,"N/A",IF(stdProdLT(Main[[#This Row],[Comments]])=0,"",stdProdLT(Main[[#This Row],[Comments]])))</f>
        <v/>
      </c>
      <c r="H646" s="76" t="str">
        <f>IF(AND(Main[[#This Row],[In Stock Date]]&lt;&gt;"",Main[[#This Row],[Revised Due Date]]&lt;&gt;""),Main[[#This Row],[In Stock Date]]-Main[[#This Row],[Revised Due Date]],"")</f>
        <v/>
      </c>
      <c r="I646" s="72" t="s">
        <v>4</v>
      </c>
      <c r="J646" s="72" t="s">
        <v>4</v>
      </c>
      <c r="K646" s="72" t="s">
        <v>4</v>
      </c>
      <c r="L646" s="74"/>
      <c r="M646" s="77" t="str">
        <f>IF(Main[[#This Row],[Tech Start Date]]&lt;1/1/1990,"",IF(Main[[#This Row],[Class]]="C",WORKDAY(Main[[#This Row],[Tech Start Date]],9),IF(Main[[#This Row],[Class]]="B", WORKDAY(Main[[#This Row],[Tech Start Date]],6),IF(Main[[#This Row],[Class]]="A",WORKDAY(Main[[#This Row],[Tech Start Date]],2),""))))</f>
        <v/>
      </c>
      <c r="N646" s="77" t="str">
        <f>IF(Main[[#This Row],[Tech Start Date]]&lt;1/1/1990,"",IF(Main[[#This Row],[Class]]="C",WORKDAY(Main[[#This Row],[Tech Start Date]],19),IF(Main[[#This Row],[Class]]="B", WORKDAY(Main[[#This Row],[Tech Start Date]],12),IF(Main[[#This Row],[Class]]="A",WORKDAY(Main[[#This Row],[Tech Start Date]],4),""))))</f>
        <v/>
      </c>
      <c r="O646" s="77" t="str">
        <f>IF(Main[[#This Row],[Tech Start Date]]&lt;1/1/1990,"",IF(Main[[#This Row],[Class]]="C",WORKDAY(Main[[#This Row],[Tech Start Date]],23),IF(Main[[#This Row],[Class]]="B", WORKDAY(Main[[#This Row],[Tech Start Date]],15),IF(Main[[#This Row],[Class]]="A",WORKDAY(Main[[#This Row],[Tech Start Date]],5),""))))</f>
        <v/>
      </c>
      <c r="P646" s="77" t="str">
        <f>IF(Main[[#This Row],[Tech Start Date]]&lt;1/1/1990,"",IF(Main[[#This Row],[Class]]="C",WORKDAY(Main[[#This Row],[Tech Start Date]],28),IF(Main[[#This Row],[Class]]="B", WORKDAY(Main[[#This Row],[Tech Start Date]],19),IF(Main[[#This Row],[Class]]="A",WORKDAY(Main[[#This Row],[Tech Start Date]],9),""))))</f>
        <v/>
      </c>
      <c r="Q646" s="74">
        <v>40669</v>
      </c>
      <c r="R646" s="74"/>
      <c r="S646" s="72" t="s">
        <v>6</v>
      </c>
      <c r="T646" s="80" t="s">
        <v>4</v>
      </c>
      <c r="U646" s="72" t="s">
        <v>14</v>
      </c>
      <c r="V646" s="72" t="s">
        <v>1920</v>
      </c>
      <c r="W646" s="72" t="s">
        <v>4</v>
      </c>
      <c r="X646" s="72" t="s">
        <v>2824</v>
      </c>
      <c r="Y646" s="72" t="s">
        <v>2935</v>
      </c>
      <c r="Z646" s="72" t="s">
        <v>4</v>
      </c>
      <c r="AA646" s="146" t="s">
        <v>2824</v>
      </c>
    </row>
    <row r="647" spans="1:27" ht="18.600000000000001" customHeight="1">
      <c r="A647" s="139" t="str">
        <f>IF(priority(Main[[#This Row],[Comments]])&lt;&gt;0, priority(Main[[#This Row],[Comments]]),"")</f>
        <v/>
      </c>
      <c r="B647" s="89" t="s">
        <v>1484</v>
      </c>
      <c r="C647" s="72" t="s">
        <v>565</v>
      </c>
      <c r="D647" s="73" t="s">
        <v>566</v>
      </c>
      <c r="E647" s="74"/>
      <c r="F647" s="74">
        <v>40168</v>
      </c>
      <c r="G647" s="75" t="str">
        <f>IF(stdProdLT(Main[[#This Row],[Comments]])=0.1,"N/A",IF(stdProdLT(Main[[#This Row],[Comments]])=0,"",stdProdLT(Main[[#This Row],[Comments]])))</f>
        <v/>
      </c>
      <c r="H647" s="76" t="str">
        <f>IF(AND(Main[[#This Row],[In Stock Date]]&lt;&gt;"",Main[[#This Row],[Revised Due Date]]&lt;&gt;""),Main[[#This Row],[In Stock Date]]-Main[[#This Row],[Revised Due Date]],"")</f>
        <v/>
      </c>
      <c r="I647" s="72" t="s">
        <v>4</v>
      </c>
      <c r="J647" s="72" t="s">
        <v>4</v>
      </c>
      <c r="K647" s="81" t="s">
        <v>4</v>
      </c>
      <c r="L647" s="74"/>
      <c r="M647" s="77" t="str">
        <f>IF(Main[[#This Row],[Tech Start Date]]&lt;1/1/1990,"",IF(Main[[#This Row],[Class]]="C",WORKDAY(Main[[#This Row],[Tech Start Date]],9),IF(Main[[#This Row],[Class]]="B", WORKDAY(Main[[#This Row],[Tech Start Date]],6),IF(Main[[#This Row],[Class]]="A",WORKDAY(Main[[#This Row],[Tech Start Date]],2),""))))</f>
        <v/>
      </c>
      <c r="N647" s="77" t="str">
        <f>IF(Main[[#This Row],[Tech Start Date]]&lt;1/1/1990,"",IF(Main[[#This Row],[Class]]="C",WORKDAY(Main[[#This Row],[Tech Start Date]],19),IF(Main[[#This Row],[Class]]="B", WORKDAY(Main[[#This Row],[Tech Start Date]],12),IF(Main[[#This Row],[Class]]="A",WORKDAY(Main[[#This Row],[Tech Start Date]],4),""))))</f>
        <v/>
      </c>
      <c r="O647" s="77" t="str">
        <f>IF(Main[[#This Row],[Tech Start Date]]&lt;1/1/1990,"",IF(Main[[#This Row],[Class]]="C",WORKDAY(Main[[#This Row],[Tech Start Date]],23),IF(Main[[#This Row],[Class]]="B", WORKDAY(Main[[#This Row],[Tech Start Date]],15),IF(Main[[#This Row],[Class]]="A",WORKDAY(Main[[#This Row],[Tech Start Date]],5),""))))</f>
        <v/>
      </c>
      <c r="P647" s="77" t="str">
        <f>IF(Main[[#This Row],[Tech Start Date]]&lt;1/1/1990,"",IF(Main[[#This Row],[Class]]="C",WORKDAY(Main[[#This Row],[Tech Start Date]],28),IF(Main[[#This Row],[Class]]="B", WORKDAY(Main[[#This Row],[Tech Start Date]],19),IF(Main[[#This Row],[Class]]="A",WORKDAY(Main[[#This Row],[Tech Start Date]],9),""))))</f>
        <v/>
      </c>
      <c r="Q647" s="74"/>
      <c r="R647" s="74"/>
      <c r="S647" s="72" t="s">
        <v>17</v>
      </c>
      <c r="T647" s="80" t="s">
        <v>4</v>
      </c>
      <c r="U647" s="72" t="s">
        <v>14</v>
      </c>
      <c r="V647" s="72" t="s">
        <v>1918</v>
      </c>
      <c r="W647" s="72" t="s">
        <v>4</v>
      </c>
      <c r="X647" s="72" t="s">
        <v>2867</v>
      </c>
      <c r="Y647" s="72" t="s">
        <v>4</v>
      </c>
      <c r="Z647" s="72" t="s">
        <v>4</v>
      </c>
      <c r="AA647" s="146" t="s">
        <v>4</v>
      </c>
    </row>
    <row r="648" spans="1:27" ht="18.600000000000001" customHeight="1">
      <c r="A648" s="139" t="str">
        <f>IF(priority(Main[[#This Row],[Comments]])&lt;&gt;0, priority(Main[[#This Row],[Comments]]),"")</f>
        <v/>
      </c>
      <c r="B648" s="89" t="s">
        <v>1485</v>
      </c>
      <c r="C648" s="72" t="s">
        <v>567</v>
      </c>
      <c r="D648" s="73" t="s">
        <v>568</v>
      </c>
      <c r="E648" s="74"/>
      <c r="F648" s="74">
        <v>40389</v>
      </c>
      <c r="G648" s="75" t="str">
        <f>IF(stdProdLT(Main[[#This Row],[Comments]])=0.1,"N/A",IF(stdProdLT(Main[[#This Row],[Comments]])=0,"",stdProdLT(Main[[#This Row],[Comments]])))</f>
        <v/>
      </c>
      <c r="H648" s="76" t="str">
        <f>IF(AND(Main[[#This Row],[In Stock Date]]&lt;&gt;"",Main[[#This Row],[Revised Due Date]]&lt;&gt;""),Main[[#This Row],[In Stock Date]]-Main[[#This Row],[Revised Due Date]],"")</f>
        <v/>
      </c>
      <c r="I648" s="72" t="s">
        <v>4</v>
      </c>
      <c r="J648" s="72" t="s">
        <v>75</v>
      </c>
      <c r="K648" s="72" t="s">
        <v>4</v>
      </c>
      <c r="L648" s="74"/>
      <c r="M648" s="77" t="str">
        <f>IF(Main[[#This Row],[Tech Start Date]]&lt;1/1/1990,"",IF(Main[[#This Row],[Class]]="C",WORKDAY(Main[[#This Row],[Tech Start Date]],9),IF(Main[[#This Row],[Class]]="B", WORKDAY(Main[[#This Row],[Tech Start Date]],6),IF(Main[[#This Row],[Class]]="A",WORKDAY(Main[[#This Row],[Tech Start Date]],2),""))))</f>
        <v/>
      </c>
      <c r="N648" s="77" t="str">
        <f>IF(Main[[#This Row],[Tech Start Date]]&lt;1/1/1990,"",IF(Main[[#This Row],[Class]]="C",WORKDAY(Main[[#This Row],[Tech Start Date]],19),IF(Main[[#This Row],[Class]]="B", WORKDAY(Main[[#This Row],[Tech Start Date]],12),IF(Main[[#This Row],[Class]]="A",WORKDAY(Main[[#This Row],[Tech Start Date]],4),""))))</f>
        <v/>
      </c>
      <c r="O648" s="77" t="str">
        <f>IF(Main[[#This Row],[Tech Start Date]]&lt;1/1/1990,"",IF(Main[[#This Row],[Class]]="C",WORKDAY(Main[[#This Row],[Tech Start Date]],23),IF(Main[[#This Row],[Class]]="B", WORKDAY(Main[[#This Row],[Tech Start Date]],15),IF(Main[[#This Row],[Class]]="A",WORKDAY(Main[[#This Row],[Tech Start Date]],5),""))))</f>
        <v/>
      </c>
      <c r="P648" s="77" t="str">
        <f>IF(Main[[#This Row],[Tech Start Date]]&lt;1/1/1990,"",IF(Main[[#This Row],[Class]]="C",WORKDAY(Main[[#This Row],[Tech Start Date]],28),IF(Main[[#This Row],[Class]]="B", WORKDAY(Main[[#This Row],[Tech Start Date]],19),IF(Main[[#This Row],[Class]]="A",WORKDAY(Main[[#This Row],[Tech Start Date]],9),""))))</f>
        <v/>
      </c>
      <c r="Q648" s="74">
        <v>40298</v>
      </c>
      <c r="R648" s="74"/>
      <c r="S648" s="72" t="s">
        <v>11</v>
      </c>
      <c r="T648" s="80" t="s">
        <v>4</v>
      </c>
      <c r="U648" s="72" t="s">
        <v>14</v>
      </c>
      <c r="V648" s="72" t="s">
        <v>1917</v>
      </c>
      <c r="W648" s="72" t="s">
        <v>1923</v>
      </c>
      <c r="X648" s="72" t="s">
        <v>2830</v>
      </c>
      <c r="Y648" s="72" t="s">
        <v>2949</v>
      </c>
      <c r="Z648" s="72" t="s">
        <v>306</v>
      </c>
      <c r="AA648" s="146" t="s">
        <v>2830</v>
      </c>
    </row>
    <row r="649" spans="1:27" ht="18.600000000000001" customHeight="1">
      <c r="A649" s="139" t="str">
        <f>IF(priority(Main[[#This Row],[Comments]])&lt;&gt;0, priority(Main[[#This Row],[Comments]]),"")</f>
        <v/>
      </c>
      <c r="B649" s="89" t="s">
        <v>1486</v>
      </c>
      <c r="C649" s="72" t="s">
        <v>93</v>
      </c>
      <c r="D649" s="73" t="s">
        <v>569</v>
      </c>
      <c r="E649" s="74"/>
      <c r="F649" s="74">
        <v>40132</v>
      </c>
      <c r="G649" s="75" t="str">
        <f>IF(stdProdLT(Main[[#This Row],[Comments]])=0.1,"N/A",IF(stdProdLT(Main[[#This Row],[Comments]])=0,"",stdProdLT(Main[[#This Row],[Comments]])))</f>
        <v/>
      </c>
      <c r="H649" s="76" t="str">
        <f>IF(AND(Main[[#This Row],[In Stock Date]]&lt;&gt;"",Main[[#This Row],[Revised Due Date]]&lt;&gt;""),Main[[#This Row],[In Stock Date]]-Main[[#This Row],[Revised Due Date]],"")</f>
        <v/>
      </c>
      <c r="I649" s="72" t="s">
        <v>4</v>
      </c>
      <c r="J649" s="72" t="s">
        <v>4</v>
      </c>
      <c r="K649" s="72" t="s">
        <v>4</v>
      </c>
      <c r="L649" s="74"/>
      <c r="M649" s="77" t="str">
        <f>IF(Main[[#This Row],[Tech Start Date]]&lt;1/1/1990,"",IF(Main[[#This Row],[Class]]="C",WORKDAY(Main[[#This Row],[Tech Start Date]],9),IF(Main[[#This Row],[Class]]="B", WORKDAY(Main[[#This Row],[Tech Start Date]],6),IF(Main[[#This Row],[Class]]="A",WORKDAY(Main[[#This Row],[Tech Start Date]],2),""))))</f>
        <v/>
      </c>
      <c r="N649" s="77" t="str">
        <f>IF(Main[[#This Row],[Tech Start Date]]&lt;1/1/1990,"",IF(Main[[#This Row],[Class]]="C",WORKDAY(Main[[#This Row],[Tech Start Date]],19),IF(Main[[#This Row],[Class]]="B", WORKDAY(Main[[#This Row],[Tech Start Date]],12),IF(Main[[#This Row],[Class]]="A",WORKDAY(Main[[#This Row],[Tech Start Date]],4),""))))</f>
        <v/>
      </c>
      <c r="O649" s="77" t="str">
        <f>IF(Main[[#This Row],[Tech Start Date]]&lt;1/1/1990,"",IF(Main[[#This Row],[Class]]="C",WORKDAY(Main[[#This Row],[Tech Start Date]],23),IF(Main[[#This Row],[Class]]="B", WORKDAY(Main[[#This Row],[Tech Start Date]],15),IF(Main[[#This Row],[Class]]="A",WORKDAY(Main[[#This Row],[Tech Start Date]],5),""))))</f>
        <v/>
      </c>
      <c r="P649" s="77" t="str">
        <f>IF(Main[[#This Row],[Tech Start Date]]&lt;1/1/1990,"",IF(Main[[#This Row],[Class]]="C",WORKDAY(Main[[#This Row],[Tech Start Date]],28),IF(Main[[#This Row],[Class]]="B", WORKDAY(Main[[#This Row],[Tech Start Date]],19),IF(Main[[#This Row],[Class]]="A",WORKDAY(Main[[#This Row],[Tech Start Date]],9),""))))</f>
        <v/>
      </c>
      <c r="Q649" s="74">
        <v>40132</v>
      </c>
      <c r="R649" s="74"/>
      <c r="S649" s="72" t="s">
        <v>11</v>
      </c>
      <c r="T649" s="80" t="s">
        <v>4</v>
      </c>
      <c r="U649" s="72" t="s">
        <v>14</v>
      </c>
      <c r="V649" s="72" t="s">
        <v>1927</v>
      </c>
      <c r="W649" s="72" t="s">
        <v>1928</v>
      </c>
      <c r="X649" s="72" t="s">
        <v>2862</v>
      </c>
      <c r="Y649" s="72" t="s">
        <v>4</v>
      </c>
      <c r="Z649" s="72" t="s">
        <v>4</v>
      </c>
      <c r="AA649" s="146" t="s">
        <v>2862</v>
      </c>
    </row>
    <row r="650" spans="1:27" ht="18.600000000000001" customHeight="1">
      <c r="A650" s="139" t="str">
        <f>IF(priority(Main[[#This Row],[Comments]])&lt;&gt;0, priority(Main[[#This Row],[Comments]]),"")</f>
        <v/>
      </c>
      <c r="B650" s="89" t="s">
        <v>1487</v>
      </c>
      <c r="C650" s="72" t="s">
        <v>93</v>
      </c>
      <c r="D650" s="73" t="s">
        <v>570</v>
      </c>
      <c r="E650" s="74"/>
      <c r="F650" s="74">
        <v>40132</v>
      </c>
      <c r="G650" s="75" t="str">
        <f>IF(stdProdLT(Main[[#This Row],[Comments]])=0.1,"N/A",IF(stdProdLT(Main[[#This Row],[Comments]])=0,"",stdProdLT(Main[[#This Row],[Comments]])))</f>
        <v/>
      </c>
      <c r="H650" s="76" t="str">
        <f>IF(AND(Main[[#This Row],[In Stock Date]]&lt;&gt;"",Main[[#This Row],[Revised Due Date]]&lt;&gt;""),Main[[#This Row],[In Stock Date]]-Main[[#This Row],[Revised Due Date]],"")</f>
        <v/>
      </c>
      <c r="I650" s="72" t="s">
        <v>4</v>
      </c>
      <c r="J650" s="72" t="s">
        <v>4</v>
      </c>
      <c r="K650" s="72" t="s">
        <v>4</v>
      </c>
      <c r="L650" s="74"/>
      <c r="M650" s="77" t="str">
        <f>IF(Main[[#This Row],[Tech Start Date]]&lt;1/1/1990,"",IF(Main[[#This Row],[Class]]="C",WORKDAY(Main[[#This Row],[Tech Start Date]],9),IF(Main[[#This Row],[Class]]="B", WORKDAY(Main[[#This Row],[Tech Start Date]],6),IF(Main[[#This Row],[Class]]="A",WORKDAY(Main[[#This Row],[Tech Start Date]],2),""))))</f>
        <v/>
      </c>
      <c r="N650" s="77" t="str">
        <f>IF(Main[[#This Row],[Tech Start Date]]&lt;1/1/1990,"",IF(Main[[#This Row],[Class]]="C",WORKDAY(Main[[#This Row],[Tech Start Date]],19),IF(Main[[#This Row],[Class]]="B", WORKDAY(Main[[#This Row],[Tech Start Date]],12),IF(Main[[#This Row],[Class]]="A",WORKDAY(Main[[#This Row],[Tech Start Date]],4),""))))</f>
        <v/>
      </c>
      <c r="O650" s="77" t="str">
        <f>IF(Main[[#This Row],[Tech Start Date]]&lt;1/1/1990,"",IF(Main[[#This Row],[Class]]="C",WORKDAY(Main[[#This Row],[Tech Start Date]],23),IF(Main[[#This Row],[Class]]="B", WORKDAY(Main[[#This Row],[Tech Start Date]],15),IF(Main[[#This Row],[Class]]="A",WORKDAY(Main[[#This Row],[Tech Start Date]],5),""))))</f>
        <v/>
      </c>
      <c r="P650" s="77" t="str">
        <f>IF(Main[[#This Row],[Tech Start Date]]&lt;1/1/1990,"",IF(Main[[#This Row],[Class]]="C",WORKDAY(Main[[#This Row],[Tech Start Date]],28),IF(Main[[#This Row],[Class]]="B", WORKDAY(Main[[#This Row],[Tech Start Date]],19),IF(Main[[#This Row],[Class]]="A",WORKDAY(Main[[#This Row],[Tech Start Date]],9),""))))</f>
        <v/>
      </c>
      <c r="Q650" s="74">
        <v>40132</v>
      </c>
      <c r="R650" s="74"/>
      <c r="S650" s="72" t="s">
        <v>11</v>
      </c>
      <c r="T650" s="80" t="s">
        <v>4</v>
      </c>
      <c r="U650" s="72" t="s">
        <v>14</v>
      </c>
      <c r="V650" s="72" t="s">
        <v>1927</v>
      </c>
      <c r="W650" s="72" t="s">
        <v>1928</v>
      </c>
      <c r="X650" s="72" t="s">
        <v>2862</v>
      </c>
      <c r="Y650" s="72" t="s">
        <v>4</v>
      </c>
      <c r="Z650" s="72" t="s">
        <v>4</v>
      </c>
      <c r="AA650" s="146" t="s">
        <v>2862</v>
      </c>
    </row>
    <row r="651" spans="1:27" ht="18.600000000000001" customHeight="1">
      <c r="A651" s="139" t="str">
        <f>IF(priority(Main[[#This Row],[Comments]])&lt;&gt;0, priority(Main[[#This Row],[Comments]]),"")</f>
        <v/>
      </c>
      <c r="B651" s="89" t="s">
        <v>1488</v>
      </c>
      <c r="C651" s="72" t="s">
        <v>465</v>
      </c>
      <c r="D651" s="73" t="s">
        <v>571</v>
      </c>
      <c r="E651" s="74"/>
      <c r="F651" s="74">
        <v>40179</v>
      </c>
      <c r="G651" s="75" t="str">
        <f>IF(stdProdLT(Main[[#This Row],[Comments]])=0.1,"N/A",IF(stdProdLT(Main[[#This Row],[Comments]])=0,"",stdProdLT(Main[[#This Row],[Comments]])))</f>
        <v/>
      </c>
      <c r="H651" s="76" t="str">
        <f>IF(AND(Main[[#This Row],[In Stock Date]]&lt;&gt;"",Main[[#This Row],[Revised Due Date]]&lt;&gt;""),Main[[#This Row],[In Stock Date]]-Main[[#This Row],[Revised Due Date]],"")</f>
        <v/>
      </c>
      <c r="I651" s="72" t="s">
        <v>4</v>
      </c>
      <c r="J651" s="72" t="s">
        <v>4</v>
      </c>
      <c r="K651" s="72" t="s">
        <v>4</v>
      </c>
      <c r="L651" s="74"/>
      <c r="M651" s="77" t="str">
        <f>IF(Main[[#This Row],[Tech Start Date]]&lt;1/1/1990,"",IF(Main[[#This Row],[Class]]="C",WORKDAY(Main[[#This Row],[Tech Start Date]],9),IF(Main[[#This Row],[Class]]="B", WORKDAY(Main[[#This Row],[Tech Start Date]],6),IF(Main[[#This Row],[Class]]="A",WORKDAY(Main[[#This Row],[Tech Start Date]],2),""))))</f>
        <v/>
      </c>
      <c r="N651" s="77" t="str">
        <f>IF(Main[[#This Row],[Tech Start Date]]&lt;1/1/1990,"",IF(Main[[#This Row],[Class]]="C",WORKDAY(Main[[#This Row],[Tech Start Date]],19),IF(Main[[#This Row],[Class]]="B", WORKDAY(Main[[#This Row],[Tech Start Date]],12),IF(Main[[#This Row],[Class]]="A",WORKDAY(Main[[#This Row],[Tech Start Date]],4),""))))</f>
        <v/>
      </c>
      <c r="O651" s="77" t="str">
        <f>IF(Main[[#This Row],[Tech Start Date]]&lt;1/1/1990,"",IF(Main[[#This Row],[Class]]="C",WORKDAY(Main[[#This Row],[Tech Start Date]],23),IF(Main[[#This Row],[Class]]="B", WORKDAY(Main[[#This Row],[Tech Start Date]],15),IF(Main[[#This Row],[Class]]="A",WORKDAY(Main[[#This Row],[Tech Start Date]],5),""))))</f>
        <v/>
      </c>
      <c r="P651" s="77" t="str">
        <f>IF(Main[[#This Row],[Tech Start Date]]&lt;1/1/1990,"",IF(Main[[#This Row],[Class]]="C",WORKDAY(Main[[#This Row],[Tech Start Date]],28),IF(Main[[#This Row],[Class]]="B", WORKDAY(Main[[#This Row],[Tech Start Date]],19),IF(Main[[#This Row],[Class]]="A",WORKDAY(Main[[#This Row],[Tech Start Date]],9),""))))</f>
        <v/>
      </c>
      <c r="Q651" s="74">
        <v>40164</v>
      </c>
      <c r="R651" s="74"/>
      <c r="S651" s="72" t="s">
        <v>11</v>
      </c>
      <c r="T651" s="80" t="s">
        <v>4</v>
      </c>
      <c r="U651" s="72" t="s">
        <v>14</v>
      </c>
      <c r="V651" s="72" t="s">
        <v>1920</v>
      </c>
      <c r="W651" s="72" t="s">
        <v>1923</v>
      </c>
      <c r="X651" s="72" t="s">
        <v>2869</v>
      </c>
      <c r="Y651" s="72" t="s">
        <v>4</v>
      </c>
      <c r="Z651" s="72" t="s">
        <v>4</v>
      </c>
      <c r="AA651" s="146" t="s">
        <v>2869</v>
      </c>
    </row>
    <row r="652" spans="1:27" ht="18.600000000000001" customHeight="1">
      <c r="A652" s="139" t="str">
        <f>IF(priority(Main[[#This Row],[Comments]])&lt;&gt;0, priority(Main[[#This Row],[Comments]]),"")</f>
        <v/>
      </c>
      <c r="B652" s="89" t="s">
        <v>1146</v>
      </c>
      <c r="C652" s="72" t="s">
        <v>4</v>
      </c>
      <c r="D652" s="73" t="s">
        <v>199</v>
      </c>
      <c r="E652" s="74"/>
      <c r="F652" s="74"/>
      <c r="G652" s="75" t="str">
        <f>IF(stdProdLT(Main[[#This Row],[Comments]])=0.1,"N/A",IF(stdProdLT(Main[[#This Row],[Comments]])=0,"",stdProdLT(Main[[#This Row],[Comments]])))</f>
        <v/>
      </c>
      <c r="H652" s="76" t="str">
        <f>IF(AND(Main[[#This Row],[In Stock Date]]&lt;&gt;"",Main[[#This Row],[Revised Due Date]]&lt;&gt;""),Main[[#This Row],[In Stock Date]]-Main[[#This Row],[Revised Due Date]],"")</f>
        <v/>
      </c>
      <c r="I652" s="72" t="s">
        <v>4</v>
      </c>
      <c r="J652" s="72" t="s">
        <v>4</v>
      </c>
      <c r="K652" s="72" t="s">
        <v>4</v>
      </c>
      <c r="L652" s="74"/>
      <c r="M652" s="77" t="str">
        <f>IF(Main[[#This Row],[Tech Start Date]]&lt;1/1/1990,"",IF(Main[[#This Row],[Class]]="C",WORKDAY(Main[[#This Row],[Tech Start Date]],9),IF(Main[[#This Row],[Class]]="B", WORKDAY(Main[[#This Row],[Tech Start Date]],6),IF(Main[[#This Row],[Class]]="A",WORKDAY(Main[[#This Row],[Tech Start Date]],2),""))))</f>
        <v/>
      </c>
      <c r="N652" s="77" t="str">
        <f>IF(Main[[#This Row],[Tech Start Date]]&lt;1/1/1990,"",IF(Main[[#This Row],[Class]]="C",WORKDAY(Main[[#This Row],[Tech Start Date]],19),IF(Main[[#This Row],[Class]]="B", WORKDAY(Main[[#This Row],[Tech Start Date]],12),IF(Main[[#This Row],[Class]]="A",WORKDAY(Main[[#This Row],[Tech Start Date]],4),""))))</f>
        <v/>
      </c>
      <c r="O652" s="77" t="str">
        <f>IF(Main[[#This Row],[Tech Start Date]]&lt;1/1/1990,"",IF(Main[[#This Row],[Class]]="C",WORKDAY(Main[[#This Row],[Tech Start Date]],23),IF(Main[[#This Row],[Class]]="B", WORKDAY(Main[[#This Row],[Tech Start Date]],15),IF(Main[[#This Row],[Class]]="A",WORKDAY(Main[[#This Row],[Tech Start Date]],5),""))))</f>
        <v/>
      </c>
      <c r="P652" s="77" t="str">
        <f>IF(Main[[#This Row],[Tech Start Date]]&lt;1/1/1990,"",IF(Main[[#This Row],[Class]]="C",WORKDAY(Main[[#This Row],[Tech Start Date]],28),IF(Main[[#This Row],[Class]]="B", WORKDAY(Main[[#This Row],[Tech Start Date]],19),IF(Main[[#This Row],[Class]]="A",WORKDAY(Main[[#This Row],[Tech Start Date]],9),""))))</f>
        <v/>
      </c>
      <c r="Q652" s="74">
        <v>40597</v>
      </c>
      <c r="R652" s="74"/>
      <c r="S652" s="72" t="s">
        <v>49</v>
      </c>
      <c r="T652" s="80" t="s">
        <v>4</v>
      </c>
      <c r="U652" s="72" t="s">
        <v>12</v>
      </c>
      <c r="V652" s="72" t="s">
        <v>1918</v>
      </c>
      <c r="W652" s="72" t="s">
        <v>1919</v>
      </c>
      <c r="X652" s="72" t="s">
        <v>562</v>
      </c>
      <c r="Y652" s="72" t="s">
        <v>3062</v>
      </c>
      <c r="Z652" s="72" t="s">
        <v>4</v>
      </c>
      <c r="AA652" s="146" t="s">
        <v>562</v>
      </c>
    </row>
    <row r="653" spans="1:27" ht="18.600000000000001" customHeight="1">
      <c r="A653" s="139" t="str">
        <f>IF(priority(Main[[#This Row],[Comments]])&lt;&gt;0, priority(Main[[#This Row],[Comments]]),"")</f>
        <v/>
      </c>
      <c r="B653" s="89" t="s">
        <v>1543</v>
      </c>
      <c r="C653" s="72" t="s">
        <v>4</v>
      </c>
      <c r="D653" s="73" t="s">
        <v>576</v>
      </c>
      <c r="E653" s="74"/>
      <c r="F653" s="74"/>
      <c r="G653" s="75" t="str">
        <f>IF(stdProdLT(Main[[#This Row],[Comments]])=0.1,"N/A",IF(stdProdLT(Main[[#This Row],[Comments]])=0,"",stdProdLT(Main[[#This Row],[Comments]])))</f>
        <v/>
      </c>
      <c r="H653" s="76" t="str">
        <f>IF(AND(Main[[#This Row],[In Stock Date]]&lt;&gt;"",Main[[#This Row],[Revised Due Date]]&lt;&gt;""),Main[[#This Row],[In Stock Date]]-Main[[#This Row],[Revised Due Date]],"")</f>
        <v/>
      </c>
      <c r="I653" s="72" t="s">
        <v>4</v>
      </c>
      <c r="J653" s="72" t="s">
        <v>4</v>
      </c>
      <c r="K653" s="72" t="s">
        <v>4</v>
      </c>
      <c r="L653" s="74"/>
      <c r="M653" s="77" t="str">
        <f>IF(Main[[#This Row],[Tech Start Date]]&lt;1/1/1990,"",IF(Main[[#This Row],[Class]]="C",WORKDAY(Main[[#This Row],[Tech Start Date]],9),IF(Main[[#This Row],[Class]]="B", WORKDAY(Main[[#This Row],[Tech Start Date]],6),IF(Main[[#This Row],[Class]]="A",WORKDAY(Main[[#This Row],[Tech Start Date]],2),""))))</f>
        <v/>
      </c>
      <c r="N653" s="77" t="str">
        <f>IF(Main[[#This Row],[Tech Start Date]]&lt;1/1/1990,"",IF(Main[[#This Row],[Class]]="C",WORKDAY(Main[[#This Row],[Tech Start Date]],19),IF(Main[[#This Row],[Class]]="B", WORKDAY(Main[[#This Row],[Tech Start Date]],12),IF(Main[[#This Row],[Class]]="A",WORKDAY(Main[[#This Row],[Tech Start Date]],4),""))))</f>
        <v/>
      </c>
      <c r="O653" s="77" t="str">
        <f>IF(Main[[#This Row],[Tech Start Date]]&lt;1/1/1990,"",IF(Main[[#This Row],[Class]]="C",WORKDAY(Main[[#This Row],[Tech Start Date]],23),IF(Main[[#This Row],[Class]]="B", WORKDAY(Main[[#This Row],[Tech Start Date]],15),IF(Main[[#This Row],[Class]]="A",WORKDAY(Main[[#This Row],[Tech Start Date]],5),""))))</f>
        <v/>
      </c>
      <c r="P653" s="77" t="str">
        <f>IF(Main[[#This Row],[Tech Start Date]]&lt;1/1/1990,"",IF(Main[[#This Row],[Class]]="C",WORKDAY(Main[[#This Row],[Tech Start Date]],28),IF(Main[[#This Row],[Class]]="B", WORKDAY(Main[[#This Row],[Tech Start Date]],19),IF(Main[[#This Row],[Class]]="A",WORKDAY(Main[[#This Row],[Tech Start Date]],9),""))))</f>
        <v/>
      </c>
      <c r="Q653" s="74">
        <v>40165</v>
      </c>
      <c r="R653" s="74"/>
      <c r="S653" s="72" t="s">
        <v>11</v>
      </c>
      <c r="T653" s="80" t="s">
        <v>4</v>
      </c>
      <c r="U653" s="72" t="s">
        <v>14</v>
      </c>
      <c r="V653" s="72" t="s">
        <v>1918</v>
      </c>
      <c r="W653" s="72" t="s">
        <v>1922</v>
      </c>
      <c r="X653" s="72" t="s">
        <v>2056</v>
      </c>
      <c r="Y653" s="72" t="s">
        <v>3064</v>
      </c>
      <c r="Z653" s="72" t="s">
        <v>4</v>
      </c>
      <c r="AA653" s="146" t="s">
        <v>2056</v>
      </c>
    </row>
    <row r="654" spans="1:27" ht="18.600000000000001" customHeight="1">
      <c r="A654" s="139" t="str">
        <f>IF(priority(Main[[#This Row],[Comments]])&lt;&gt;0, priority(Main[[#This Row],[Comments]]),"")</f>
        <v/>
      </c>
      <c r="B654" s="89" t="s">
        <v>1819</v>
      </c>
      <c r="C654" s="72" t="s">
        <v>72</v>
      </c>
      <c r="D654" s="73" t="s">
        <v>868</v>
      </c>
      <c r="E654" s="74"/>
      <c r="F654" s="74">
        <v>40148</v>
      </c>
      <c r="G654" s="75" t="str">
        <f>IF(stdProdLT(Main[[#This Row],[Comments]])=0.1,"N/A",IF(stdProdLT(Main[[#This Row],[Comments]])=0,"",stdProdLT(Main[[#This Row],[Comments]])))</f>
        <v/>
      </c>
      <c r="H654" s="76">
        <f>IF(AND(Main[[#This Row],[In Stock Date]]&lt;&gt;"",Main[[#This Row],[Revised Due Date]]&lt;&gt;""),Main[[#This Row],[In Stock Date]]-Main[[#This Row],[Revised Due Date]],"")</f>
        <v>-143</v>
      </c>
      <c r="I654" s="72" t="s">
        <v>4</v>
      </c>
      <c r="J654" s="72" t="s">
        <v>4</v>
      </c>
      <c r="K654" s="72" t="s">
        <v>4</v>
      </c>
      <c r="L654" s="74"/>
      <c r="M654" s="77" t="str">
        <f>IF(Main[[#This Row],[Tech Start Date]]&lt;1/1/1990,"",IF(Main[[#This Row],[Class]]="C",WORKDAY(Main[[#This Row],[Tech Start Date]],9),IF(Main[[#This Row],[Class]]="B", WORKDAY(Main[[#This Row],[Tech Start Date]],6),IF(Main[[#This Row],[Class]]="A",WORKDAY(Main[[#This Row],[Tech Start Date]],2),""))))</f>
        <v/>
      </c>
      <c r="N654" s="77" t="str">
        <f>IF(Main[[#This Row],[Tech Start Date]]&lt;1/1/1990,"",IF(Main[[#This Row],[Class]]="C",WORKDAY(Main[[#This Row],[Tech Start Date]],19),IF(Main[[#This Row],[Class]]="B", WORKDAY(Main[[#This Row],[Tech Start Date]],12),IF(Main[[#This Row],[Class]]="A",WORKDAY(Main[[#This Row],[Tech Start Date]],4),""))))</f>
        <v/>
      </c>
      <c r="O654" s="77" t="str">
        <f>IF(Main[[#This Row],[Tech Start Date]]&lt;1/1/1990,"",IF(Main[[#This Row],[Class]]="C",WORKDAY(Main[[#This Row],[Tech Start Date]],23),IF(Main[[#This Row],[Class]]="B", WORKDAY(Main[[#This Row],[Tech Start Date]],15),IF(Main[[#This Row],[Class]]="A",WORKDAY(Main[[#This Row],[Tech Start Date]],5),""))))</f>
        <v/>
      </c>
      <c r="P654" s="77" t="str">
        <f>IF(Main[[#This Row],[Tech Start Date]]&lt;1/1/1990,"",IF(Main[[#This Row],[Class]]="C",WORKDAY(Main[[#This Row],[Tech Start Date]],28),IF(Main[[#This Row],[Class]]="B", WORKDAY(Main[[#This Row],[Tech Start Date]],19),IF(Main[[#This Row],[Class]]="A",WORKDAY(Main[[#This Row],[Tech Start Date]],9),""))))</f>
        <v/>
      </c>
      <c r="Q654" s="74">
        <v>40080</v>
      </c>
      <c r="R654" s="74">
        <v>40291</v>
      </c>
      <c r="S654" s="72" t="s">
        <v>6</v>
      </c>
      <c r="T654" s="80" t="s">
        <v>4</v>
      </c>
      <c r="U654" s="72" t="s">
        <v>14</v>
      </c>
      <c r="V654" s="72" t="s">
        <v>1918</v>
      </c>
      <c r="W654" s="72" t="s">
        <v>1925</v>
      </c>
      <c r="X654" s="72" t="s">
        <v>2830</v>
      </c>
      <c r="Y654" s="72" t="s">
        <v>2949</v>
      </c>
      <c r="Z654" s="72" t="s">
        <v>4</v>
      </c>
      <c r="AA654" s="146" t="s">
        <v>2830</v>
      </c>
    </row>
    <row r="655" spans="1:27" ht="18.600000000000001" customHeight="1">
      <c r="A655" s="139" t="str">
        <f>IF(priority(Main[[#This Row],[Comments]])&lt;&gt;0, priority(Main[[#This Row],[Comments]]),"")</f>
        <v/>
      </c>
      <c r="B655" s="89" t="s">
        <v>1491</v>
      </c>
      <c r="C655" s="72" t="s">
        <v>4</v>
      </c>
      <c r="D655" s="73" t="s">
        <v>621</v>
      </c>
      <c r="E655" s="74">
        <v>40549.433692129627</v>
      </c>
      <c r="F655" s="74"/>
      <c r="G655" s="75" t="str">
        <f>IF(stdProdLT(Main[[#This Row],[Comments]])=0.1,"N/A",IF(stdProdLT(Main[[#This Row],[Comments]])=0,"",stdProdLT(Main[[#This Row],[Comments]])))</f>
        <v/>
      </c>
      <c r="H655" s="76" t="str">
        <f>IF(AND(Main[[#This Row],[In Stock Date]]&lt;&gt;"",Main[[#This Row],[Revised Due Date]]&lt;&gt;""),Main[[#This Row],[In Stock Date]]-Main[[#This Row],[Revised Due Date]],"")</f>
        <v/>
      </c>
      <c r="I655" s="72" t="s">
        <v>4</v>
      </c>
      <c r="J655" s="72" t="s">
        <v>4</v>
      </c>
      <c r="K655" s="72" t="s">
        <v>4</v>
      </c>
      <c r="L655" s="74"/>
      <c r="M655" s="77" t="str">
        <f>IF(Main[[#This Row],[Tech Start Date]]&lt;1/1/1990,"",IF(Main[[#This Row],[Class]]="C",WORKDAY(Main[[#This Row],[Tech Start Date]],9),IF(Main[[#This Row],[Class]]="B", WORKDAY(Main[[#This Row],[Tech Start Date]],6),IF(Main[[#This Row],[Class]]="A",WORKDAY(Main[[#This Row],[Tech Start Date]],2),""))))</f>
        <v/>
      </c>
      <c r="N655" s="77" t="str">
        <f>IF(Main[[#This Row],[Tech Start Date]]&lt;1/1/1990,"",IF(Main[[#This Row],[Class]]="C",WORKDAY(Main[[#This Row],[Tech Start Date]],19),IF(Main[[#This Row],[Class]]="B", WORKDAY(Main[[#This Row],[Tech Start Date]],12),IF(Main[[#This Row],[Class]]="A",WORKDAY(Main[[#This Row],[Tech Start Date]],4),""))))</f>
        <v/>
      </c>
      <c r="O655" s="77" t="str">
        <f>IF(Main[[#This Row],[Tech Start Date]]&lt;1/1/1990,"",IF(Main[[#This Row],[Class]]="C",WORKDAY(Main[[#This Row],[Tech Start Date]],23),IF(Main[[#This Row],[Class]]="B", WORKDAY(Main[[#This Row],[Tech Start Date]],15),IF(Main[[#This Row],[Class]]="A",WORKDAY(Main[[#This Row],[Tech Start Date]],5),""))))</f>
        <v/>
      </c>
      <c r="P655" s="77" t="str">
        <f>IF(Main[[#This Row],[Tech Start Date]]&lt;1/1/1990,"",IF(Main[[#This Row],[Class]]="C",WORKDAY(Main[[#This Row],[Tech Start Date]],28),IF(Main[[#This Row],[Class]]="B", WORKDAY(Main[[#This Row],[Tech Start Date]],19),IF(Main[[#This Row],[Class]]="A",WORKDAY(Main[[#This Row],[Tech Start Date]],9),""))))</f>
        <v/>
      </c>
      <c r="Q655" s="74">
        <v>40577</v>
      </c>
      <c r="R655" s="74"/>
      <c r="S655" s="72" t="s">
        <v>6</v>
      </c>
      <c r="T655" s="80" t="s">
        <v>4</v>
      </c>
      <c r="U655" s="72" t="s">
        <v>7</v>
      </c>
      <c r="V655" s="72" t="s">
        <v>1917</v>
      </c>
      <c r="W655" s="72" t="s">
        <v>1919</v>
      </c>
      <c r="X655" s="72" t="s">
        <v>2827</v>
      </c>
      <c r="Y655" s="72" t="s">
        <v>2942</v>
      </c>
      <c r="Z655" s="72" t="s">
        <v>4</v>
      </c>
      <c r="AA655" s="146" t="s">
        <v>2827</v>
      </c>
    </row>
    <row r="656" spans="1:27" ht="18.600000000000001" customHeight="1">
      <c r="A656" s="139" t="str">
        <f>IF(priority(Main[[#This Row],[Comments]])&lt;&gt;0, priority(Main[[#This Row],[Comments]]),"")</f>
        <v/>
      </c>
      <c r="B656" s="89" t="s">
        <v>1492</v>
      </c>
      <c r="C656" s="72" t="s">
        <v>4</v>
      </c>
      <c r="D656" s="73" t="s">
        <v>622</v>
      </c>
      <c r="E656" s="74">
        <v>40371.36078703704</v>
      </c>
      <c r="F656" s="74"/>
      <c r="G656" s="75" t="str">
        <f>IF(stdProdLT(Main[[#This Row],[Comments]])=0.1,"N/A",IF(stdProdLT(Main[[#This Row],[Comments]])=0,"",stdProdLT(Main[[#This Row],[Comments]])))</f>
        <v/>
      </c>
      <c r="H656" s="76" t="str">
        <f>IF(AND(Main[[#This Row],[In Stock Date]]&lt;&gt;"",Main[[#This Row],[Revised Due Date]]&lt;&gt;""),Main[[#This Row],[In Stock Date]]-Main[[#This Row],[Revised Due Date]],"")</f>
        <v/>
      </c>
      <c r="I656" s="72" t="s">
        <v>4</v>
      </c>
      <c r="J656" s="72" t="s">
        <v>4</v>
      </c>
      <c r="K656" s="72" t="s">
        <v>4</v>
      </c>
      <c r="L656" s="74"/>
      <c r="M656" s="77" t="str">
        <f>IF(Main[[#This Row],[Tech Start Date]]&lt;1/1/1990,"",IF(Main[[#This Row],[Class]]="C",WORKDAY(Main[[#This Row],[Tech Start Date]],9),IF(Main[[#This Row],[Class]]="B", WORKDAY(Main[[#This Row],[Tech Start Date]],6),IF(Main[[#This Row],[Class]]="A",WORKDAY(Main[[#This Row],[Tech Start Date]],2),""))))</f>
        <v/>
      </c>
      <c r="N656" s="77" t="str">
        <f>IF(Main[[#This Row],[Tech Start Date]]&lt;1/1/1990,"",IF(Main[[#This Row],[Class]]="C",WORKDAY(Main[[#This Row],[Tech Start Date]],19),IF(Main[[#This Row],[Class]]="B", WORKDAY(Main[[#This Row],[Tech Start Date]],12),IF(Main[[#This Row],[Class]]="A",WORKDAY(Main[[#This Row],[Tech Start Date]],4),""))))</f>
        <v/>
      </c>
      <c r="O656" s="77" t="str">
        <f>IF(Main[[#This Row],[Tech Start Date]]&lt;1/1/1990,"",IF(Main[[#This Row],[Class]]="C",WORKDAY(Main[[#This Row],[Tech Start Date]],23),IF(Main[[#This Row],[Class]]="B", WORKDAY(Main[[#This Row],[Tech Start Date]],15),IF(Main[[#This Row],[Class]]="A",WORKDAY(Main[[#This Row],[Tech Start Date]],5),""))))</f>
        <v/>
      </c>
      <c r="P656" s="77" t="str">
        <f>IF(Main[[#This Row],[Tech Start Date]]&lt;1/1/1990,"",IF(Main[[#This Row],[Class]]="C",WORKDAY(Main[[#This Row],[Tech Start Date]],28),IF(Main[[#This Row],[Class]]="B", WORKDAY(Main[[#This Row],[Tech Start Date]],19),IF(Main[[#This Row],[Class]]="A",WORKDAY(Main[[#This Row],[Tech Start Date]],9),""))))</f>
        <v/>
      </c>
      <c r="Q656" s="74">
        <v>40385</v>
      </c>
      <c r="R656" s="74"/>
      <c r="S656" s="72" t="s">
        <v>6</v>
      </c>
      <c r="T656" s="80" t="s">
        <v>4</v>
      </c>
      <c r="U656" s="72" t="s">
        <v>7</v>
      </c>
      <c r="V656" s="72" t="s">
        <v>1917</v>
      </c>
      <c r="W656" s="72" t="s">
        <v>1919</v>
      </c>
      <c r="X656" s="72" t="s">
        <v>102</v>
      </c>
      <c r="Y656" s="72" t="s">
        <v>3038</v>
      </c>
      <c r="Z656" s="72" t="s">
        <v>4</v>
      </c>
      <c r="AA656" s="146" t="s">
        <v>3408</v>
      </c>
    </row>
    <row r="657" spans="1:27" ht="18.600000000000001" customHeight="1">
      <c r="A657" s="139" t="str">
        <f>IF(priority(Main[[#This Row],[Comments]])&lt;&gt;0, priority(Main[[#This Row],[Comments]]),"")</f>
        <v/>
      </c>
      <c r="B657" s="89" t="s">
        <v>1493</v>
      </c>
      <c r="C657" s="72" t="s">
        <v>623</v>
      </c>
      <c r="D657" s="73" t="s">
        <v>624</v>
      </c>
      <c r="E657" s="74"/>
      <c r="F657" s="74">
        <v>40396</v>
      </c>
      <c r="G657" s="75" t="str">
        <f>IF(stdProdLT(Main[[#This Row],[Comments]])=0.1,"N/A",IF(stdProdLT(Main[[#This Row],[Comments]])=0,"",stdProdLT(Main[[#This Row],[Comments]])))</f>
        <v/>
      </c>
      <c r="H657" s="76" t="str">
        <f>IF(AND(Main[[#This Row],[In Stock Date]]&lt;&gt;"",Main[[#This Row],[Revised Due Date]]&lt;&gt;""),Main[[#This Row],[In Stock Date]]-Main[[#This Row],[Revised Due Date]],"")</f>
        <v/>
      </c>
      <c r="I657" s="72" t="s">
        <v>4</v>
      </c>
      <c r="J657" s="72" t="s">
        <v>4</v>
      </c>
      <c r="K657" s="72" t="s">
        <v>4</v>
      </c>
      <c r="L657" s="74"/>
      <c r="M657" s="77" t="str">
        <f>IF(Main[[#This Row],[Tech Start Date]]&lt;1/1/1990,"",IF(Main[[#This Row],[Class]]="C",WORKDAY(Main[[#This Row],[Tech Start Date]],9),IF(Main[[#This Row],[Class]]="B", WORKDAY(Main[[#This Row],[Tech Start Date]],6),IF(Main[[#This Row],[Class]]="A",WORKDAY(Main[[#This Row],[Tech Start Date]],2),""))))</f>
        <v/>
      </c>
      <c r="N657" s="77" t="str">
        <f>IF(Main[[#This Row],[Tech Start Date]]&lt;1/1/1990,"",IF(Main[[#This Row],[Class]]="C",WORKDAY(Main[[#This Row],[Tech Start Date]],19),IF(Main[[#This Row],[Class]]="B", WORKDAY(Main[[#This Row],[Tech Start Date]],12),IF(Main[[#This Row],[Class]]="A",WORKDAY(Main[[#This Row],[Tech Start Date]],4),""))))</f>
        <v/>
      </c>
      <c r="O657" s="77" t="str">
        <f>IF(Main[[#This Row],[Tech Start Date]]&lt;1/1/1990,"",IF(Main[[#This Row],[Class]]="C",WORKDAY(Main[[#This Row],[Tech Start Date]],23),IF(Main[[#This Row],[Class]]="B", WORKDAY(Main[[#This Row],[Tech Start Date]],15),IF(Main[[#This Row],[Class]]="A",WORKDAY(Main[[#This Row],[Tech Start Date]],5),""))))</f>
        <v/>
      </c>
      <c r="P657" s="77" t="str">
        <f>IF(Main[[#This Row],[Tech Start Date]]&lt;1/1/1990,"",IF(Main[[#This Row],[Class]]="C",WORKDAY(Main[[#This Row],[Tech Start Date]],28),IF(Main[[#This Row],[Class]]="B", WORKDAY(Main[[#This Row],[Tech Start Date]],19),IF(Main[[#This Row],[Class]]="A",WORKDAY(Main[[#This Row],[Tech Start Date]],9),""))))</f>
        <v/>
      </c>
      <c r="Q657" s="74"/>
      <c r="R657" s="74"/>
      <c r="S657" s="72" t="s">
        <v>11</v>
      </c>
      <c r="T657" s="80" t="s">
        <v>4</v>
      </c>
      <c r="U657" s="72" t="s">
        <v>14</v>
      </c>
      <c r="V657" s="72" t="s">
        <v>1917</v>
      </c>
      <c r="W657" s="72" t="s">
        <v>1923</v>
      </c>
      <c r="X657" s="72" t="s">
        <v>2826</v>
      </c>
      <c r="Y657" s="72" t="s">
        <v>3065</v>
      </c>
      <c r="Z657" s="72" t="s">
        <v>4</v>
      </c>
      <c r="AA657" s="146" t="s">
        <v>2826</v>
      </c>
    </row>
    <row r="658" spans="1:27" ht="18.600000000000001" customHeight="1">
      <c r="A658" s="139" t="str">
        <f>IF(priority(Main[[#This Row],[Comments]])&lt;&gt;0, priority(Main[[#This Row],[Comments]]),"")</f>
        <v/>
      </c>
      <c r="B658" s="89" t="s">
        <v>1494</v>
      </c>
      <c r="C658" s="72" t="s">
        <v>93</v>
      </c>
      <c r="D658" s="73" t="s">
        <v>625</v>
      </c>
      <c r="E658" s="74"/>
      <c r="F658" s="74">
        <v>40238</v>
      </c>
      <c r="G658" s="75" t="str">
        <f>IF(stdProdLT(Main[[#This Row],[Comments]])=0.1,"N/A",IF(stdProdLT(Main[[#This Row],[Comments]])=0,"",stdProdLT(Main[[#This Row],[Comments]])))</f>
        <v/>
      </c>
      <c r="H658" s="76" t="str">
        <f>IF(AND(Main[[#This Row],[In Stock Date]]&lt;&gt;"",Main[[#This Row],[Revised Due Date]]&lt;&gt;""),Main[[#This Row],[In Stock Date]]-Main[[#This Row],[Revised Due Date]],"")</f>
        <v/>
      </c>
      <c r="I658" s="72" t="s">
        <v>4</v>
      </c>
      <c r="J658" s="72" t="s">
        <v>4</v>
      </c>
      <c r="K658" s="72" t="s">
        <v>4</v>
      </c>
      <c r="L658" s="74"/>
      <c r="M658" s="77" t="str">
        <f>IF(Main[[#This Row],[Tech Start Date]]&lt;1/1/1990,"",IF(Main[[#This Row],[Class]]="C",WORKDAY(Main[[#This Row],[Tech Start Date]],9),IF(Main[[#This Row],[Class]]="B", WORKDAY(Main[[#This Row],[Tech Start Date]],6),IF(Main[[#This Row],[Class]]="A",WORKDAY(Main[[#This Row],[Tech Start Date]],2),""))))</f>
        <v/>
      </c>
      <c r="N658" s="77" t="str">
        <f>IF(Main[[#This Row],[Tech Start Date]]&lt;1/1/1990,"",IF(Main[[#This Row],[Class]]="C",WORKDAY(Main[[#This Row],[Tech Start Date]],19),IF(Main[[#This Row],[Class]]="B", WORKDAY(Main[[#This Row],[Tech Start Date]],12),IF(Main[[#This Row],[Class]]="A",WORKDAY(Main[[#This Row],[Tech Start Date]],4),""))))</f>
        <v/>
      </c>
      <c r="O658" s="77" t="str">
        <f>IF(Main[[#This Row],[Tech Start Date]]&lt;1/1/1990,"",IF(Main[[#This Row],[Class]]="C",WORKDAY(Main[[#This Row],[Tech Start Date]],23),IF(Main[[#This Row],[Class]]="B", WORKDAY(Main[[#This Row],[Tech Start Date]],15),IF(Main[[#This Row],[Class]]="A",WORKDAY(Main[[#This Row],[Tech Start Date]],5),""))))</f>
        <v/>
      </c>
      <c r="P658" s="77" t="str">
        <f>IF(Main[[#This Row],[Tech Start Date]]&lt;1/1/1990,"",IF(Main[[#This Row],[Class]]="C",WORKDAY(Main[[#This Row],[Tech Start Date]],28),IF(Main[[#This Row],[Class]]="B", WORKDAY(Main[[#This Row],[Tech Start Date]],19),IF(Main[[#This Row],[Class]]="A",WORKDAY(Main[[#This Row],[Tech Start Date]],9),""))))</f>
        <v/>
      </c>
      <c r="Q658" s="74">
        <v>40173</v>
      </c>
      <c r="R658" s="74"/>
      <c r="S658" s="72" t="s">
        <v>11</v>
      </c>
      <c r="T658" s="80" t="s">
        <v>4</v>
      </c>
      <c r="U658" s="72" t="s">
        <v>14</v>
      </c>
      <c r="V658" s="72" t="s">
        <v>1917</v>
      </c>
      <c r="W658" s="72" t="s">
        <v>1923</v>
      </c>
      <c r="X658" s="72" t="s">
        <v>2877</v>
      </c>
      <c r="Y658" s="72" t="s">
        <v>4</v>
      </c>
      <c r="Z658" s="72" t="s">
        <v>4</v>
      </c>
      <c r="AA658" s="146" t="s">
        <v>2877</v>
      </c>
    </row>
    <row r="659" spans="1:27" ht="18.600000000000001" customHeight="1">
      <c r="A659" s="139" t="str">
        <f>IF(priority(Main[[#This Row],[Comments]])&lt;&gt;0, priority(Main[[#This Row],[Comments]]),"")</f>
        <v/>
      </c>
      <c r="B659" s="89" t="s">
        <v>1495</v>
      </c>
      <c r="C659" s="72" t="s">
        <v>4</v>
      </c>
      <c r="D659" s="73" t="s">
        <v>97</v>
      </c>
      <c r="E659" s="74"/>
      <c r="F659" s="74"/>
      <c r="G659" s="75" t="str">
        <f>IF(stdProdLT(Main[[#This Row],[Comments]])=0.1,"N/A",IF(stdProdLT(Main[[#This Row],[Comments]])=0,"",stdProdLT(Main[[#This Row],[Comments]])))</f>
        <v/>
      </c>
      <c r="H659" s="76" t="str">
        <f>IF(AND(Main[[#This Row],[In Stock Date]]&lt;&gt;"",Main[[#This Row],[Revised Due Date]]&lt;&gt;""),Main[[#This Row],[In Stock Date]]-Main[[#This Row],[Revised Due Date]],"")</f>
        <v/>
      </c>
      <c r="I659" s="72" t="s">
        <v>4</v>
      </c>
      <c r="J659" s="72" t="s">
        <v>4</v>
      </c>
      <c r="K659" s="72" t="s">
        <v>4</v>
      </c>
      <c r="L659" s="74"/>
      <c r="M659" s="77" t="str">
        <f>IF(Main[[#This Row],[Tech Start Date]]&lt;1/1/1990,"",IF(Main[[#This Row],[Class]]="C",WORKDAY(Main[[#This Row],[Tech Start Date]],9),IF(Main[[#This Row],[Class]]="B", WORKDAY(Main[[#This Row],[Tech Start Date]],6),IF(Main[[#This Row],[Class]]="A",WORKDAY(Main[[#This Row],[Tech Start Date]],2),""))))</f>
        <v/>
      </c>
      <c r="N659" s="77" t="str">
        <f>IF(Main[[#This Row],[Tech Start Date]]&lt;1/1/1990,"",IF(Main[[#This Row],[Class]]="C",WORKDAY(Main[[#This Row],[Tech Start Date]],19),IF(Main[[#This Row],[Class]]="B", WORKDAY(Main[[#This Row],[Tech Start Date]],12),IF(Main[[#This Row],[Class]]="A",WORKDAY(Main[[#This Row],[Tech Start Date]],4),""))))</f>
        <v/>
      </c>
      <c r="O659" s="77" t="str">
        <f>IF(Main[[#This Row],[Tech Start Date]]&lt;1/1/1990,"",IF(Main[[#This Row],[Class]]="C",WORKDAY(Main[[#This Row],[Tech Start Date]],23),IF(Main[[#This Row],[Class]]="B", WORKDAY(Main[[#This Row],[Tech Start Date]],15),IF(Main[[#This Row],[Class]]="A",WORKDAY(Main[[#This Row],[Tech Start Date]],5),""))))</f>
        <v/>
      </c>
      <c r="P659" s="77" t="str">
        <f>IF(Main[[#This Row],[Tech Start Date]]&lt;1/1/1990,"",IF(Main[[#This Row],[Class]]="C",WORKDAY(Main[[#This Row],[Tech Start Date]],28),IF(Main[[#This Row],[Class]]="B", WORKDAY(Main[[#This Row],[Tech Start Date]],19),IF(Main[[#This Row],[Class]]="A",WORKDAY(Main[[#This Row],[Tech Start Date]],9),""))))</f>
        <v/>
      </c>
      <c r="Q659" s="74">
        <v>40858</v>
      </c>
      <c r="R659" s="74"/>
      <c r="S659" s="72" t="s">
        <v>17</v>
      </c>
      <c r="T659" s="80" t="s">
        <v>4</v>
      </c>
      <c r="U659" s="72" t="s">
        <v>14</v>
      </c>
      <c r="V659" s="72" t="s">
        <v>1917</v>
      </c>
      <c r="W659" s="72" t="s">
        <v>1922</v>
      </c>
      <c r="X659" s="72" t="s">
        <v>50</v>
      </c>
      <c r="Y659" s="72" t="s">
        <v>2965</v>
      </c>
      <c r="Z659" s="72" t="s">
        <v>4</v>
      </c>
      <c r="AA659" s="146" t="s">
        <v>2834</v>
      </c>
    </row>
    <row r="660" spans="1:27" ht="18.600000000000001" customHeight="1">
      <c r="A660" s="139" t="str">
        <f>IF(priority(Main[[#This Row],[Comments]])&lt;&gt;0, priority(Main[[#This Row],[Comments]]),"")</f>
        <v/>
      </c>
      <c r="B660" s="89" t="s">
        <v>1496</v>
      </c>
      <c r="C660" s="72" t="s">
        <v>4</v>
      </c>
      <c r="D660" s="73" t="s">
        <v>39</v>
      </c>
      <c r="E660" s="74"/>
      <c r="F660" s="74"/>
      <c r="G660" s="75" t="str">
        <f>IF(stdProdLT(Main[[#This Row],[Comments]])=0.1,"N/A",IF(stdProdLT(Main[[#This Row],[Comments]])=0,"",stdProdLT(Main[[#This Row],[Comments]])))</f>
        <v/>
      </c>
      <c r="H660" s="76" t="str">
        <f>IF(AND(Main[[#This Row],[In Stock Date]]&lt;&gt;"",Main[[#This Row],[Revised Due Date]]&lt;&gt;""),Main[[#This Row],[In Stock Date]]-Main[[#This Row],[Revised Due Date]],"")</f>
        <v/>
      </c>
      <c r="I660" s="72" t="s">
        <v>4</v>
      </c>
      <c r="J660" s="72" t="s">
        <v>4</v>
      </c>
      <c r="K660" s="81" t="s">
        <v>4</v>
      </c>
      <c r="L660" s="74"/>
      <c r="M660" s="77" t="str">
        <f>IF(Main[[#This Row],[Tech Start Date]]&lt;1/1/1990,"",IF(Main[[#This Row],[Class]]="C",WORKDAY(Main[[#This Row],[Tech Start Date]],9),IF(Main[[#This Row],[Class]]="B", WORKDAY(Main[[#This Row],[Tech Start Date]],6),IF(Main[[#This Row],[Class]]="A",WORKDAY(Main[[#This Row],[Tech Start Date]],2),""))))</f>
        <v/>
      </c>
      <c r="N660" s="77" t="str">
        <f>IF(Main[[#This Row],[Tech Start Date]]&lt;1/1/1990,"",IF(Main[[#This Row],[Class]]="C",WORKDAY(Main[[#This Row],[Tech Start Date]],19),IF(Main[[#This Row],[Class]]="B", WORKDAY(Main[[#This Row],[Tech Start Date]],12),IF(Main[[#This Row],[Class]]="A",WORKDAY(Main[[#This Row],[Tech Start Date]],4),""))))</f>
        <v/>
      </c>
      <c r="O660" s="77" t="str">
        <f>IF(Main[[#This Row],[Tech Start Date]]&lt;1/1/1990,"",IF(Main[[#This Row],[Class]]="C",WORKDAY(Main[[#This Row],[Tech Start Date]],23),IF(Main[[#This Row],[Class]]="B", WORKDAY(Main[[#This Row],[Tech Start Date]],15),IF(Main[[#This Row],[Class]]="A",WORKDAY(Main[[#This Row],[Tech Start Date]],5),""))))</f>
        <v/>
      </c>
      <c r="P660" s="77" t="str">
        <f>IF(Main[[#This Row],[Tech Start Date]]&lt;1/1/1990,"",IF(Main[[#This Row],[Class]]="C",WORKDAY(Main[[#This Row],[Tech Start Date]],28),IF(Main[[#This Row],[Class]]="B", WORKDAY(Main[[#This Row],[Tech Start Date]],19),IF(Main[[#This Row],[Class]]="A",WORKDAY(Main[[#This Row],[Tech Start Date]],9),""))))</f>
        <v/>
      </c>
      <c r="Q660" s="74">
        <v>40669</v>
      </c>
      <c r="R660" s="74"/>
      <c r="S660" s="72" t="s">
        <v>6</v>
      </c>
      <c r="T660" s="80" t="s">
        <v>4</v>
      </c>
      <c r="U660" s="72" t="s">
        <v>14</v>
      </c>
      <c r="V660" s="72" t="s">
        <v>1920</v>
      </c>
      <c r="W660" s="72" t="s">
        <v>4</v>
      </c>
      <c r="X660" s="72" t="s">
        <v>2824</v>
      </c>
      <c r="Y660" s="72" t="s">
        <v>2935</v>
      </c>
      <c r="Z660" s="72" t="s">
        <v>4</v>
      </c>
      <c r="AA660" s="146" t="s">
        <v>2824</v>
      </c>
    </row>
    <row r="661" spans="1:27" ht="18.600000000000001" customHeight="1">
      <c r="A661" s="139" t="str">
        <f>IF(priority(Main[[#This Row],[Comments]])&lt;&gt;0, priority(Main[[#This Row],[Comments]]),"")</f>
        <v/>
      </c>
      <c r="B661" s="89" t="s">
        <v>1497</v>
      </c>
      <c r="C661" s="72" t="s">
        <v>4</v>
      </c>
      <c r="D661" s="73" t="s">
        <v>599</v>
      </c>
      <c r="E661" s="74"/>
      <c r="F661" s="74"/>
      <c r="G661" s="75" t="str">
        <f>IF(stdProdLT(Main[[#This Row],[Comments]])=0.1,"N/A",IF(stdProdLT(Main[[#This Row],[Comments]])=0,"",stdProdLT(Main[[#This Row],[Comments]])))</f>
        <v/>
      </c>
      <c r="H661" s="76" t="str">
        <f>IF(AND(Main[[#This Row],[In Stock Date]]&lt;&gt;"",Main[[#This Row],[Revised Due Date]]&lt;&gt;""),Main[[#This Row],[In Stock Date]]-Main[[#This Row],[Revised Due Date]],"")</f>
        <v/>
      </c>
      <c r="I661" s="72" t="s">
        <v>4</v>
      </c>
      <c r="J661" s="72" t="s">
        <v>28</v>
      </c>
      <c r="K661" s="81" t="s">
        <v>4</v>
      </c>
      <c r="L661" s="74"/>
      <c r="M661" s="77" t="str">
        <f>IF(Main[[#This Row],[Tech Start Date]]&lt;1/1/1990,"",IF(Main[[#This Row],[Class]]="C",WORKDAY(Main[[#This Row],[Tech Start Date]],9),IF(Main[[#This Row],[Class]]="B", WORKDAY(Main[[#This Row],[Tech Start Date]],6),IF(Main[[#This Row],[Class]]="A",WORKDAY(Main[[#This Row],[Tech Start Date]],2),""))))</f>
        <v/>
      </c>
      <c r="N661" s="77" t="str">
        <f>IF(Main[[#This Row],[Tech Start Date]]&lt;1/1/1990,"",IF(Main[[#This Row],[Class]]="C",WORKDAY(Main[[#This Row],[Tech Start Date]],19),IF(Main[[#This Row],[Class]]="B", WORKDAY(Main[[#This Row],[Tech Start Date]],12),IF(Main[[#This Row],[Class]]="A",WORKDAY(Main[[#This Row],[Tech Start Date]],4),""))))</f>
        <v/>
      </c>
      <c r="O661" s="77" t="str">
        <f>IF(Main[[#This Row],[Tech Start Date]]&lt;1/1/1990,"",IF(Main[[#This Row],[Class]]="C",WORKDAY(Main[[#This Row],[Tech Start Date]],23),IF(Main[[#This Row],[Class]]="B", WORKDAY(Main[[#This Row],[Tech Start Date]],15),IF(Main[[#This Row],[Class]]="A",WORKDAY(Main[[#This Row],[Tech Start Date]],5),""))))</f>
        <v/>
      </c>
      <c r="P661" s="77" t="str">
        <f>IF(Main[[#This Row],[Tech Start Date]]&lt;1/1/1990,"",IF(Main[[#This Row],[Class]]="C",WORKDAY(Main[[#This Row],[Tech Start Date]],28),IF(Main[[#This Row],[Class]]="B", WORKDAY(Main[[#This Row],[Tech Start Date]],19),IF(Main[[#This Row],[Class]]="A",WORKDAY(Main[[#This Row],[Tech Start Date]],9),""))))</f>
        <v/>
      </c>
      <c r="Q661" s="74">
        <v>40482</v>
      </c>
      <c r="R661" s="74"/>
      <c r="S661" s="72" t="s">
        <v>6</v>
      </c>
      <c r="T661" s="80" t="s">
        <v>4</v>
      </c>
      <c r="U661" s="72" t="s">
        <v>14</v>
      </c>
      <c r="V661" s="72" t="s">
        <v>1920</v>
      </c>
      <c r="W661" s="72" t="s">
        <v>1921</v>
      </c>
      <c r="X661" s="72" t="s">
        <v>2893</v>
      </c>
      <c r="Y661" s="72" t="s">
        <v>3049</v>
      </c>
      <c r="Z661" s="72" t="s">
        <v>530</v>
      </c>
      <c r="AA661" s="146" t="s">
        <v>2893</v>
      </c>
    </row>
    <row r="662" spans="1:27" ht="18.600000000000001" customHeight="1">
      <c r="A662" s="139" t="str">
        <f>IF(priority(Main[[#This Row],[Comments]])&lt;&gt;0, priority(Main[[#This Row],[Comments]]),"")</f>
        <v/>
      </c>
      <c r="B662" s="89" t="s">
        <v>2095</v>
      </c>
      <c r="C662" s="72" t="s">
        <v>4</v>
      </c>
      <c r="D662" s="73" t="s">
        <v>2096</v>
      </c>
      <c r="E662" s="74"/>
      <c r="F662" s="74"/>
      <c r="G662" s="75" t="str">
        <f>IF(stdProdLT(Main[[#This Row],[Comments]])=0.1,"N/A",IF(stdProdLT(Main[[#This Row],[Comments]])=0,"",stdProdLT(Main[[#This Row],[Comments]])))</f>
        <v/>
      </c>
      <c r="H662" s="76" t="str">
        <f>IF(AND(Main[[#This Row],[In Stock Date]]&lt;&gt;"",Main[[#This Row],[Revised Due Date]]&lt;&gt;""),Main[[#This Row],[In Stock Date]]-Main[[#This Row],[Revised Due Date]],"")</f>
        <v/>
      </c>
      <c r="I662" s="72" t="s">
        <v>4</v>
      </c>
      <c r="J662" s="72" t="s">
        <v>4</v>
      </c>
      <c r="K662" s="72" t="s">
        <v>4</v>
      </c>
      <c r="L662" s="74"/>
      <c r="M662" s="77" t="str">
        <f>IF(Main[[#This Row],[Tech Start Date]]&lt;1/1/1990,"",IF(Main[[#This Row],[Class]]="C",WORKDAY(Main[[#This Row],[Tech Start Date]],9),IF(Main[[#This Row],[Class]]="B", WORKDAY(Main[[#This Row],[Tech Start Date]],6),IF(Main[[#This Row],[Class]]="A",WORKDAY(Main[[#This Row],[Tech Start Date]],2),""))))</f>
        <v/>
      </c>
      <c r="N662" s="77" t="str">
        <f>IF(Main[[#This Row],[Tech Start Date]]&lt;1/1/1990,"",IF(Main[[#This Row],[Class]]="C",WORKDAY(Main[[#This Row],[Tech Start Date]],19),IF(Main[[#This Row],[Class]]="B", WORKDAY(Main[[#This Row],[Tech Start Date]],12),IF(Main[[#This Row],[Class]]="A",WORKDAY(Main[[#This Row],[Tech Start Date]],4),""))))</f>
        <v/>
      </c>
      <c r="O662" s="77" t="str">
        <f>IF(Main[[#This Row],[Tech Start Date]]&lt;1/1/1990,"",IF(Main[[#This Row],[Class]]="C",WORKDAY(Main[[#This Row],[Tech Start Date]],23),IF(Main[[#This Row],[Class]]="B", WORKDAY(Main[[#This Row],[Tech Start Date]],15),IF(Main[[#This Row],[Class]]="A",WORKDAY(Main[[#This Row],[Tech Start Date]],5),""))))</f>
        <v/>
      </c>
      <c r="P662" s="77" t="str">
        <f>IF(Main[[#This Row],[Tech Start Date]]&lt;1/1/1990,"",IF(Main[[#This Row],[Class]]="C",WORKDAY(Main[[#This Row],[Tech Start Date]],28),IF(Main[[#This Row],[Class]]="B", WORKDAY(Main[[#This Row],[Tech Start Date]],19),IF(Main[[#This Row],[Class]]="A",WORKDAY(Main[[#This Row],[Tech Start Date]],9),""))))</f>
        <v/>
      </c>
      <c r="Q662" s="74"/>
      <c r="R662" s="74"/>
      <c r="S662" s="72" t="s">
        <v>6</v>
      </c>
      <c r="T662" s="80" t="s">
        <v>4</v>
      </c>
      <c r="U662" s="72" t="s">
        <v>14</v>
      </c>
      <c r="V662" s="72" t="s">
        <v>1920</v>
      </c>
      <c r="W662" s="72" t="s">
        <v>1921</v>
      </c>
      <c r="X662" s="72" t="s">
        <v>306</v>
      </c>
      <c r="Y662" s="72" t="s">
        <v>4</v>
      </c>
      <c r="Z662" s="72" t="s">
        <v>4</v>
      </c>
      <c r="AA662" s="146" t="s">
        <v>4</v>
      </c>
    </row>
    <row r="663" spans="1:27" ht="18.600000000000001" customHeight="1">
      <c r="A663" s="139" t="str">
        <f>IF(priority(Main[[#This Row],[Comments]])&lt;&gt;0, priority(Main[[#This Row],[Comments]]),"")</f>
        <v/>
      </c>
      <c r="B663" s="89" t="s">
        <v>1499</v>
      </c>
      <c r="C663" s="72" t="s">
        <v>601</v>
      </c>
      <c r="D663" s="73" t="s">
        <v>602</v>
      </c>
      <c r="E663" s="74"/>
      <c r="F663" s="74"/>
      <c r="G663" s="75" t="str">
        <f>IF(stdProdLT(Main[[#This Row],[Comments]])=0.1,"N/A",IF(stdProdLT(Main[[#This Row],[Comments]])=0,"",stdProdLT(Main[[#This Row],[Comments]])))</f>
        <v/>
      </c>
      <c r="H663" s="76" t="str">
        <f>IF(AND(Main[[#This Row],[In Stock Date]]&lt;&gt;"",Main[[#This Row],[Revised Due Date]]&lt;&gt;""),Main[[#This Row],[In Stock Date]]-Main[[#This Row],[Revised Due Date]],"")</f>
        <v/>
      </c>
      <c r="I663" s="72" t="s">
        <v>4</v>
      </c>
      <c r="J663" s="72" t="s">
        <v>4</v>
      </c>
      <c r="K663" s="72" t="s">
        <v>4</v>
      </c>
      <c r="L663" s="74"/>
      <c r="M663" s="77" t="str">
        <f>IF(Main[[#This Row],[Tech Start Date]]&lt;1/1/1990,"",IF(Main[[#This Row],[Class]]="C",WORKDAY(Main[[#This Row],[Tech Start Date]],9),IF(Main[[#This Row],[Class]]="B", WORKDAY(Main[[#This Row],[Tech Start Date]],6),IF(Main[[#This Row],[Class]]="A",WORKDAY(Main[[#This Row],[Tech Start Date]],2),""))))</f>
        <v/>
      </c>
      <c r="N663" s="77" t="str">
        <f>IF(Main[[#This Row],[Tech Start Date]]&lt;1/1/1990,"",IF(Main[[#This Row],[Class]]="C",WORKDAY(Main[[#This Row],[Tech Start Date]],19),IF(Main[[#This Row],[Class]]="B", WORKDAY(Main[[#This Row],[Tech Start Date]],12),IF(Main[[#This Row],[Class]]="A",WORKDAY(Main[[#This Row],[Tech Start Date]],4),""))))</f>
        <v/>
      </c>
      <c r="O663" s="77" t="str">
        <f>IF(Main[[#This Row],[Tech Start Date]]&lt;1/1/1990,"",IF(Main[[#This Row],[Class]]="C",WORKDAY(Main[[#This Row],[Tech Start Date]],23),IF(Main[[#This Row],[Class]]="B", WORKDAY(Main[[#This Row],[Tech Start Date]],15),IF(Main[[#This Row],[Class]]="A",WORKDAY(Main[[#This Row],[Tech Start Date]],5),""))))</f>
        <v/>
      </c>
      <c r="P663" s="77" t="str">
        <f>IF(Main[[#This Row],[Tech Start Date]]&lt;1/1/1990,"",IF(Main[[#This Row],[Class]]="C",WORKDAY(Main[[#This Row],[Tech Start Date]],28),IF(Main[[#This Row],[Class]]="B", WORKDAY(Main[[#This Row],[Tech Start Date]],19),IF(Main[[#This Row],[Class]]="A",WORKDAY(Main[[#This Row],[Tech Start Date]],9),""))))</f>
        <v/>
      </c>
      <c r="Q663" s="74">
        <v>40219</v>
      </c>
      <c r="R663" s="74"/>
      <c r="S663" s="72" t="s">
        <v>11</v>
      </c>
      <c r="T663" s="80" t="s">
        <v>4</v>
      </c>
      <c r="U663" s="72" t="s">
        <v>14</v>
      </c>
      <c r="V663" s="72" t="s">
        <v>1920</v>
      </c>
      <c r="W663" s="72" t="s">
        <v>1919</v>
      </c>
      <c r="X663" s="72" t="s">
        <v>2900</v>
      </c>
      <c r="Y663" s="72" t="s">
        <v>4</v>
      </c>
      <c r="Z663" s="72" t="s">
        <v>4</v>
      </c>
      <c r="AA663" s="146" t="s">
        <v>2900</v>
      </c>
    </row>
    <row r="664" spans="1:27" ht="18.600000000000001" customHeight="1">
      <c r="A664" s="139" t="str">
        <f>IF(priority(Main[[#This Row],[Comments]])&lt;&gt;0, priority(Main[[#This Row],[Comments]]),"")</f>
        <v/>
      </c>
      <c r="B664" s="89" t="s">
        <v>1500</v>
      </c>
      <c r="C664" s="72" t="s">
        <v>4</v>
      </c>
      <c r="D664" s="73" t="s">
        <v>603</v>
      </c>
      <c r="E664" s="74"/>
      <c r="F664" s="74"/>
      <c r="G664" s="75" t="str">
        <f>IF(stdProdLT(Main[[#This Row],[Comments]])=0.1,"N/A",IF(stdProdLT(Main[[#This Row],[Comments]])=0,"",stdProdLT(Main[[#This Row],[Comments]])))</f>
        <v/>
      </c>
      <c r="H664" s="76" t="str">
        <f>IF(AND(Main[[#This Row],[In Stock Date]]&lt;&gt;"",Main[[#This Row],[Revised Due Date]]&lt;&gt;""),Main[[#This Row],[In Stock Date]]-Main[[#This Row],[Revised Due Date]],"")</f>
        <v/>
      </c>
      <c r="I664" s="72" t="s">
        <v>81</v>
      </c>
      <c r="J664" s="72" t="s">
        <v>4</v>
      </c>
      <c r="K664" s="72" t="s">
        <v>4</v>
      </c>
      <c r="L664" s="74"/>
      <c r="M664" s="77" t="str">
        <f>IF(Main[[#This Row],[Tech Start Date]]&lt;1/1/1990,"",IF(Main[[#This Row],[Class]]="C",WORKDAY(Main[[#This Row],[Tech Start Date]],9),IF(Main[[#This Row],[Class]]="B", WORKDAY(Main[[#This Row],[Tech Start Date]],6),IF(Main[[#This Row],[Class]]="A",WORKDAY(Main[[#This Row],[Tech Start Date]],2),""))))</f>
        <v/>
      </c>
      <c r="N664" s="77" t="str">
        <f>IF(Main[[#This Row],[Tech Start Date]]&lt;1/1/1990,"",IF(Main[[#This Row],[Class]]="C",WORKDAY(Main[[#This Row],[Tech Start Date]],19),IF(Main[[#This Row],[Class]]="B", WORKDAY(Main[[#This Row],[Tech Start Date]],12),IF(Main[[#This Row],[Class]]="A",WORKDAY(Main[[#This Row],[Tech Start Date]],4),""))))</f>
        <v/>
      </c>
      <c r="O664" s="77" t="str">
        <f>IF(Main[[#This Row],[Tech Start Date]]&lt;1/1/1990,"",IF(Main[[#This Row],[Class]]="C",WORKDAY(Main[[#This Row],[Tech Start Date]],23),IF(Main[[#This Row],[Class]]="B", WORKDAY(Main[[#This Row],[Tech Start Date]],15),IF(Main[[#This Row],[Class]]="A",WORKDAY(Main[[#This Row],[Tech Start Date]],5),""))))</f>
        <v/>
      </c>
      <c r="P664" s="77" t="str">
        <f>IF(Main[[#This Row],[Tech Start Date]]&lt;1/1/1990,"",IF(Main[[#This Row],[Class]]="C",WORKDAY(Main[[#This Row],[Tech Start Date]],28),IF(Main[[#This Row],[Class]]="B", WORKDAY(Main[[#This Row],[Tech Start Date]],19),IF(Main[[#This Row],[Class]]="A",WORKDAY(Main[[#This Row],[Tech Start Date]],9),""))))</f>
        <v/>
      </c>
      <c r="Q664" s="74">
        <v>40390</v>
      </c>
      <c r="R664" s="74"/>
      <c r="S664" s="72" t="s">
        <v>6</v>
      </c>
      <c r="T664" s="80" t="s">
        <v>4</v>
      </c>
      <c r="U664" s="72" t="s">
        <v>14</v>
      </c>
      <c r="V664" s="72" t="s">
        <v>1920</v>
      </c>
      <c r="W664" s="72" t="s">
        <v>4</v>
      </c>
      <c r="X664" s="72" t="s">
        <v>2825</v>
      </c>
      <c r="Y664" s="72" t="s">
        <v>2938</v>
      </c>
      <c r="Z664" s="72" t="s">
        <v>44</v>
      </c>
      <c r="AA664" s="146" t="s">
        <v>2825</v>
      </c>
    </row>
    <row r="665" spans="1:27" ht="18.600000000000001" customHeight="1">
      <c r="A665" s="139" t="str">
        <f>IF(priority(Main[[#This Row],[Comments]])&lt;&gt;0, priority(Main[[#This Row],[Comments]]),"")</f>
        <v/>
      </c>
      <c r="B665" s="89" t="s">
        <v>1501</v>
      </c>
      <c r="C665" s="72" t="s">
        <v>93</v>
      </c>
      <c r="D665" s="73" t="s">
        <v>604</v>
      </c>
      <c r="E665" s="74"/>
      <c r="F665" s="74">
        <v>40299</v>
      </c>
      <c r="G665" s="75" t="str">
        <f>IF(stdProdLT(Main[[#This Row],[Comments]])=0.1,"N/A",IF(stdProdLT(Main[[#This Row],[Comments]])=0,"",stdProdLT(Main[[#This Row],[Comments]])))</f>
        <v/>
      </c>
      <c r="H665" s="76" t="str">
        <f>IF(AND(Main[[#This Row],[In Stock Date]]&lt;&gt;"",Main[[#This Row],[Revised Due Date]]&lt;&gt;""),Main[[#This Row],[In Stock Date]]-Main[[#This Row],[Revised Due Date]],"")</f>
        <v/>
      </c>
      <c r="I665" s="72" t="s">
        <v>4</v>
      </c>
      <c r="J665" s="72" t="s">
        <v>4</v>
      </c>
      <c r="K665" s="72" t="s">
        <v>4</v>
      </c>
      <c r="L665" s="74"/>
      <c r="M665" s="77" t="str">
        <f>IF(Main[[#This Row],[Tech Start Date]]&lt;1/1/1990,"",IF(Main[[#This Row],[Class]]="C",WORKDAY(Main[[#This Row],[Tech Start Date]],9),IF(Main[[#This Row],[Class]]="B", WORKDAY(Main[[#This Row],[Tech Start Date]],6),IF(Main[[#This Row],[Class]]="A",WORKDAY(Main[[#This Row],[Tech Start Date]],2),""))))</f>
        <v/>
      </c>
      <c r="N665" s="77" t="str">
        <f>IF(Main[[#This Row],[Tech Start Date]]&lt;1/1/1990,"",IF(Main[[#This Row],[Class]]="C",WORKDAY(Main[[#This Row],[Tech Start Date]],19),IF(Main[[#This Row],[Class]]="B", WORKDAY(Main[[#This Row],[Tech Start Date]],12),IF(Main[[#This Row],[Class]]="A",WORKDAY(Main[[#This Row],[Tech Start Date]],4),""))))</f>
        <v/>
      </c>
      <c r="O665" s="77" t="str">
        <f>IF(Main[[#This Row],[Tech Start Date]]&lt;1/1/1990,"",IF(Main[[#This Row],[Class]]="C",WORKDAY(Main[[#This Row],[Tech Start Date]],23),IF(Main[[#This Row],[Class]]="B", WORKDAY(Main[[#This Row],[Tech Start Date]],15),IF(Main[[#This Row],[Class]]="A",WORKDAY(Main[[#This Row],[Tech Start Date]],5),""))))</f>
        <v/>
      </c>
      <c r="P665" s="77" t="str">
        <f>IF(Main[[#This Row],[Tech Start Date]]&lt;1/1/1990,"",IF(Main[[#This Row],[Class]]="C",WORKDAY(Main[[#This Row],[Tech Start Date]],28),IF(Main[[#This Row],[Class]]="B", WORKDAY(Main[[#This Row],[Tech Start Date]],19),IF(Main[[#This Row],[Class]]="A",WORKDAY(Main[[#This Row],[Tech Start Date]],9),""))))</f>
        <v/>
      </c>
      <c r="Q665" s="74">
        <v>40214</v>
      </c>
      <c r="R665" s="74"/>
      <c r="S665" s="72" t="s">
        <v>11</v>
      </c>
      <c r="T665" s="80" t="s">
        <v>4</v>
      </c>
      <c r="U665" s="72" t="s">
        <v>12</v>
      </c>
      <c r="V665" s="72" t="s">
        <v>1917</v>
      </c>
      <c r="W665" s="72" t="s">
        <v>1923</v>
      </c>
      <c r="X665" s="72" t="s">
        <v>2851</v>
      </c>
      <c r="Y665" s="72" t="s">
        <v>4</v>
      </c>
      <c r="Z665" s="72" t="s">
        <v>4</v>
      </c>
      <c r="AA665" s="146" t="s">
        <v>2851</v>
      </c>
    </row>
    <row r="666" spans="1:27" ht="18.600000000000001" customHeight="1">
      <c r="A666" s="139" t="str">
        <f>IF(priority(Main[[#This Row],[Comments]])&lt;&gt;0, priority(Main[[#This Row],[Comments]]),"")</f>
        <v/>
      </c>
      <c r="B666" s="136" t="s">
        <v>1188</v>
      </c>
      <c r="C666" s="129" t="s">
        <v>4</v>
      </c>
      <c r="D666" s="130" t="s">
        <v>247</v>
      </c>
      <c r="E666" s="131"/>
      <c r="F666" s="131"/>
      <c r="G666" s="132" t="str">
        <f>IF(stdProdLT(Main[[#This Row],[Comments]])=0.1,"N/A",IF(stdProdLT(Main[[#This Row],[Comments]])=0,"",stdProdLT(Main[[#This Row],[Comments]])))</f>
        <v/>
      </c>
      <c r="H666" s="133" t="str">
        <f>IF(AND(Main[[#This Row],[In Stock Date]]&lt;&gt;"",Main[[#This Row],[Revised Due Date]]&lt;&gt;""),Main[[#This Row],[In Stock Date]]-Main[[#This Row],[Revised Due Date]],"")</f>
        <v/>
      </c>
      <c r="I666" s="129" t="s">
        <v>4</v>
      </c>
      <c r="J666" s="129" t="s">
        <v>28</v>
      </c>
      <c r="K666" s="129" t="s">
        <v>4</v>
      </c>
      <c r="L666" s="131"/>
      <c r="M666" s="134" t="str">
        <f>IF(Main[[#This Row],[Tech Start Date]]&lt;1/1/1990,"",IF(Main[[#This Row],[Class]]="C",WORKDAY(Main[[#This Row],[Tech Start Date]],9),IF(Main[[#This Row],[Class]]="B", WORKDAY(Main[[#This Row],[Tech Start Date]],6),IF(Main[[#This Row],[Class]]="A",WORKDAY(Main[[#This Row],[Tech Start Date]],2),""))))</f>
        <v/>
      </c>
      <c r="N666" s="134" t="str">
        <f>IF(Main[[#This Row],[Tech Start Date]]&lt;1/1/1990,"",IF(Main[[#This Row],[Class]]="C",WORKDAY(Main[[#This Row],[Tech Start Date]],19),IF(Main[[#This Row],[Class]]="B", WORKDAY(Main[[#This Row],[Tech Start Date]],12),IF(Main[[#This Row],[Class]]="A",WORKDAY(Main[[#This Row],[Tech Start Date]],4),""))))</f>
        <v/>
      </c>
      <c r="O666" s="134" t="str">
        <f>IF(Main[[#This Row],[Tech Start Date]]&lt;1/1/1990,"",IF(Main[[#This Row],[Class]]="C",WORKDAY(Main[[#This Row],[Tech Start Date]],23),IF(Main[[#This Row],[Class]]="B", WORKDAY(Main[[#This Row],[Tech Start Date]],15),IF(Main[[#This Row],[Class]]="A",WORKDAY(Main[[#This Row],[Tech Start Date]],5),""))))</f>
        <v/>
      </c>
      <c r="P666" s="134" t="str">
        <f>IF(Main[[#This Row],[Tech Start Date]]&lt;1/1/1990,"",IF(Main[[#This Row],[Class]]="C",WORKDAY(Main[[#This Row],[Tech Start Date]],28),IF(Main[[#This Row],[Class]]="B", WORKDAY(Main[[#This Row],[Tech Start Date]],19),IF(Main[[#This Row],[Class]]="A",WORKDAY(Main[[#This Row],[Tech Start Date]],9),""))))</f>
        <v/>
      </c>
      <c r="Q666" s="131">
        <v>40480</v>
      </c>
      <c r="R666" s="131"/>
      <c r="S666" s="129" t="s">
        <v>6</v>
      </c>
      <c r="T666" s="135" t="s">
        <v>4</v>
      </c>
      <c r="U666" s="129" t="s">
        <v>14</v>
      </c>
      <c r="V666" s="129" t="s">
        <v>1917</v>
      </c>
      <c r="W666" s="129" t="s">
        <v>1925</v>
      </c>
      <c r="X666" s="129" t="s">
        <v>2901</v>
      </c>
      <c r="Y666" s="129" t="s">
        <v>3066</v>
      </c>
      <c r="Z666" s="129" t="s">
        <v>129</v>
      </c>
      <c r="AA666" s="146" t="s">
        <v>2901</v>
      </c>
    </row>
    <row r="667" spans="1:27" ht="18.600000000000001" customHeight="1">
      <c r="A667" s="139" t="str">
        <f>IF(priority(Main[[#This Row],[Comments]])&lt;&gt;0, priority(Main[[#This Row],[Comments]]),"")</f>
        <v/>
      </c>
      <c r="B667" s="89" t="s">
        <v>1502</v>
      </c>
      <c r="C667" s="72" t="s">
        <v>31</v>
      </c>
      <c r="D667" s="73" t="s">
        <v>605</v>
      </c>
      <c r="E667" s="74"/>
      <c r="F667" s="74">
        <v>40330</v>
      </c>
      <c r="G667" s="75" t="str">
        <f>IF(stdProdLT(Main[[#This Row],[Comments]])=0.1,"N/A",IF(stdProdLT(Main[[#This Row],[Comments]])=0,"",stdProdLT(Main[[#This Row],[Comments]])))</f>
        <v/>
      </c>
      <c r="H667" s="76" t="str">
        <f>IF(AND(Main[[#This Row],[In Stock Date]]&lt;&gt;"",Main[[#This Row],[Revised Due Date]]&lt;&gt;""),Main[[#This Row],[In Stock Date]]-Main[[#This Row],[Revised Due Date]],"")</f>
        <v/>
      </c>
      <c r="I667" s="72" t="s">
        <v>417</v>
      </c>
      <c r="J667" s="72" t="s">
        <v>4</v>
      </c>
      <c r="K667" s="72" t="s">
        <v>4</v>
      </c>
      <c r="L667" s="74"/>
      <c r="M667" s="77" t="str">
        <f>IF(Main[[#This Row],[Tech Start Date]]&lt;1/1/1990,"",IF(Main[[#This Row],[Class]]="C",WORKDAY(Main[[#This Row],[Tech Start Date]],9),IF(Main[[#This Row],[Class]]="B", WORKDAY(Main[[#This Row],[Tech Start Date]],6),IF(Main[[#This Row],[Class]]="A",WORKDAY(Main[[#This Row],[Tech Start Date]],2),""))))</f>
        <v/>
      </c>
      <c r="N667" s="77" t="str">
        <f>IF(Main[[#This Row],[Tech Start Date]]&lt;1/1/1990,"",IF(Main[[#This Row],[Class]]="C",WORKDAY(Main[[#This Row],[Tech Start Date]],19),IF(Main[[#This Row],[Class]]="B", WORKDAY(Main[[#This Row],[Tech Start Date]],12),IF(Main[[#This Row],[Class]]="A",WORKDAY(Main[[#This Row],[Tech Start Date]],4),""))))</f>
        <v/>
      </c>
      <c r="O667" s="77" t="str">
        <f>IF(Main[[#This Row],[Tech Start Date]]&lt;1/1/1990,"",IF(Main[[#This Row],[Class]]="C",WORKDAY(Main[[#This Row],[Tech Start Date]],23),IF(Main[[#This Row],[Class]]="B", WORKDAY(Main[[#This Row],[Tech Start Date]],15),IF(Main[[#This Row],[Class]]="A",WORKDAY(Main[[#This Row],[Tech Start Date]],5),""))))</f>
        <v/>
      </c>
      <c r="P667" s="77" t="str">
        <f>IF(Main[[#This Row],[Tech Start Date]]&lt;1/1/1990,"",IF(Main[[#This Row],[Class]]="C",WORKDAY(Main[[#This Row],[Tech Start Date]],28),IF(Main[[#This Row],[Class]]="B", WORKDAY(Main[[#This Row],[Tech Start Date]],19),IF(Main[[#This Row],[Class]]="A",WORKDAY(Main[[#This Row],[Tech Start Date]],9),""))))</f>
        <v/>
      </c>
      <c r="Q667" s="74">
        <v>40210</v>
      </c>
      <c r="R667" s="74"/>
      <c r="S667" s="72" t="s">
        <v>11</v>
      </c>
      <c r="T667" s="80" t="s">
        <v>4</v>
      </c>
      <c r="U667" s="72" t="s">
        <v>14</v>
      </c>
      <c r="V667" s="72" t="s">
        <v>1920</v>
      </c>
      <c r="W667" s="72" t="s">
        <v>1923</v>
      </c>
      <c r="X667" s="72" t="s">
        <v>2830</v>
      </c>
      <c r="Y667" s="72" t="s">
        <v>2949</v>
      </c>
      <c r="Z667" s="72" t="s">
        <v>4</v>
      </c>
      <c r="AA667" s="146" t="s">
        <v>2830</v>
      </c>
    </row>
    <row r="668" spans="1:27" ht="18.600000000000001" customHeight="1">
      <c r="A668" s="139" t="str">
        <f>IF(priority(Main[[#This Row],[Comments]])&lt;&gt;0, priority(Main[[#This Row],[Comments]]),"")</f>
        <v/>
      </c>
      <c r="B668" s="89" t="s">
        <v>1503</v>
      </c>
      <c r="C668" s="72" t="s">
        <v>4</v>
      </c>
      <c r="D668" s="73" t="s">
        <v>606</v>
      </c>
      <c r="E668" s="74">
        <v>40312.431608796294</v>
      </c>
      <c r="F668" s="74"/>
      <c r="G668" s="75" t="str">
        <f>IF(stdProdLT(Main[[#This Row],[Comments]])=0.1,"N/A",IF(stdProdLT(Main[[#This Row],[Comments]])=0,"",stdProdLT(Main[[#This Row],[Comments]])))</f>
        <v/>
      </c>
      <c r="H668" s="76" t="str">
        <f>IF(AND(Main[[#This Row],[In Stock Date]]&lt;&gt;"",Main[[#This Row],[Revised Due Date]]&lt;&gt;""),Main[[#This Row],[In Stock Date]]-Main[[#This Row],[Revised Due Date]],"")</f>
        <v/>
      </c>
      <c r="I668" s="72" t="s">
        <v>129</v>
      </c>
      <c r="J668" s="72" t="s">
        <v>4</v>
      </c>
      <c r="K668" s="72" t="s">
        <v>4</v>
      </c>
      <c r="L668" s="74"/>
      <c r="M668" s="77" t="str">
        <f>IF(Main[[#This Row],[Tech Start Date]]&lt;1/1/1990,"",IF(Main[[#This Row],[Class]]="C",WORKDAY(Main[[#This Row],[Tech Start Date]],9),IF(Main[[#This Row],[Class]]="B", WORKDAY(Main[[#This Row],[Tech Start Date]],6),IF(Main[[#This Row],[Class]]="A",WORKDAY(Main[[#This Row],[Tech Start Date]],2),""))))</f>
        <v/>
      </c>
      <c r="N668" s="77" t="str">
        <f>IF(Main[[#This Row],[Tech Start Date]]&lt;1/1/1990,"",IF(Main[[#This Row],[Class]]="C",WORKDAY(Main[[#This Row],[Tech Start Date]],19),IF(Main[[#This Row],[Class]]="B", WORKDAY(Main[[#This Row],[Tech Start Date]],12),IF(Main[[#This Row],[Class]]="A",WORKDAY(Main[[#This Row],[Tech Start Date]],4),""))))</f>
        <v/>
      </c>
      <c r="O668" s="77" t="str">
        <f>IF(Main[[#This Row],[Tech Start Date]]&lt;1/1/1990,"",IF(Main[[#This Row],[Class]]="C",WORKDAY(Main[[#This Row],[Tech Start Date]],23),IF(Main[[#This Row],[Class]]="B", WORKDAY(Main[[#This Row],[Tech Start Date]],15),IF(Main[[#This Row],[Class]]="A",WORKDAY(Main[[#This Row],[Tech Start Date]],5),""))))</f>
        <v/>
      </c>
      <c r="P668" s="77" t="str">
        <f>IF(Main[[#This Row],[Tech Start Date]]&lt;1/1/1990,"",IF(Main[[#This Row],[Class]]="C",WORKDAY(Main[[#This Row],[Tech Start Date]],28),IF(Main[[#This Row],[Class]]="B", WORKDAY(Main[[#This Row],[Tech Start Date]],19),IF(Main[[#This Row],[Class]]="A",WORKDAY(Main[[#This Row],[Tech Start Date]],9),""))))</f>
        <v/>
      </c>
      <c r="Q668" s="74">
        <v>40326</v>
      </c>
      <c r="R668" s="74"/>
      <c r="S668" s="72" t="s">
        <v>6</v>
      </c>
      <c r="T668" s="80" t="s">
        <v>4</v>
      </c>
      <c r="U668" s="72" t="s">
        <v>7</v>
      </c>
      <c r="V668" s="72" t="s">
        <v>1917</v>
      </c>
      <c r="W668" s="72" t="s">
        <v>1921</v>
      </c>
      <c r="X668" s="72" t="s">
        <v>102</v>
      </c>
      <c r="Y668" s="72" t="s">
        <v>3017</v>
      </c>
      <c r="Z668" s="72" t="s">
        <v>4</v>
      </c>
      <c r="AA668" s="146" t="s">
        <v>102</v>
      </c>
    </row>
    <row r="669" spans="1:27" ht="18.600000000000001" customHeight="1">
      <c r="A669" s="139" t="str">
        <f>IF(priority(Main[[#This Row],[Comments]])&lt;&gt;0, priority(Main[[#This Row],[Comments]]),"")</f>
        <v/>
      </c>
      <c r="B669" s="89" t="s">
        <v>1516</v>
      </c>
      <c r="C669" s="72" t="s">
        <v>4</v>
      </c>
      <c r="D669" s="73" t="s">
        <v>591</v>
      </c>
      <c r="E669" s="74"/>
      <c r="F669" s="74"/>
      <c r="G669" s="75" t="str">
        <f>IF(stdProdLT(Main[[#This Row],[Comments]])=0.1,"N/A",IF(stdProdLT(Main[[#This Row],[Comments]])=0,"",stdProdLT(Main[[#This Row],[Comments]])))</f>
        <v/>
      </c>
      <c r="H669" s="76" t="str">
        <f>IF(AND(Main[[#This Row],[In Stock Date]]&lt;&gt;"",Main[[#This Row],[Revised Due Date]]&lt;&gt;""),Main[[#This Row],[In Stock Date]]-Main[[#This Row],[Revised Due Date]],"")</f>
        <v/>
      </c>
      <c r="I669" s="72" t="s">
        <v>4</v>
      </c>
      <c r="J669" s="72" t="s">
        <v>4</v>
      </c>
      <c r="K669" s="72" t="s">
        <v>4</v>
      </c>
      <c r="L669" s="74"/>
      <c r="M669" s="77" t="str">
        <f>IF(Main[[#This Row],[Tech Start Date]]&lt;1/1/1990,"",IF(Main[[#This Row],[Class]]="C",WORKDAY(Main[[#This Row],[Tech Start Date]],9),IF(Main[[#This Row],[Class]]="B", WORKDAY(Main[[#This Row],[Tech Start Date]],6),IF(Main[[#This Row],[Class]]="A",WORKDAY(Main[[#This Row],[Tech Start Date]],2),""))))</f>
        <v/>
      </c>
      <c r="N669" s="77" t="str">
        <f>IF(Main[[#This Row],[Tech Start Date]]&lt;1/1/1990,"",IF(Main[[#This Row],[Class]]="C",WORKDAY(Main[[#This Row],[Tech Start Date]],19),IF(Main[[#This Row],[Class]]="B", WORKDAY(Main[[#This Row],[Tech Start Date]],12),IF(Main[[#This Row],[Class]]="A",WORKDAY(Main[[#This Row],[Tech Start Date]],4),""))))</f>
        <v/>
      </c>
      <c r="O669" s="77" t="str">
        <f>IF(Main[[#This Row],[Tech Start Date]]&lt;1/1/1990,"",IF(Main[[#This Row],[Class]]="C",WORKDAY(Main[[#This Row],[Tech Start Date]],23),IF(Main[[#This Row],[Class]]="B", WORKDAY(Main[[#This Row],[Tech Start Date]],15),IF(Main[[#This Row],[Class]]="A",WORKDAY(Main[[#This Row],[Tech Start Date]],5),""))))</f>
        <v/>
      </c>
      <c r="P669" s="77" t="str">
        <f>IF(Main[[#This Row],[Tech Start Date]]&lt;1/1/1990,"",IF(Main[[#This Row],[Class]]="C",WORKDAY(Main[[#This Row],[Tech Start Date]],28),IF(Main[[#This Row],[Class]]="B", WORKDAY(Main[[#This Row],[Tech Start Date]],19),IF(Main[[#This Row],[Class]]="A",WORKDAY(Main[[#This Row],[Tech Start Date]],9),""))))</f>
        <v/>
      </c>
      <c r="Q669" s="74"/>
      <c r="R669" s="74"/>
      <c r="S669" s="72" t="s">
        <v>23</v>
      </c>
      <c r="T669" s="80" t="s">
        <v>4</v>
      </c>
      <c r="U669" s="72" t="s">
        <v>14</v>
      </c>
      <c r="V669" s="72" t="s">
        <v>1917</v>
      </c>
      <c r="W669" s="72" t="s">
        <v>1921</v>
      </c>
      <c r="X669" s="72" t="s">
        <v>102</v>
      </c>
      <c r="Y669" s="72" t="s">
        <v>3074</v>
      </c>
      <c r="Z669" s="72" t="s">
        <v>4</v>
      </c>
      <c r="AA669" s="146" t="s">
        <v>3433</v>
      </c>
    </row>
    <row r="670" spans="1:27" ht="18.600000000000001" customHeight="1">
      <c r="A670" s="139" t="str">
        <f>IF(priority(Main[[#This Row],[Comments]])&lt;&gt;0, priority(Main[[#This Row],[Comments]]),"")</f>
        <v/>
      </c>
      <c r="B670" s="123" t="s">
        <v>1517</v>
      </c>
      <c r="C670" s="116" t="s">
        <v>4</v>
      </c>
      <c r="D670" s="117" t="s">
        <v>592</v>
      </c>
      <c r="E670" s="118"/>
      <c r="F670" s="118">
        <v>40047</v>
      </c>
      <c r="G670" s="119" t="str">
        <f>IF(stdProdLT(Main[[#This Row],[Comments]])=0.1,"N/A",IF(stdProdLT(Main[[#This Row],[Comments]])=0,"",stdProdLT(Main[[#This Row],[Comments]])))</f>
        <v/>
      </c>
      <c r="H670" s="120" t="str">
        <f>IF(AND(Main[[#This Row],[In Stock Date]]&lt;&gt;"",Main[[#This Row],[Revised Due Date]]&lt;&gt;""),Main[[#This Row],[In Stock Date]]-Main[[#This Row],[Revised Due Date]],"")</f>
        <v/>
      </c>
      <c r="I670" s="116" t="s">
        <v>4</v>
      </c>
      <c r="J670" s="116" t="s">
        <v>4</v>
      </c>
      <c r="K670" s="116" t="s">
        <v>4</v>
      </c>
      <c r="L670" s="118"/>
      <c r="M670" s="121" t="str">
        <f>IF(Main[[#This Row],[Tech Start Date]]&lt;1/1/1990,"",IF(Main[[#This Row],[Class]]="C",WORKDAY(Main[[#This Row],[Tech Start Date]],9),IF(Main[[#This Row],[Class]]="B", WORKDAY(Main[[#This Row],[Tech Start Date]],6),IF(Main[[#This Row],[Class]]="A",WORKDAY(Main[[#This Row],[Tech Start Date]],2),""))))</f>
        <v/>
      </c>
      <c r="N670" s="121" t="str">
        <f>IF(Main[[#This Row],[Tech Start Date]]&lt;1/1/1990,"",IF(Main[[#This Row],[Class]]="C",WORKDAY(Main[[#This Row],[Tech Start Date]],19),IF(Main[[#This Row],[Class]]="B", WORKDAY(Main[[#This Row],[Tech Start Date]],12),IF(Main[[#This Row],[Class]]="A",WORKDAY(Main[[#This Row],[Tech Start Date]],4),""))))</f>
        <v/>
      </c>
      <c r="O670" s="121" t="str">
        <f>IF(Main[[#This Row],[Tech Start Date]]&lt;1/1/1990,"",IF(Main[[#This Row],[Class]]="C",WORKDAY(Main[[#This Row],[Tech Start Date]],23),IF(Main[[#This Row],[Class]]="B", WORKDAY(Main[[#This Row],[Tech Start Date]],15),IF(Main[[#This Row],[Class]]="A",WORKDAY(Main[[#This Row],[Tech Start Date]],5),""))))</f>
        <v/>
      </c>
      <c r="P670" s="121" t="str">
        <f>IF(Main[[#This Row],[Tech Start Date]]&lt;1/1/1990,"",IF(Main[[#This Row],[Class]]="C",WORKDAY(Main[[#This Row],[Tech Start Date]],28),IF(Main[[#This Row],[Class]]="B", WORKDAY(Main[[#This Row],[Tech Start Date]],19),IF(Main[[#This Row],[Class]]="A",WORKDAY(Main[[#This Row],[Tech Start Date]],9),""))))</f>
        <v/>
      </c>
      <c r="Q670" s="118"/>
      <c r="R670" s="118"/>
      <c r="S670" s="116" t="s">
        <v>11</v>
      </c>
      <c r="T670" s="122" t="s">
        <v>4</v>
      </c>
      <c r="U670" s="116" t="s">
        <v>14</v>
      </c>
      <c r="V670" s="116" t="s">
        <v>1920</v>
      </c>
      <c r="W670" s="116" t="s">
        <v>1923</v>
      </c>
      <c r="X670" s="116" t="s">
        <v>2869</v>
      </c>
      <c r="Y670" s="116" t="s">
        <v>3075</v>
      </c>
      <c r="Z670" s="116" t="s">
        <v>4</v>
      </c>
      <c r="AA670" s="146" t="s">
        <v>2869</v>
      </c>
    </row>
    <row r="671" spans="1:27" ht="18.600000000000001" customHeight="1">
      <c r="A671" s="139" t="str">
        <f>IF(priority(Main[[#This Row],[Comments]])&lt;&gt;0, priority(Main[[#This Row],[Comments]]),"")</f>
        <v/>
      </c>
      <c r="B671" s="89" t="s">
        <v>1518</v>
      </c>
      <c r="C671" s="72" t="s">
        <v>4</v>
      </c>
      <c r="D671" s="73" t="s">
        <v>593</v>
      </c>
      <c r="E671" s="74"/>
      <c r="F671" s="74"/>
      <c r="G671" s="75" t="str">
        <f>IF(stdProdLT(Main[[#This Row],[Comments]])=0.1,"N/A",IF(stdProdLT(Main[[#This Row],[Comments]])=0,"",stdProdLT(Main[[#This Row],[Comments]])))</f>
        <v/>
      </c>
      <c r="H671" s="76" t="str">
        <f>IF(AND(Main[[#This Row],[In Stock Date]]&lt;&gt;"",Main[[#This Row],[Revised Due Date]]&lt;&gt;""),Main[[#This Row],[In Stock Date]]-Main[[#This Row],[Revised Due Date]],"")</f>
        <v/>
      </c>
      <c r="I671" s="72" t="s">
        <v>4</v>
      </c>
      <c r="J671" s="72" t="s">
        <v>4</v>
      </c>
      <c r="K671" s="72" t="s">
        <v>4</v>
      </c>
      <c r="L671" s="74"/>
      <c r="M671" s="77" t="str">
        <f>IF(Main[[#This Row],[Tech Start Date]]&lt;1/1/1990,"",IF(Main[[#This Row],[Class]]="C",WORKDAY(Main[[#This Row],[Tech Start Date]],9),IF(Main[[#This Row],[Class]]="B", WORKDAY(Main[[#This Row],[Tech Start Date]],6),IF(Main[[#This Row],[Class]]="A",WORKDAY(Main[[#This Row],[Tech Start Date]],2),""))))</f>
        <v/>
      </c>
      <c r="N671" s="77" t="str">
        <f>IF(Main[[#This Row],[Tech Start Date]]&lt;1/1/1990,"",IF(Main[[#This Row],[Class]]="C",WORKDAY(Main[[#This Row],[Tech Start Date]],19),IF(Main[[#This Row],[Class]]="B", WORKDAY(Main[[#This Row],[Tech Start Date]],12),IF(Main[[#This Row],[Class]]="A",WORKDAY(Main[[#This Row],[Tech Start Date]],4),""))))</f>
        <v/>
      </c>
      <c r="O671" s="77" t="str">
        <f>IF(Main[[#This Row],[Tech Start Date]]&lt;1/1/1990,"",IF(Main[[#This Row],[Class]]="C",WORKDAY(Main[[#This Row],[Tech Start Date]],23),IF(Main[[#This Row],[Class]]="B", WORKDAY(Main[[#This Row],[Tech Start Date]],15),IF(Main[[#This Row],[Class]]="A",WORKDAY(Main[[#This Row],[Tech Start Date]],5),""))))</f>
        <v/>
      </c>
      <c r="P671" s="77" t="str">
        <f>IF(Main[[#This Row],[Tech Start Date]]&lt;1/1/1990,"",IF(Main[[#This Row],[Class]]="C",WORKDAY(Main[[#This Row],[Tech Start Date]],28),IF(Main[[#This Row],[Class]]="B", WORKDAY(Main[[#This Row],[Tech Start Date]],19),IF(Main[[#This Row],[Class]]="A",WORKDAY(Main[[#This Row],[Tech Start Date]],9),""))))</f>
        <v/>
      </c>
      <c r="Q671" s="74"/>
      <c r="R671" s="74"/>
      <c r="S671" s="72" t="s">
        <v>6</v>
      </c>
      <c r="T671" s="80" t="s">
        <v>4</v>
      </c>
      <c r="U671" s="72" t="s">
        <v>12</v>
      </c>
      <c r="V671" s="72" t="s">
        <v>1917</v>
      </c>
      <c r="W671" s="72" t="s">
        <v>1921</v>
      </c>
      <c r="X671" s="72" t="s">
        <v>710</v>
      </c>
      <c r="Y671" s="72" t="s">
        <v>3076</v>
      </c>
      <c r="Z671" s="72" t="s">
        <v>4</v>
      </c>
      <c r="AA671" s="146" t="s">
        <v>710</v>
      </c>
    </row>
    <row r="672" spans="1:27" ht="18.600000000000001" customHeight="1">
      <c r="A672" s="139" t="str">
        <f>IF(priority(Main[[#This Row],[Comments]])&lt;&gt;0, priority(Main[[#This Row],[Comments]]),"")</f>
        <v/>
      </c>
      <c r="B672" s="89" t="s">
        <v>1519</v>
      </c>
      <c r="C672" s="72" t="s">
        <v>47</v>
      </c>
      <c r="D672" s="73" t="s">
        <v>594</v>
      </c>
      <c r="E672" s="74"/>
      <c r="F672" s="74"/>
      <c r="G672" s="75" t="str">
        <f>IF(stdProdLT(Main[[#This Row],[Comments]])=0.1,"N/A",IF(stdProdLT(Main[[#This Row],[Comments]])=0,"",stdProdLT(Main[[#This Row],[Comments]])))</f>
        <v/>
      </c>
      <c r="H672" s="76" t="str">
        <f>IF(AND(Main[[#This Row],[In Stock Date]]&lt;&gt;"",Main[[#This Row],[Revised Due Date]]&lt;&gt;""),Main[[#This Row],[In Stock Date]]-Main[[#This Row],[Revised Due Date]],"")</f>
        <v/>
      </c>
      <c r="I672" s="72" t="s">
        <v>4</v>
      </c>
      <c r="J672" s="72" t="s">
        <v>4</v>
      </c>
      <c r="K672" s="72" t="s">
        <v>4</v>
      </c>
      <c r="L672" s="74"/>
      <c r="M672" s="77" t="str">
        <f>IF(Main[[#This Row],[Tech Start Date]]&lt;1/1/1990,"",IF(Main[[#This Row],[Class]]="C",WORKDAY(Main[[#This Row],[Tech Start Date]],9),IF(Main[[#This Row],[Class]]="B", WORKDAY(Main[[#This Row],[Tech Start Date]],6),IF(Main[[#This Row],[Class]]="A",WORKDAY(Main[[#This Row],[Tech Start Date]],2),""))))</f>
        <v/>
      </c>
      <c r="N672" s="77" t="str">
        <f>IF(Main[[#This Row],[Tech Start Date]]&lt;1/1/1990,"",IF(Main[[#This Row],[Class]]="C",WORKDAY(Main[[#This Row],[Tech Start Date]],19),IF(Main[[#This Row],[Class]]="B", WORKDAY(Main[[#This Row],[Tech Start Date]],12),IF(Main[[#This Row],[Class]]="A",WORKDAY(Main[[#This Row],[Tech Start Date]],4),""))))</f>
        <v/>
      </c>
      <c r="O672" s="77" t="str">
        <f>IF(Main[[#This Row],[Tech Start Date]]&lt;1/1/1990,"",IF(Main[[#This Row],[Class]]="C",WORKDAY(Main[[#This Row],[Tech Start Date]],23),IF(Main[[#This Row],[Class]]="B", WORKDAY(Main[[#This Row],[Tech Start Date]],15),IF(Main[[#This Row],[Class]]="A",WORKDAY(Main[[#This Row],[Tech Start Date]],5),""))))</f>
        <v/>
      </c>
      <c r="P672" s="77" t="str">
        <f>IF(Main[[#This Row],[Tech Start Date]]&lt;1/1/1990,"",IF(Main[[#This Row],[Class]]="C",WORKDAY(Main[[#This Row],[Tech Start Date]],28),IF(Main[[#This Row],[Class]]="B", WORKDAY(Main[[#This Row],[Tech Start Date]],19),IF(Main[[#This Row],[Class]]="A",WORKDAY(Main[[#This Row],[Tech Start Date]],9),""))))</f>
        <v/>
      </c>
      <c r="Q672" s="74"/>
      <c r="R672" s="74"/>
      <c r="S672" s="72" t="s">
        <v>49</v>
      </c>
      <c r="T672" s="80" t="s">
        <v>4</v>
      </c>
      <c r="U672" s="72" t="s">
        <v>14</v>
      </c>
      <c r="V672" s="72" t="s">
        <v>1920</v>
      </c>
      <c r="W672" s="72" t="s">
        <v>1921</v>
      </c>
      <c r="X672" s="72" t="s">
        <v>306</v>
      </c>
      <c r="Y672" s="72" t="s">
        <v>2947</v>
      </c>
      <c r="Z672" s="72" t="s">
        <v>4</v>
      </c>
      <c r="AA672" s="146" t="s">
        <v>3388</v>
      </c>
    </row>
    <row r="673" spans="1:27" ht="18.600000000000001" customHeight="1">
      <c r="A673" s="139" t="str">
        <f>IF(priority(Main[[#This Row],[Comments]])&lt;&gt;0, priority(Main[[#This Row],[Comments]]),"")</f>
        <v/>
      </c>
      <c r="B673" s="89" t="s">
        <v>1998</v>
      </c>
      <c r="C673" s="72" t="s">
        <v>1999</v>
      </c>
      <c r="D673" s="73" t="s">
        <v>2000</v>
      </c>
      <c r="E673" s="74"/>
      <c r="F673" s="74">
        <v>40801</v>
      </c>
      <c r="G673" s="75" t="str">
        <f>IF(stdProdLT(Main[[#This Row],[Comments]])=0.1,"N/A",IF(stdProdLT(Main[[#This Row],[Comments]])=0,"",stdProdLT(Main[[#This Row],[Comments]])))</f>
        <v/>
      </c>
      <c r="H673" s="76" t="str">
        <f>IF(AND(Main[[#This Row],[In Stock Date]]&lt;&gt;"",Main[[#This Row],[Revised Due Date]]&lt;&gt;""),Main[[#This Row],[In Stock Date]]-Main[[#This Row],[Revised Due Date]],"")</f>
        <v/>
      </c>
      <c r="I673" s="72" t="s">
        <v>4</v>
      </c>
      <c r="J673" s="72" t="s">
        <v>4</v>
      </c>
      <c r="K673" s="72" t="s">
        <v>4</v>
      </c>
      <c r="L673" s="74"/>
      <c r="M673" s="77" t="str">
        <f>IF(Main[[#This Row],[Tech Start Date]]&lt;1/1/1990,"",IF(Main[[#This Row],[Class]]="C",WORKDAY(Main[[#This Row],[Tech Start Date]],9),IF(Main[[#This Row],[Class]]="B", WORKDAY(Main[[#This Row],[Tech Start Date]],6),IF(Main[[#This Row],[Class]]="A",WORKDAY(Main[[#This Row],[Tech Start Date]],2),""))))</f>
        <v/>
      </c>
      <c r="N673" s="77" t="str">
        <f>IF(Main[[#This Row],[Tech Start Date]]&lt;1/1/1990,"",IF(Main[[#This Row],[Class]]="C",WORKDAY(Main[[#This Row],[Tech Start Date]],19),IF(Main[[#This Row],[Class]]="B", WORKDAY(Main[[#This Row],[Tech Start Date]],12),IF(Main[[#This Row],[Class]]="A",WORKDAY(Main[[#This Row],[Tech Start Date]],4),""))))</f>
        <v/>
      </c>
      <c r="O673" s="77" t="str">
        <f>IF(Main[[#This Row],[Tech Start Date]]&lt;1/1/1990,"",IF(Main[[#This Row],[Class]]="C",WORKDAY(Main[[#This Row],[Tech Start Date]],23),IF(Main[[#This Row],[Class]]="B", WORKDAY(Main[[#This Row],[Tech Start Date]],15),IF(Main[[#This Row],[Class]]="A",WORKDAY(Main[[#This Row],[Tech Start Date]],5),""))))</f>
        <v/>
      </c>
      <c r="P673" s="77" t="str">
        <f>IF(Main[[#This Row],[Tech Start Date]]&lt;1/1/1990,"",IF(Main[[#This Row],[Class]]="C",WORKDAY(Main[[#This Row],[Tech Start Date]],28),IF(Main[[#This Row],[Class]]="B", WORKDAY(Main[[#This Row],[Tech Start Date]],19),IF(Main[[#This Row],[Class]]="A",WORKDAY(Main[[#This Row],[Tech Start Date]],9),""))))</f>
        <v/>
      </c>
      <c r="Q673" s="74"/>
      <c r="R673" s="74"/>
      <c r="S673" s="72" t="s">
        <v>6</v>
      </c>
      <c r="T673" s="80" t="s">
        <v>4</v>
      </c>
      <c r="U673" s="72" t="s">
        <v>12</v>
      </c>
      <c r="V673" s="72" t="s">
        <v>1920</v>
      </c>
      <c r="W673" s="72" t="s">
        <v>1921</v>
      </c>
      <c r="X673" s="72" t="s">
        <v>2905</v>
      </c>
      <c r="Y673" s="72" t="s">
        <v>3077</v>
      </c>
      <c r="Z673" s="72" t="s">
        <v>4</v>
      </c>
      <c r="AA673" s="146" t="s">
        <v>3434</v>
      </c>
    </row>
    <row r="674" spans="1:27" ht="18.600000000000001" customHeight="1">
      <c r="A674" s="139" t="str">
        <f>IF(priority(Main[[#This Row],[Comments]])&lt;&gt;0, priority(Main[[#This Row],[Comments]]),"")</f>
        <v/>
      </c>
      <c r="B674" s="89" t="s">
        <v>1520</v>
      </c>
      <c r="C674" s="72" t="s">
        <v>4</v>
      </c>
      <c r="D674" s="73" t="s">
        <v>595</v>
      </c>
      <c r="E674" s="74">
        <v>40270.342719907407</v>
      </c>
      <c r="F674" s="74"/>
      <c r="G674" s="75" t="str">
        <f>IF(stdProdLT(Main[[#This Row],[Comments]])=0.1,"N/A",IF(stdProdLT(Main[[#This Row],[Comments]])=0,"",stdProdLT(Main[[#This Row],[Comments]])))</f>
        <v/>
      </c>
      <c r="H674" s="76" t="str">
        <f>IF(AND(Main[[#This Row],[In Stock Date]]&lt;&gt;"",Main[[#This Row],[Revised Due Date]]&lt;&gt;""),Main[[#This Row],[In Stock Date]]-Main[[#This Row],[Revised Due Date]],"")</f>
        <v/>
      </c>
      <c r="I674" s="72" t="s">
        <v>4</v>
      </c>
      <c r="J674" s="72" t="s">
        <v>4</v>
      </c>
      <c r="K674" s="81" t="s">
        <v>4</v>
      </c>
      <c r="L674" s="74"/>
      <c r="M674" s="77" t="str">
        <f>IF(Main[[#This Row],[Tech Start Date]]&lt;1/1/1990,"",IF(Main[[#This Row],[Class]]="C",WORKDAY(Main[[#This Row],[Tech Start Date]],9),IF(Main[[#This Row],[Class]]="B", WORKDAY(Main[[#This Row],[Tech Start Date]],6),IF(Main[[#This Row],[Class]]="A",WORKDAY(Main[[#This Row],[Tech Start Date]],2),""))))</f>
        <v/>
      </c>
      <c r="N674" s="77" t="str">
        <f>IF(Main[[#This Row],[Tech Start Date]]&lt;1/1/1990,"",IF(Main[[#This Row],[Class]]="C",WORKDAY(Main[[#This Row],[Tech Start Date]],19),IF(Main[[#This Row],[Class]]="B", WORKDAY(Main[[#This Row],[Tech Start Date]],12),IF(Main[[#This Row],[Class]]="A",WORKDAY(Main[[#This Row],[Tech Start Date]],4),""))))</f>
        <v/>
      </c>
      <c r="O674" s="77" t="str">
        <f>IF(Main[[#This Row],[Tech Start Date]]&lt;1/1/1990,"",IF(Main[[#This Row],[Class]]="C",WORKDAY(Main[[#This Row],[Tech Start Date]],23),IF(Main[[#This Row],[Class]]="B", WORKDAY(Main[[#This Row],[Tech Start Date]],15),IF(Main[[#This Row],[Class]]="A",WORKDAY(Main[[#This Row],[Tech Start Date]],5),""))))</f>
        <v/>
      </c>
      <c r="P674" s="77" t="str">
        <f>IF(Main[[#This Row],[Tech Start Date]]&lt;1/1/1990,"",IF(Main[[#This Row],[Class]]="C",WORKDAY(Main[[#This Row],[Tech Start Date]],28),IF(Main[[#This Row],[Class]]="B", WORKDAY(Main[[#This Row],[Tech Start Date]],19),IF(Main[[#This Row],[Class]]="A",WORKDAY(Main[[#This Row],[Tech Start Date]],9),""))))</f>
        <v/>
      </c>
      <c r="Q674" s="74">
        <v>40359</v>
      </c>
      <c r="R674" s="74"/>
      <c r="S674" s="72" t="s">
        <v>6</v>
      </c>
      <c r="T674" s="80" t="s">
        <v>4</v>
      </c>
      <c r="U674" s="72" t="s">
        <v>7</v>
      </c>
      <c r="V674" s="72" t="s">
        <v>1917</v>
      </c>
      <c r="W674" s="72" t="s">
        <v>4</v>
      </c>
      <c r="X674" s="72" t="s">
        <v>2893</v>
      </c>
      <c r="Y674" s="72" t="s">
        <v>3049</v>
      </c>
      <c r="Z674" s="72" t="s">
        <v>4</v>
      </c>
      <c r="AA674" s="146" t="s">
        <v>2893</v>
      </c>
    </row>
    <row r="675" spans="1:27" ht="18.600000000000001" customHeight="1">
      <c r="A675" s="139" t="str">
        <f>IF(priority(Main[[#This Row],[Comments]])&lt;&gt;0, priority(Main[[#This Row],[Comments]]),"")</f>
        <v/>
      </c>
      <c r="B675" s="89" t="s">
        <v>1521</v>
      </c>
      <c r="C675" s="72" t="s">
        <v>351</v>
      </c>
      <c r="D675" s="73" t="s">
        <v>596</v>
      </c>
      <c r="E675" s="74"/>
      <c r="F675" s="74">
        <v>40452</v>
      </c>
      <c r="G675" s="75" t="str">
        <f>IF(stdProdLT(Main[[#This Row],[Comments]])=0.1,"N/A",IF(stdProdLT(Main[[#This Row],[Comments]])=0,"",stdProdLT(Main[[#This Row],[Comments]])))</f>
        <v/>
      </c>
      <c r="H675" s="76" t="str">
        <f>IF(AND(Main[[#This Row],[In Stock Date]]&lt;&gt;"",Main[[#This Row],[Revised Due Date]]&lt;&gt;""),Main[[#This Row],[In Stock Date]]-Main[[#This Row],[Revised Due Date]],"")</f>
        <v/>
      </c>
      <c r="I675" s="72" t="s">
        <v>4</v>
      </c>
      <c r="J675" s="72" t="s">
        <v>4</v>
      </c>
      <c r="K675" s="81" t="s">
        <v>4</v>
      </c>
      <c r="L675" s="74"/>
      <c r="M675" s="77" t="str">
        <f>IF(Main[[#This Row],[Tech Start Date]]&lt;1/1/1990,"",IF(Main[[#This Row],[Class]]="C",WORKDAY(Main[[#This Row],[Tech Start Date]],9),IF(Main[[#This Row],[Class]]="B", WORKDAY(Main[[#This Row],[Tech Start Date]],6),IF(Main[[#This Row],[Class]]="A",WORKDAY(Main[[#This Row],[Tech Start Date]],2),""))))</f>
        <v/>
      </c>
      <c r="N675" s="77" t="str">
        <f>IF(Main[[#This Row],[Tech Start Date]]&lt;1/1/1990,"",IF(Main[[#This Row],[Class]]="C",WORKDAY(Main[[#This Row],[Tech Start Date]],19),IF(Main[[#This Row],[Class]]="B", WORKDAY(Main[[#This Row],[Tech Start Date]],12),IF(Main[[#This Row],[Class]]="A",WORKDAY(Main[[#This Row],[Tech Start Date]],4),""))))</f>
        <v/>
      </c>
      <c r="O675" s="77" t="str">
        <f>IF(Main[[#This Row],[Tech Start Date]]&lt;1/1/1990,"",IF(Main[[#This Row],[Class]]="C",WORKDAY(Main[[#This Row],[Tech Start Date]],23),IF(Main[[#This Row],[Class]]="B", WORKDAY(Main[[#This Row],[Tech Start Date]],15),IF(Main[[#This Row],[Class]]="A",WORKDAY(Main[[#This Row],[Tech Start Date]],5),""))))</f>
        <v/>
      </c>
      <c r="P675" s="77" t="str">
        <f>IF(Main[[#This Row],[Tech Start Date]]&lt;1/1/1990,"",IF(Main[[#This Row],[Class]]="C",WORKDAY(Main[[#This Row],[Tech Start Date]],28),IF(Main[[#This Row],[Class]]="B", WORKDAY(Main[[#This Row],[Tech Start Date]],19),IF(Main[[#This Row],[Class]]="A",WORKDAY(Main[[#This Row],[Tech Start Date]],9),""))))</f>
        <v/>
      </c>
      <c r="Q675" s="74">
        <v>40344</v>
      </c>
      <c r="R675" s="74"/>
      <c r="S675" s="72" t="s">
        <v>11</v>
      </c>
      <c r="T675" s="80" t="s">
        <v>4</v>
      </c>
      <c r="U675" s="72" t="s">
        <v>14</v>
      </c>
      <c r="V675" s="72" t="s">
        <v>1920</v>
      </c>
      <c r="W675" s="72" t="s">
        <v>1923</v>
      </c>
      <c r="X675" s="72" t="s">
        <v>2878</v>
      </c>
      <c r="Y675" s="72" t="s">
        <v>3002</v>
      </c>
      <c r="Z675" s="72" t="s">
        <v>530</v>
      </c>
      <c r="AA675" s="146" t="s">
        <v>2878</v>
      </c>
    </row>
    <row r="676" spans="1:27" ht="18.600000000000001" customHeight="1">
      <c r="A676" s="139" t="str">
        <f>IF(priority(Main[[#This Row],[Comments]])&lt;&gt;0, priority(Main[[#This Row],[Comments]]),"")</f>
        <v/>
      </c>
      <c r="B676" s="136" t="s">
        <v>1522</v>
      </c>
      <c r="C676" s="129" t="s">
        <v>4</v>
      </c>
      <c r="D676" s="130" t="s">
        <v>597</v>
      </c>
      <c r="E676" s="131">
        <v>40645.435763888891</v>
      </c>
      <c r="F676" s="131"/>
      <c r="G676" s="132" t="str">
        <f>IF(stdProdLT(Main[[#This Row],[Comments]])=0.1,"N/A",IF(stdProdLT(Main[[#This Row],[Comments]])=0,"",stdProdLT(Main[[#This Row],[Comments]])))</f>
        <v/>
      </c>
      <c r="H676" s="133" t="str">
        <f>IF(AND(Main[[#This Row],[In Stock Date]]&lt;&gt;"",Main[[#This Row],[Revised Due Date]]&lt;&gt;""),Main[[#This Row],[In Stock Date]]-Main[[#This Row],[Revised Due Date]],"")</f>
        <v/>
      </c>
      <c r="I676" s="129" t="s">
        <v>562</v>
      </c>
      <c r="J676" s="129" t="s">
        <v>70</v>
      </c>
      <c r="K676" s="129" t="s">
        <v>4</v>
      </c>
      <c r="L676" s="131"/>
      <c r="M676" s="134" t="str">
        <f>IF(Main[[#This Row],[Tech Start Date]]&lt;1/1/1990,"",IF(Main[[#This Row],[Class]]="C",WORKDAY(Main[[#This Row],[Tech Start Date]],9),IF(Main[[#This Row],[Class]]="B", WORKDAY(Main[[#This Row],[Tech Start Date]],6),IF(Main[[#This Row],[Class]]="A",WORKDAY(Main[[#This Row],[Tech Start Date]],2),""))))</f>
        <v/>
      </c>
      <c r="N676" s="134" t="str">
        <f>IF(Main[[#This Row],[Tech Start Date]]&lt;1/1/1990,"",IF(Main[[#This Row],[Class]]="C",WORKDAY(Main[[#This Row],[Tech Start Date]],19),IF(Main[[#This Row],[Class]]="B", WORKDAY(Main[[#This Row],[Tech Start Date]],12),IF(Main[[#This Row],[Class]]="A",WORKDAY(Main[[#This Row],[Tech Start Date]],4),""))))</f>
        <v/>
      </c>
      <c r="O676" s="134" t="str">
        <f>IF(Main[[#This Row],[Tech Start Date]]&lt;1/1/1990,"",IF(Main[[#This Row],[Class]]="C",WORKDAY(Main[[#This Row],[Tech Start Date]],23),IF(Main[[#This Row],[Class]]="B", WORKDAY(Main[[#This Row],[Tech Start Date]],15),IF(Main[[#This Row],[Class]]="A",WORKDAY(Main[[#This Row],[Tech Start Date]],5),""))))</f>
        <v/>
      </c>
      <c r="P676" s="134" t="str">
        <f>IF(Main[[#This Row],[Tech Start Date]]&lt;1/1/1990,"",IF(Main[[#This Row],[Class]]="C",WORKDAY(Main[[#This Row],[Tech Start Date]],28),IF(Main[[#This Row],[Class]]="B", WORKDAY(Main[[#This Row],[Tech Start Date]],19),IF(Main[[#This Row],[Class]]="A",WORKDAY(Main[[#This Row],[Tech Start Date]],9),""))))</f>
        <v/>
      </c>
      <c r="Q676" s="131">
        <v>40669</v>
      </c>
      <c r="R676" s="131"/>
      <c r="S676" s="129" t="s">
        <v>6</v>
      </c>
      <c r="T676" s="135" t="s">
        <v>4</v>
      </c>
      <c r="U676" s="129" t="s">
        <v>29</v>
      </c>
      <c r="V676" s="129" t="s">
        <v>1917</v>
      </c>
      <c r="W676" s="129" t="s">
        <v>4</v>
      </c>
      <c r="X676" s="129" t="s">
        <v>126</v>
      </c>
      <c r="Y676" s="129" t="s">
        <v>3039</v>
      </c>
      <c r="Z676" s="129" t="s">
        <v>4</v>
      </c>
      <c r="AA676" s="146" t="s">
        <v>126</v>
      </c>
    </row>
    <row r="677" spans="1:27" ht="18.600000000000001" customHeight="1">
      <c r="A677" s="139" t="str">
        <f>IF(priority(Main[[#This Row],[Comments]])&lt;&gt;0, priority(Main[[#This Row],[Comments]]),"")</f>
        <v/>
      </c>
      <c r="B677" s="136" t="s">
        <v>1524</v>
      </c>
      <c r="C677" s="129" t="s">
        <v>401</v>
      </c>
      <c r="D677" s="130" t="s">
        <v>598</v>
      </c>
      <c r="E677" s="131"/>
      <c r="F677" s="131">
        <v>40447</v>
      </c>
      <c r="G677" s="132" t="str">
        <f>IF(stdProdLT(Main[[#This Row],[Comments]])=0.1,"N/A",IF(stdProdLT(Main[[#This Row],[Comments]])=0,"",stdProdLT(Main[[#This Row],[Comments]])))</f>
        <v/>
      </c>
      <c r="H677" s="133" t="str">
        <f>IF(AND(Main[[#This Row],[In Stock Date]]&lt;&gt;"",Main[[#This Row],[Revised Due Date]]&lt;&gt;""),Main[[#This Row],[In Stock Date]]-Main[[#This Row],[Revised Due Date]],"")</f>
        <v/>
      </c>
      <c r="I677" s="129" t="s">
        <v>4</v>
      </c>
      <c r="J677" s="129" t="s">
        <v>4</v>
      </c>
      <c r="K677" s="129" t="s">
        <v>4</v>
      </c>
      <c r="L677" s="131"/>
      <c r="M677" s="134" t="str">
        <f>IF(Main[[#This Row],[Tech Start Date]]&lt;1/1/1990,"",IF(Main[[#This Row],[Class]]="C",WORKDAY(Main[[#This Row],[Tech Start Date]],9),IF(Main[[#This Row],[Class]]="B", WORKDAY(Main[[#This Row],[Tech Start Date]],6),IF(Main[[#This Row],[Class]]="A",WORKDAY(Main[[#This Row],[Tech Start Date]],2),""))))</f>
        <v/>
      </c>
      <c r="N677" s="134" t="str">
        <f>IF(Main[[#This Row],[Tech Start Date]]&lt;1/1/1990,"",IF(Main[[#This Row],[Class]]="C",WORKDAY(Main[[#This Row],[Tech Start Date]],19),IF(Main[[#This Row],[Class]]="B", WORKDAY(Main[[#This Row],[Tech Start Date]],12),IF(Main[[#This Row],[Class]]="A",WORKDAY(Main[[#This Row],[Tech Start Date]],4),""))))</f>
        <v/>
      </c>
      <c r="O677" s="134" t="str">
        <f>IF(Main[[#This Row],[Tech Start Date]]&lt;1/1/1990,"",IF(Main[[#This Row],[Class]]="C",WORKDAY(Main[[#This Row],[Tech Start Date]],23),IF(Main[[#This Row],[Class]]="B", WORKDAY(Main[[#This Row],[Tech Start Date]],15),IF(Main[[#This Row],[Class]]="A",WORKDAY(Main[[#This Row],[Tech Start Date]],5),""))))</f>
        <v/>
      </c>
      <c r="P677" s="134" t="str">
        <f>IF(Main[[#This Row],[Tech Start Date]]&lt;1/1/1990,"",IF(Main[[#This Row],[Class]]="C",WORKDAY(Main[[#This Row],[Tech Start Date]],28),IF(Main[[#This Row],[Class]]="B", WORKDAY(Main[[#This Row],[Tech Start Date]],19),IF(Main[[#This Row],[Class]]="A",WORKDAY(Main[[#This Row],[Tech Start Date]],9),""))))</f>
        <v/>
      </c>
      <c r="Q677" s="131">
        <v>40349</v>
      </c>
      <c r="R677" s="131"/>
      <c r="S677" s="129" t="s">
        <v>11</v>
      </c>
      <c r="T677" s="135" t="s">
        <v>4</v>
      </c>
      <c r="U677" s="129" t="s">
        <v>14</v>
      </c>
      <c r="V677" s="129" t="s">
        <v>1927</v>
      </c>
      <c r="W677" s="129" t="s">
        <v>1922</v>
      </c>
      <c r="X677" s="129" t="s">
        <v>2856</v>
      </c>
      <c r="Y677" s="129" t="s">
        <v>4</v>
      </c>
      <c r="Z677" s="129" t="s">
        <v>4</v>
      </c>
      <c r="AA677" s="146" t="s">
        <v>2856</v>
      </c>
    </row>
    <row r="678" spans="1:27" ht="18.600000000000001" customHeight="1">
      <c r="A678" s="143" t="str">
        <f>IF(priority(Main[[#This Row],[Comments]])&lt;&gt;0, priority(Main[[#This Row],[Comments]]),"")</f>
        <v/>
      </c>
      <c r="B678" s="136" t="s">
        <v>1544</v>
      </c>
      <c r="C678" s="129" t="s">
        <v>436</v>
      </c>
      <c r="D678" s="130" t="s">
        <v>626</v>
      </c>
      <c r="E678" s="131"/>
      <c r="F678" s="131">
        <v>40056</v>
      </c>
      <c r="G678" s="132" t="str">
        <f>IF(stdProdLT(Main[[#This Row],[Comments]])=0.1,"N/A",IF(stdProdLT(Main[[#This Row],[Comments]])=0,"",stdProdLT(Main[[#This Row],[Comments]])))</f>
        <v/>
      </c>
      <c r="H678" s="133" t="str">
        <f>IF(AND(Main[[#This Row],[In Stock Date]]&lt;&gt;"",Main[[#This Row],[Revised Due Date]]&lt;&gt;""),Main[[#This Row],[In Stock Date]]-Main[[#This Row],[Revised Due Date]],"")</f>
        <v/>
      </c>
      <c r="I678" s="129" t="s">
        <v>4</v>
      </c>
      <c r="J678" s="129" t="s">
        <v>4</v>
      </c>
      <c r="K678" s="129" t="s">
        <v>4</v>
      </c>
      <c r="L678" s="131"/>
      <c r="M678" s="134" t="str">
        <f>IF(Main[[#This Row],[Tech Start Date]]&lt;1/1/1990,"",IF(Main[[#This Row],[Class]]="C",WORKDAY(Main[[#This Row],[Tech Start Date]],9),IF(Main[[#This Row],[Class]]="B", WORKDAY(Main[[#This Row],[Tech Start Date]],6),IF(Main[[#This Row],[Class]]="A",WORKDAY(Main[[#This Row],[Tech Start Date]],2),""))))</f>
        <v/>
      </c>
      <c r="N678" s="134" t="str">
        <f>IF(Main[[#This Row],[Tech Start Date]]&lt;1/1/1990,"",IF(Main[[#This Row],[Class]]="C",WORKDAY(Main[[#This Row],[Tech Start Date]],19),IF(Main[[#This Row],[Class]]="B", WORKDAY(Main[[#This Row],[Tech Start Date]],12),IF(Main[[#This Row],[Class]]="A",WORKDAY(Main[[#This Row],[Tech Start Date]],4),""))))</f>
        <v/>
      </c>
      <c r="O678" s="134" t="str">
        <f>IF(Main[[#This Row],[Tech Start Date]]&lt;1/1/1990,"",IF(Main[[#This Row],[Class]]="C",WORKDAY(Main[[#This Row],[Tech Start Date]],23),IF(Main[[#This Row],[Class]]="B", WORKDAY(Main[[#This Row],[Tech Start Date]],15),IF(Main[[#This Row],[Class]]="A",WORKDAY(Main[[#This Row],[Tech Start Date]],5),""))))</f>
        <v/>
      </c>
      <c r="P678" s="134" t="str">
        <f>IF(Main[[#This Row],[Tech Start Date]]&lt;1/1/1990,"",IF(Main[[#This Row],[Class]]="C",WORKDAY(Main[[#This Row],[Tech Start Date]],28),IF(Main[[#This Row],[Class]]="B", WORKDAY(Main[[#This Row],[Tech Start Date]],19),IF(Main[[#This Row],[Class]]="A",WORKDAY(Main[[#This Row],[Tech Start Date]],9),""))))</f>
        <v/>
      </c>
      <c r="Q678" s="131"/>
      <c r="R678" s="131"/>
      <c r="S678" s="129" t="s">
        <v>11</v>
      </c>
      <c r="T678" s="135" t="s">
        <v>4</v>
      </c>
      <c r="U678" s="129" t="s">
        <v>14</v>
      </c>
      <c r="V678" s="129" t="s">
        <v>1917</v>
      </c>
      <c r="W678" s="129" t="s">
        <v>1925</v>
      </c>
      <c r="X678" s="129" t="s">
        <v>2859</v>
      </c>
      <c r="Y678" s="129" t="s">
        <v>2997</v>
      </c>
      <c r="Z678" s="129" t="s">
        <v>4</v>
      </c>
      <c r="AA678" s="146" t="s">
        <v>2859</v>
      </c>
    </row>
    <row r="679" spans="1:27" ht="18.600000000000001" customHeight="1">
      <c r="A679" s="139" t="str">
        <f>IF(priority(Main[[#This Row],[Comments]])&lt;&gt;0, priority(Main[[#This Row],[Comments]]),"")</f>
        <v/>
      </c>
      <c r="B679" s="136" t="s">
        <v>1545</v>
      </c>
      <c r="C679" s="129" t="s">
        <v>4</v>
      </c>
      <c r="D679" s="130" t="s">
        <v>627</v>
      </c>
      <c r="E679" s="131"/>
      <c r="F679" s="131"/>
      <c r="G679" s="132" t="str">
        <f>IF(stdProdLT(Main[[#This Row],[Comments]])=0.1,"N/A",IF(stdProdLT(Main[[#This Row],[Comments]])=0,"",stdProdLT(Main[[#This Row],[Comments]])))</f>
        <v/>
      </c>
      <c r="H679" s="133" t="str">
        <f>IF(AND(Main[[#This Row],[In Stock Date]]&lt;&gt;"",Main[[#This Row],[Revised Due Date]]&lt;&gt;""),Main[[#This Row],[In Stock Date]]-Main[[#This Row],[Revised Due Date]],"")</f>
        <v/>
      </c>
      <c r="I679" s="129" t="s">
        <v>4</v>
      </c>
      <c r="J679" s="129" t="s">
        <v>4</v>
      </c>
      <c r="K679" s="129" t="s">
        <v>4</v>
      </c>
      <c r="L679" s="131"/>
      <c r="M679" s="134" t="str">
        <f>IF(Main[[#This Row],[Tech Start Date]]&lt;1/1/1990,"",IF(Main[[#This Row],[Class]]="C",WORKDAY(Main[[#This Row],[Tech Start Date]],9),IF(Main[[#This Row],[Class]]="B", WORKDAY(Main[[#This Row],[Tech Start Date]],6),IF(Main[[#This Row],[Class]]="A",WORKDAY(Main[[#This Row],[Tech Start Date]],2),""))))</f>
        <v/>
      </c>
      <c r="N679" s="134" t="str">
        <f>IF(Main[[#This Row],[Tech Start Date]]&lt;1/1/1990,"",IF(Main[[#This Row],[Class]]="C",WORKDAY(Main[[#This Row],[Tech Start Date]],19),IF(Main[[#This Row],[Class]]="B", WORKDAY(Main[[#This Row],[Tech Start Date]],12),IF(Main[[#This Row],[Class]]="A",WORKDAY(Main[[#This Row],[Tech Start Date]],4),""))))</f>
        <v/>
      </c>
      <c r="O679" s="134" t="str">
        <f>IF(Main[[#This Row],[Tech Start Date]]&lt;1/1/1990,"",IF(Main[[#This Row],[Class]]="C",WORKDAY(Main[[#This Row],[Tech Start Date]],23),IF(Main[[#This Row],[Class]]="B", WORKDAY(Main[[#This Row],[Tech Start Date]],15),IF(Main[[#This Row],[Class]]="A",WORKDAY(Main[[#This Row],[Tech Start Date]],5),""))))</f>
        <v/>
      </c>
      <c r="P679" s="134" t="str">
        <f>IF(Main[[#This Row],[Tech Start Date]]&lt;1/1/1990,"",IF(Main[[#This Row],[Class]]="C",WORKDAY(Main[[#This Row],[Tech Start Date]],28),IF(Main[[#This Row],[Class]]="B", WORKDAY(Main[[#This Row],[Tech Start Date]],19),IF(Main[[#This Row],[Class]]="A",WORKDAY(Main[[#This Row],[Tech Start Date]],9),""))))</f>
        <v/>
      </c>
      <c r="Q679" s="131"/>
      <c r="R679" s="131"/>
      <c r="S679" s="129" t="s">
        <v>17</v>
      </c>
      <c r="T679" s="135" t="s">
        <v>4</v>
      </c>
      <c r="U679" s="129" t="s">
        <v>12</v>
      </c>
      <c r="V679" s="129" t="s">
        <v>1917</v>
      </c>
      <c r="W679" s="129" t="s">
        <v>1919</v>
      </c>
      <c r="X679" s="129" t="s">
        <v>891</v>
      </c>
      <c r="Y679" s="129" t="s">
        <v>3079</v>
      </c>
      <c r="Z679" s="129" t="s">
        <v>4</v>
      </c>
      <c r="AA679" s="146" t="s">
        <v>891</v>
      </c>
    </row>
    <row r="680" spans="1:27" ht="18.600000000000001" customHeight="1">
      <c r="A680" s="139" t="str">
        <f>IF(priority(Main[[#This Row],[Comments]])&lt;&gt;0, priority(Main[[#This Row],[Comments]]),"")</f>
        <v/>
      </c>
      <c r="B680" s="136" t="s">
        <v>1841</v>
      </c>
      <c r="C680" s="129" t="s">
        <v>495</v>
      </c>
      <c r="D680" s="130" t="s">
        <v>895</v>
      </c>
      <c r="E680" s="131"/>
      <c r="F680" s="131"/>
      <c r="G680" s="132" t="str">
        <f>IF(stdProdLT(Main[[#This Row],[Comments]])=0.1,"N/A",IF(stdProdLT(Main[[#This Row],[Comments]])=0,"",stdProdLT(Main[[#This Row],[Comments]])))</f>
        <v/>
      </c>
      <c r="H680" s="133" t="str">
        <f>IF(AND(Main[[#This Row],[In Stock Date]]&lt;&gt;"",Main[[#This Row],[Revised Due Date]]&lt;&gt;""),Main[[#This Row],[In Stock Date]]-Main[[#This Row],[Revised Due Date]],"")</f>
        <v/>
      </c>
      <c r="I680" s="129" t="s">
        <v>126</v>
      </c>
      <c r="J680" s="129" t="s">
        <v>28</v>
      </c>
      <c r="K680" s="129" t="s">
        <v>1930</v>
      </c>
      <c r="L680" s="131"/>
      <c r="M680" s="134" t="str">
        <f>IF(Main[[#This Row],[Tech Start Date]]&lt;1/1/1990,"",IF(Main[[#This Row],[Class]]="C",WORKDAY(Main[[#This Row],[Tech Start Date]],9),IF(Main[[#This Row],[Class]]="B", WORKDAY(Main[[#This Row],[Tech Start Date]],6),IF(Main[[#This Row],[Class]]="A",WORKDAY(Main[[#This Row],[Tech Start Date]],2),""))))</f>
        <v/>
      </c>
      <c r="N680" s="134" t="str">
        <f>IF(Main[[#This Row],[Tech Start Date]]&lt;1/1/1990,"",IF(Main[[#This Row],[Class]]="C",WORKDAY(Main[[#This Row],[Tech Start Date]],19),IF(Main[[#This Row],[Class]]="B", WORKDAY(Main[[#This Row],[Tech Start Date]],12),IF(Main[[#This Row],[Class]]="A",WORKDAY(Main[[#This Row],[Tech Start Date]],4),""))))</f>
        <v/>
      </c>
      <c r="O680" s="134" t="str">
        <f>IF(Main[[#This Row],[Tech Start Date]]&lt;1/1/1990,"",IF(Main[[#This Row],[Class]]="C",WORKDAY(Main[[#This Row],[Tech Start Date]],23),IF(Main[[#This Row],[Class]]="B", WORKDAY(Main[[#This Row],[Tech Start Date]],15),IF(Main[[#This Row],[Class]]="A",WORKDAY(Main[[#This Row],[Tech Start Date]],5),""))))</f>
        <v/>
      </c>
      <c r="P680" s="134" t="str">
        <f>IF(Main[[#This Row],[Tech Start Date]]&lt;1/1/1990,"",IF(Main[[#This Row],[Class]]="C",WORKDAY(Main[[#This Row],[Tech Start Date]],28),IF(Main[[#This Row],[Class]]="B", WORKDAY(Main[[#This Row],[Tech Start Date]],19),IF(Main[[#This Row],[Class]]="A",WORKDAY(Main[[#This Row],[Tech Start Date]],9),""))))</f>
        <v/>
      </c>
      <c r="Q680" s="131">
        <v>40469</v>
      </c>
      <c r="R680" s="131">
        <v>40469</v>
      </c>
      <c r="S680" s="129" t="s">
        <v>11</v>
      </c>
      <c r="T680" s="135" t="s">
        <v>4</v>
      </c>
      <c r="U680" s="129" t="s">
        <v>14</v>
      </c>
      <c r="V680" s="129" t="s">
        <v>1917</v>
      </c>
      <c r="W680" s="129" t="s">
        <v>1925</v>
      </c>
      <c r="X680" s="129" t="s">
        <v>50</v>
      </c>
      <c r="Y680" s="129" t="s">
        <v>3068</v>
      </c>
      <c r="Z680" s="129" t="s">
        <v>129</v>
      </c>
      <c r="AA680" s="146" t="s">
        <v>2866</v>
      </c>
    </row>
    <row r="681" spans="1:27" ht="18.600000000000001" customHeight="1">
      <c r="A681" s="143" t="str">
        <f>IF(priority(Main[[#This Row],[Comments]])&lt;&gt;0, priority(Main[[#This Row],[Comments]]),"")</f>
        <v/>
      </c>
      <c r="B681" s="136" t="s">
        <v>1525</v>
      </c>
      <c r="C681" s="129" t="s">
        <v>607</v>
      </c>
      <c r="D681" s="130" t="s">
        <v>608</v>
      </c>
      <c r="E681" s="131"/>
      <c r="F681" s="131">
        <v>41275</v>
      </c>
      <c r="G681" s="132" t="str">
        <f>IF(stdProdLT(Main[[#This Row],[Comments]])=0.1,"N/A",IF(stdProdLT(Main[[#This Row],[Comments]])=0,"",stdProdLT(Main[[#This Row],[Comments]])))</f>
        <v/>
      </c>
      <c r="H681" s="133" t="str">
        <f>IF(AND(Main[[#This Row],[In Stock Date]]&lt;&gt;"",Main[[#This Row],[Revised Due Date]]&lt;&gt;""),Main[[#This Row],[In Stock Date]]-Main[[#This Row],[Revised Due Date]],"")</f>
        <v/>
      </c>
      <c r="I681" s="129" t="s">
        <v>4</v>
      </c>
      <c r="J681" s="129" t="s">
        <v>4</v>
      </c>
      <c r="K681" s="129" t="s">
        <v>4</v>
      </c>
      <c r="L681" s="131"/>
      <c r="M681" s="134" t="str">
        <f>IF(Main[[#This Row],[Tech Start Date]]&lt;1/1/1990,"",IF(Main[[#This Row],[Class]]="C",WORKDAY(Main[[#This Row],[Tech Start Date]],9),IF(Main[[#This Row],[Class]]="B", WORKDAY(Main[[#This Row],[Tech Start Date]],6),IF(Main[[#This Row],[Class]]="A",WORKDAY(Main[[#This Row],[Tech Start Date]],2),""))))</f>
        <v/>
      </c>
      <c r="N681" s="134" t="str">
        <f>IF(Main[[#This Row],[Tech Start Date]]&lt;1/1/1990,"",IF(Main[[#This Row],[Class]]="C",WORKDAY(Main[[#This Row],[Tech Start Date]],19),IF(Main[[#This Row],[Class]]="B", WORKDAY(Main[[#This Row],[Tech Start Date]],12),IF(Main[[#This Row],[Class]]="A",WORKDAY(Main[[#This Row],[Tech Start Date]],4),""))))</f>
        <v/>
      </c>
      <c r="O681" s="134" t="str">
        <f>IF(Main[[#This Row],[Tech Start Date]]&lt;1/1/1990,"",IF(Main[[#This Row],[Class]]="C",WORKDAY(Main[[#This Row],[Tech Start Date]],23),IF(Main[[#This Row],[Class]]="B", WORKDAY(Main[[#This Row],[Tech Start Date]],15),IF(Main[[#This Row],[Class]]="A",WORKDAY(Main[[#This Row],[Tech Start Date]],5),""))))</f>
        <v/>
      </c>
      <c r="P681" s="134" t="str">
        <f>IF(Main[[#This Row],[Tech Start Date]]&lt;1/1/1990,"",IF(Main[[#This Row],[Class]]="C",WORKDAY(Main[[#This Row],[Tech Start Date]],28),IF(Main[[#This Row],[Class]]="B", WORKDAY(Main[[#This Row],[Tech Start Date]],19),IF(Main[[#This Row],[Class]]="A",WORKDAY(Main[[#This Row],[Tech Start Date]],9),""))))</f>
        <v/>
      </c>
      <c r="Q681" s="131">
        <v>40387</v>
      </c>
      <c r="R681" s="131"/>
      <c r="S681" s="129" t="s">
        <v>11</v>
      </c>
      <c r="T681" s="135" t="s">
        <v>4</v>
      </c>
      <c r="U681" s="129" t="s">
        <v>14</v>
      </c>
      <c r="V681" s="129" t="s">
        <v>1927</v>
      </c>
      <c r="W681" s="129" t="s">
        <v>1922</v>
      </c>
      <c r="X681" s="129" t="s">
        <v>2830</v>
      </c>
      <c r="Y681" s="129" t="s">
        <v>3081</v>
      </c>
      <c r="Z681" s="129" t="s">
        <v>81</v>
      </c>
      <c r="AA681" s="146" t="s">
        <v>3318</v>
      </c>
    </row>
    <row r="682" spans="1:27" ht="18.600000000000001" customHeight="1">
      <c r="A682" s="139" t="str">
        <f>IF(priority(Main[[#This Row],[Comments]])&lt;&gt;0, priority(Main[[#This Row],[Comments]]),"")</f>
        <v/>
      </c>
      <c r="B682" s="89" t="s">
        <v>1526</v>
      </c>
      <c r="C682" s="72" t="s">
        <v>607</v>
      </c>
      <c r="D682" s="73" t="s">
        <v>609</v>
      </c>
      <c r="E682" s="74"/>
      <c r="F682" s="74">
        <v>41275</v>
      </c>
      <c r="G682" s="75" t="str">
        <f>IF(stdProdLT(Main[[#This Row],[Comments]])=0.1,"N/A",IF(stdProdLT(Main[[#This Row],[Comments]])=0,"",stdProdLT(Main[[#This Row],[Comments]])))</f>
        <v/>
      </c>
      <c r="H682" s="76" t="str">
        <f>IF(AND(Main[[#This Row],[In Stock Date]]&lt;&gt;"",Main[[#This Row],[Revised Due Date]]&lt;&gt;""),Main[[#This Row],[In Stock Date]]-Main[[#This Row],[Revised Due Date]],"")</f>
        <v/>
      </c>
      <c r="I682" s="72" t="s">
        <v>4</v>
      </c>
      <c r="J682" s="72" t="s">
        <v>4</v>
      </c>
      <c r="K682" s="72" t="s">
        <v>4</v>
      </c>
      <c r="L682" s="74"/>
      <c r="M682" s="77" t="str">
        <f>IF(Main[[#This Row],[Tech Start Date]]&lt;1/1/1990,"",IF(Main[[#This Row],[Class]]="C",WORKDAY(Main[[#This Row],[Tech Start Date]],9),IF(Main[[#This Row],[Class]]="B", WORKDAY(Main[[#This Row],[Tech Start Date]],6),IF(Main[[#This Row],[Class]]="A",WORKDAY(Main[[#This Row],[Tech Start Date]],2),""))))</f>
        <v/>
      </c>
      <c r="N682" s="77" t="str">
        <f>IF(Main[[#This Row],[Tech Start Date]]&lt;1/1/1990,"",IF(Main[[#This Row],[Class]]="C",WORKDAY(Main[[#This Row],[Tech Start Date]],19),IF(Main[[#This Row],[Class]]="B", WORKDAY(Main[[#This Row],[Tech Start Date]],12),IF(Main[[#This Row],[Class]]="A",WORKDAY(Main[[#This Row],[Tech Start Date]],4),""))))</f>
        <v/>
      </c>
      <c r="O682" s="77" t="str">
        <f>IF(Main[[#This Row],[Tech Start Date]]&lt;1/1/1990,"",IF(Main[[#This Row],[Class]]="C",WORKDAY(Main[[#This Row],[Tech Start Date]],23),IF(Main[[#This Row],[Class]]="B", WORKDAY(Main[[#This Row],[Tech Start Date]],15),IF(Main[[#This Row],[Class]]="A",WORKDAY(Main[[#This Row],[Tech Start Date]],5),""))))</f>
        <v/>
      </c>
      <c r="P682" s="77" t="str">
        <f>IF(Main[[#This Row],[Tech Start Date]]&lt;1/1/1990,"",IF(Main[[#This Row],[Class]]="C",WORKDAY(Main[[#This Row],[Tech Start Date]],28),IF(Main[[#This Row],[Class]]="B", WORKDAY(Main[[#This Row],[Tech Start Date]],19),IF(Main[[#This Row],[Class]]="A",WORKDAY(Main[[#This Row],[Tech Start Date]],9),""))))</f>
        <v/>
      </c>
      <c r="Q682" s="74">
        <v>40387</v>
      </c>
      <c r="R682" s="74"/>
      <c r="S682" s="72" t="s">
        <v>11</v>
      </c>
      <c r="T682" s="80" t="s">
        <v>4</v>
      </c>
      <c r="U682" s="72" t="s">
        <v>14</v>
      </c>
      <c r="V682" s="72" t="s">
        <v>1927</v>
      </c>
      <c r="W682" s="72" t="s">
        <v>1922</v>
      </c>
      <c r="X682" s="72" t="s">
        <v>2830</v>
      </c>
      <c r="Y682" s="72" t="s">
        <v>3081</v>
      </c>
      <c r="Z682" s="72" t="s">
        <v>4</v>
      </c>
      <c r="AA682" s="146" t="s">
        <v>3318</v>
      </c>
    </row>
    <row r="683" spans="1:27" ht="18.600000000000001" customHeight="1">
      <c r="A683" s="139" t="str">
        <f>IF(priority(Main[[#This Row],[Comments]])&lt;&gt;0, priority(Main[[#This Row],[Comments]]),"")</f>
        <v/>
      </c>
      <c r="B683" s="89" t="s">
        <v>1527</v>
      </c>
      <c r="C683" s="72" t="s">
        <v>290</v>
      </c>
      <c r="D683" s="73" t="s">
        <v>291</v>
      </c>
      <c r="E683" s="74"/>
      <c r="F683" s="74"/>
      <c r="G683" s="75" t="str">
        <f>IF(stdProdLT(Main[[#This Row],[Comments]])=0.1,"N/A",IF(stdProdLT(Main[[#This Row],[Comments]])=0,"",stdProdLT(Main[[#This Row],[Comments]])))</f>
        <v/>
      </c>
      <c r="H683" s="76" t="str">
        <f>IF(AND(Main[[#This Row],[In Stock Date]]&lt;&gt;"",Main[[#This Row],[Revised Due Date]]&lt;&gt;""),Main[[#This Row],[In Stock Date]]-Main[[#This Row],[Revised Due Date]],"")</f>
        <v/>
      </c>
      <c r="I683" s="72" t="s">
        <v>4</v>
      </c>
      <c r="J683" s="72" t="s">
        <v>4</v>
      </c>
      <c r="K683" s="72" t="s">
        <v>4</v>
      </c>
      <c r="L683" s="74"/>
      <c r="M683" s="77" t="str">
        <f>IF(Main[[#This Row],[Tech Start Date]]&lt;1/1/1990,"",IF(Main[[#This Row],[Class]]="C",WORKDAY(Main[[#This Row],[Tech Start Date]],9),IF(Main[[#This Row],[Class]]="B", WORKDAY(Main[[#This Row],[Tech Start Date]],6),IF(Main[[#This Row],[Class]]="A",WORKDAY(Main[[#This Row],[Tech Start Date]],2),""))))</f>
        <v/>
      </c>
      <c r="N683" s="77" t="str">
        <f>IF(Main[[#This Row],[Tech Start Date]]&lt;1/1/1990,"",IF(Main[[#This Row],[Class]]="C",WORKDAY(Main[[#This Row],[Tech Start Date]],19),IF(Main[[#This Row],[Class]]="B", WORKDAY(Main[[#This Row],[Tech Start Date]],12),IF(Main[[#This Row],[Class]]="A",WORKDAY(Main[[#This Row],[Tech Start Date]],4),""))))</f>
        <v/>
      </c>
      <c r="O683" s="77" t="str">
        <f>IF(Main[[#This Row],[Tech Start Date]]&lt;1/1/1990,"",IF(Main[[#This Row],[Class]]="C",WORKDAY(Main[[#This Row],[Tech Start Date]],23),IF(Main[[#This Row],[Class]]="B", WORKDAY(Main[[#This Row],[Tech Start Date]],15),IF(Main[[#This Row],[Class]]="A",WORKDAY(Main[[#This Row],[Tech Start Date]],5),""))))</f>
        <v/>
      </c>
      <c r="P683" s="77" t="str">
        <f>IF(Main[[#This Row],[Tech Start Date]]&lt;1/1/1990,"",IF(Main[[#This Row],[Class]]="C",WORKDAY(Main[[#This Row],[Tech Start Date]],28),IF(Main[[#This Row],[Class]]="B", WORKDAY(Main[[#This Row],[Tech Start Date]],19),IF(Main[[#This Row],[Class]]="A",WORKDAY(Main[[#This Row],[Tech Start Date]],9),""))))</f>
        <v/>
      </c>
      <c r="Q683" s="74">
        <v>40052</v>
      </c>
      <c r="R683" s="74"/>
      <c r="S683" s="72" t="s">
        <v>11</v>
      </c>
      <c r="T683" s="80" t="s">
        <v>4</v>
      </c>
      <c r="U683" s="72" t="s">
        <v>14</v>
      </c>
      <c r="V683" s="72" t="s">
        <v>1920</v>
      </c>
      <c r="W683" s="72" t="s">
        <v>1919</v>
      </c>
      <c r="X683" s="72" t="s">
        <v>2840</v>
      </c>
      <c r="Y683" s="72" t="s">
        <v>4</v>
      </c>
      <c r="Z683" s="72" t="s">
        <v>4</v>
      </c>
      <c r="AA683" s="146" t="s">
        <v>2840</v>
      </c>
    </row>
    <row r="684" spans="1:27" ht="18.600000000000001" customHeight="1">
      <c r="A684" s="139" t="str">
        <f>IF(priority(Main[[#This Row],[Comments]])&lt;&gt;0, priority(Main[[#This Row],[Comments]]),"")</f>
        <v/>
      </c>
      <c r="B684" s="89" t="s">
        <v>1528</v>
      </c>
      <c r="C684" s="72" t="s">
        <v>4</v>
      </c>
      <c r="D684" s="73" t="s">
        <v>610</v>
      </c>
      <c r="E684" s="74">
        <v>40533.617372685185</v>
      </c>
      <c r="F684" s="74">
        <v>40602</v>
      </c>
      <c r="G684" s="75" t="str">
        <f>IF(stdProdLT(Main[[#This Row],[Comments]])=0.1,"N/A",IF(stdProdLT(Main[[#This Row],[Comments]])=0,"",stdProdLT(Main[[#This Row],[Comments]])))</f>
        <v/>
      </c>
      <c r="H684" s="76" t="str">
        <f>IF(AND(Main[[#This Row],[In Stock Date]]&lt;&gt;"",Main[[#This Row],[Revised Due Date]]&lt;&gt;""),Main[[#This Row],[In Stock Date]]-Main[[#This Row],[Revised Due Date]],"")</f>
        <v/>
      </c>
      <c r="I684" s="72" t="s">
        <v>4</v>
      </c>
      <c r="J684" s="72" t="s">
        <v>28</v>
      </c>
      <c r="K684" s="72" t="s">
        <v>1926</v>
      </c>
      <c r="L684" s="74"/>
      <c r="M684" s="77" t="str">
        <f>IF(Main[[#This Row],[Tech Start Date]]&lt;1/1/1990,"",IF(Main[[#This Row],[Class]]="C",WORKDAY(Main[[#This Row],[Tech Start Date]],9),IF(Main[[#This Row],[Class]]="B", WORKDAY(Main[[#This Row],[Tech Start Date]],6),IF(Main[[#This Row],[Class]]="A",WORKDAY(Main[[#This Row],[Tech Start Date]],2),""))))</f>
        <v/>
      </c>
      <c r="N684" s="77" t="str">
        <f>IF(Main[[#This Row],[Tech Start Date]]&lt;1/1/1990,"",IF(Main[[#This Row],[Class]]="C",WORKDAY(Main[[#This Row],[Tech Start Date]],19),IF(Main[[#This Row],[Class]]="B", WORKDAY(Main[[#This Row],[Tech Start Date]],12),IF(Main[[#This Row],[Class]]="A",WORKDAY(Main[[#This Row],[Tech Start Date]],4),""))))</f>
        <v/>
      </c>
      <c r="O684" s="77" t="str">
        <f>IF(Main[[#This Row],[Tech Start Date]]&lt;1/1/1990,"",IF(Main[[#This Row],[Class]]="C",WORKDAY(Main[[#This Row],[Tech Start Date]],23),IF(Main[[#This Row],[Class]]="B", WORKDAY(Main[[#This Row],[Tech Start Date]],15),IF(Main[[#This Row],[Class]]="A",WORKDAY(Main[[#This Row],[Tech Start Date]],5),""))))</f>
        <v/>
      </c>
      <c r="P684" s="77" t="str">
        <f>IF(Main[[#This Row],[Tech Start Date]]&lt;1/1/1990,"",IF(Main[[#This Row],[Class]]="C",WORKDAY(Main[[#This Row],[Tech Start Date]],28),IF(Main[[#This Row],[Class]]="B", WORKDAY(Main[[#This Row],[Tech Start Date]],19),IF(Main[[#This Row],[Class]]="A",WORKDAY(Main[[#This Row],[Tech Start Date]],9),""))))</f>
        <v/>
      </c>
      <c r="Q684" s="74">
        <v>40602</v>
      </c>
      <c r="R684" s="74"/>
      <c r="S684" s="72" t="s">
        <v>6</v>
      </c>
      <c r="T684" s="80" t="s">
        <v>4</v>
      </c>
      <c r="U684" s="72" t="s">
        <v>7</v>
      </c>
      <c r="V684" s="72" t="s">
        <v>1917</v>
      </c>
      <c r="W684" s="72" t="s">
        <v>1919</v>
      </c>
      <c r="X684" s="72" t="s">
        <v>2893</v>
      </c>
      <c r="Y684" s="72" t="s">
        <v>3049</v>
      </c>
      <c r="Z684" s="72" t="s">
        <v>129</v>
      </c>
      <c r="AA684" s="146" t="s">
        <v>2893</v>
      </c>
    </row>
    <row r="685" spans="1:27" ht="18.600000000000001" customHeight="1">
      <c r="A685" s="139" t="str">
        <f>IF(priority(Main[[#This Row],[Comments]])&lt;&gt;0, priority(Main[[#This Row],[Comments]]),"")</f>
        <v/>
      </c>
      <c r="B685" s="89" t="s">
        <v>1529</v>
      </c>
      <c r="C685" s="72" t="s">
        <v>4</v>
      </c>
      <c r="D685" s="73" t="s">
        <v>611</v>
      </c>
      <c r="E685" s="74">
        <v>40387.693402777775</v>
      </c>
      <c r="F685" s="74"/>
      <c r="G685" s="75" t="str">
        <f>IF(stdProdLT(Main[[#This Row],[Comments]])=0.1,"N/A",IF(stdProdLT(Main[[#This Row],[Comments]])=0,"",stdProdLT(Main[[#This Row],[Comments]])))</f>
        <v/>
      </c>
      <c r="H685" s="76" t="str">
        <f>IF(AND(Main[[#This Row],[In Stock Date]]&lt;&gt;"",Main[[#This Row],[Revised Due Date]]&lt;&gt;""),Main[[#This Row],[In Stock Date]]-Main[[#This Row],[Revised Due Date]],"")</f>
        <v/>
      </c>
      <c r="I685" s="72" t="s">
        <v>4</v>
      </c>
      <c r="J685" s="72" t="s">
        <v>28</v>
      </c>
      <c r="K685" s="72" t="s">
        <v>4</v>
      </c>
      <c r="L685" s="74"/>
      <c r="M685" s="77" t="str">
        <f>IF(Main[[#This Row],[Tech Start Date]]&lt;1/1/1990,"",IF(Main[[#This Row],[Class]]="C",WORKDAY(Main[[#This Row],[Tech Start Date]],9),IF(Main[[#This Row],[Class]]="B", WORKDAY(Main[[#This Row],[Tech Start Date]],6),IF(Main[[#This Row],[Class]]="A",WORKDAY(Main[[#This Row],[Tech Start Date]],2),""))))</f>
        <v/>
      </c>
      <c r="N685" s="77" t="str">
        <f>IF(Main[[#This Row],[Tech Start Date]]&lt;1/1/1990,"",IF(Main[[#This Row],[Class]]="C",WORKDAY(Main[[#This Row],[Tech Start Date]],19),IF(Main[[#This Row],[Class]]="B", WORKDAY(Main[[#This Row],[Tech Start Date]],12),IF(Main[[#This Row],[Class]]="A",WORKDAY(Main[[#This Row],[Tech Start Date]],4),""))))</f>
        <v/>
      </c>
      <c r="O685" s="77" t="str">
        <f>IF(Main[[#This Row],[Tech Start Date]]&lt;1/1/1990,"",IF(Main[[#This Row],[Class]]="C",WORKDAY(Main[[#This Row],[Tech Start Date]],23),IF(Main[[#This Row],[Class]]="B", WORKDAY(Main[[#This Row],[Tech Start Date]],15),IF(Main[[#This Row],[Class]]="A",WORKDAY(Main[[#This Row],[Tech Start Date]],5),""))))</f>
        <v/>
      </c>
      <c r="P685" s="77" t="str">
        <f>IF(Main[[#This Row],[Tech Start Date]]&lt;1/1/1990,"",IF(Main[[#This Row],[Class]]="C",WORKDAY(Main[[#This Row],[Tech Start Date]],28),IF(Main[[#This Row],[Class]]="B", WORKDAY(Main[[#This Row],[Tech Start Date]],19),IF(Main[[#This Row],[Class]]="A",WORKDAY(Main[[#This Row],[Tech Start Date]],9),""))))</f>
        <v/>
      </c>
      <c r="Q685" s="74">
        <v>40400</v>
      </c>
      <c r="R685" s="74"/>
      <c r="S685" s="72" t="s">
        <v>6</v>
      </c>
      <c r="T685" s="80" t="s">
        <v>4</v>
      </c>
      <c r="U685" s="72" t="s">
        <v>7</v>
      </c>
      <c r="V685" s="72" t="s">
        <v>1917</v>
      </c>
      <c r="W685" s="72" t="s">
        <v>1919</v>
      </c>
      <c r="X685" s="72" t="s">
        <v>102</v>
      </c>
      <c r="Y685" s="72" t="s">
        <v>3038</v>
      </c>
      <c r="Z685" s="72" t="s">
        <v>129</v>
      </c>
      <c r="AA685" s="146" t="s">
        <v>3408</v>
      </c>
    </row>
    <row r="686" spans="1:27" ht="18.600000000000001" customHeight="1">
      <c r="A686" s="139" t="str">
        <f>IF(priority(Main[[#This Row],[Comments]])&lt;&gt;0, priority(Main[[#This Row],[Comments]]),"")</f>
        <v/>
      </c>
      <c r="B686" s="89" t="s">
        <v>1530</v>
      </c>
      <c r="C686" s="72" t="s">
        <v>4</v>
      </c>
      <c r="D686" s="73" t="s">
        <v>612</v>
      </c>
      <c r="E686" s="74">
        <v>40506.643229166664</v>
      </c>
      <c r="F686" s="74"/>
      <c r="G686" s="75" t="str">
        <f>IF(stdProdLT(Main[[#This Row],[Comments]])=0.1,"N/A",IF(stdProdLT(Main[[#This Row],[Comments]])=0,"",stdProdLT(Main[[#This Row],[Comments]])))</f>
        <v/>
      </c>
      <c r="H686" s="76" t="str">
        <f>IF(AND(Main[[#This Row],[In Stock Date]]&lt;&gt;"",Main[[#This Row],[Revised Due Date]]&lt;&gt;""),Main[[#This Row],[In Stock Date]]-Main[[#This Row],[Revised Due Date]],"")</f>
        <v/>
      </c>
      <c r="I686" s="72" t="s">
        <v>4</v>
      </c>
      <c r="J686" s="72" t="s">
        <v>28</v>
      </c>
      <c r="K686" s="72" t="s">
        <v>1924</v>
      </c>
      <c r="L686" s="74"/>
      <c r="M686" s="77" t="str">
        <f>IF(Main[[#This Row],[Tech Start Date]]&lt;1/1/1990,"",IF(Main[[#This Row],[Class]]="C",WORKDAY(Main[[#This Row],[Tech Start Date]],9),IF(Main[[#This Row],[Class]]="B", WORKDAY(Main[[#This Row],[Tech Start Date]],6),IF(Main[[#This Row],[Class]]="A",WORKDAY(Main[[#This Row],[Tech Start Date]],2),""))))</f>
        <v/>
      </c>
      <c r="N686" s="77" t="str">
        <f>IF(Main[[#This Row],[Tech Start Date]]&lt;1/1/1990,"",IF(Main[[#This Row],[Class]]="C",WORKDAY(Main[[#This Row],[Tech Start Date]],19),IF(Main[[#This Row],[Class]]="B", WORKDAY(Main[[#This Row],[Tech Start Date]],12),IF(Main[[#This Row],[Class]]="A",WORKDAY(Main[[#This Row],[Tech Start Date]],4),""))))</f>
        <v/>
      </c>
      <c r="O686" s="77" t="str">
        <f>IF(Main[[#This Row],[Tech Start Date]]&lt;1/1/1990,"",IF(Main[[#This Row],[Class]]="C",WORKDAY(Main[[#This Row],[Tech Start Date]],23),IF(Main[[#This Row],[Class]]="B", WORKDAY(Main[[#This Row],[Tech Start Date]],15),IF(Main[[#This Row],[Class]]="A",WORKDAY(Main[[#This Row],[Tech Start Date]],5),""))))</f>
        <v/>
      </c>
      <c r="P686" s="77" t="str">
        <f>IF(Main[[#This Row],[Tech Start Date]]&lt;1/1/1990,"",IF(Main[[#This Row],[Class]]="C",WORKDAY(Main[[#This Row],[Tech Start Date]],28),IF(Main[[#This Row],[Class]]="B", WORKDAY(Main[[#This Row],[Tech Start Date]],19),IF(Main[[#This Row],[Class]]="A",WORKDAY(Main[[#This Row],[Tech Start Date]],9),""))))</f>
        <v/>
      </c>
      <c r="Q686" s="74">
        <v>40548</v>
      </c>
      <c r="R686" s="74"/>
      <c r="S686" s="72" t="s">
        <v>6</v>
      </c>
      <c r="T686" s="80" t="s">
        <v>4</v>
      </c>
      <c r="U686" s="72" t="s">
        <v>7</v>
      </c>
      <c r="V686" s="72" t="s">
        <v>1917</v>
      </c>
      <c r="W686" s="72" t="s">
        <v>1921</v>
      </c>
      <c r="X686" s="72" t="s">
        <v>2827</v>
      </c>
      <c r="Y686" s="72" t="s">
        <v>2942</v>
      </c>
      <c r="Z686" s="72" t="s">
        <v>129</v>
      </c>
      <c r="AA686" s="146" t="s">
        <v>2827</v>
      </c>
    </row>
    <row r="687" spans="1:27" ht="18.600000000000001" customHeight="1">
      <c r="A687" s="139" t="str">
        <f>IF(priority(Main[[#This Row],[Comments]])&lt;&gt;0, priority(Main[[#This Row],[Comments]]),"")</f>
        <v/>
      </c>
      <c r="B687" s="89" t="s">
        <v>1531</v>
      </c>
      <c r="C687" s="72" t="s">
        <v>4</v>
      </c>
      <c r="D687" s="73" t="s">
        <v>613</v>
      </c>
      <c r="E687" s="74">
        <v>40371.390138888892</v>
      </c>
      <c r="F687" s="74"/>
      <c r="G687" s="75" t="str">
        <f>IF(stdProdLT(Main[[#This Row],[Comments]])=0.1,"N/A",IF(stdProdLT(Main[[#This Row],[Comments]])=0,"",stdProdLT(Main[[#This Row],[Comments]])))</f>
        <v/>
      </c>
      <c r="H687" s="76" t="str">
        <f>IF(AND(Main[[#This Row],[In Stock Date]]&lt;&gt;"",Main[[#This Row],[Revised Due Date]]&lt;&gt;""),Main[[#This Row],[In Stock Date]]-Main[[#This Row],[Revised Due Date]],"")</f>
        <v/>
      </c>
      <c r="I687" s="72" t="s">
        <v>4</v>
      </c>
      <c r="J687" s="72" t="s">
        <v>4</v>
      </c>
      <c r="K687" s="72" t="s">
        <v>4</v>
      </c>
      <c r="L687" s="74"/>
      <c r="M687" s="77" t="str">
        <f>IF(Main[[#This Row],[Tech Start Date]]&lt;1/1/1990,"",IF(Main[[#This Row],[Class]]="C",WORKDAY(Main[[#This Row],[Tech Start Date]],9),IF(Main[[#This Row],[Class]]="B", WORKDAY(Main[[#This Row],[Tech Start Date]],6),IF(Main[[#This Row],[Class]]="A",WORKDAY(Main[[#This Row],[Tech Start Date]],2),""))))</f>
        <v/>
      </c>
      <c r="N687" s="77" t="str">
        <f>IF(Main[[#This Row],[Tech Start Date]]&lt;1/1/1990,"",IF(Main[[#This Row],[Class]]="C",WORKDAY(Main[[#This Row],[Tech Start Date]],19),IF(Main[[#This Row],[Class]]="B", WORKDAY(Main[[#This Row],[Tech Start Date]],12),IF(Main[[#This Row],[Class]]="A",WORKDAY(Main[[#This Row],[Tech Start Date]],4),""))))</f>
        <v/>
      </c>
      <c r="O687" s="77" t="str">
        <f>IF(Main[[#This Row],[Tech Start Date]]&lt;1/1/1990,"",IF(Main[[#This Row],[Class]]="C",WORKDAY(Main[[#This Row],[Tech Start Date]],23),IF(Main[[#This Row],[Class]]="B", WORKDAY(Main[[#This Row],[Tech Start Date]],15),IF(Main[[#This Row],[Class]]="A",WORKDAY(Main[[#This Row],[Tech Start Date]],5),""))))</f>
        <v/>
      </c>
      <c r="P687" s="77" t="str">
        <f>IF(Main[[#This Row],[Tech Start Date]]&lt;1/1/1990,"",IF(Main[[#This Row],[Class]]="C",WORKDAY(Main[[#This Row],[Tech Start Date]],28),IF(Main[[#This Row],[Class]]="B", WORKDAY(Main[[#This Row],[Tech Start Date]],19),IF(Main[[#This Row],[Class]]="A",WORKDAY(Main[[#This Row],[Tech Start Date]],9),""))))</f>
        <v/>
      </c>
      <c r="Q687" s="74">
        <v>40385</v>
      </c>
      <c r="R687" s="74"/>
      <c r="S687" s="72" t="s">
        <v>6</v>
      </c>
      <c r="T687" s="80" t="s">
        <v>4</v>
      </c>
      <c r="U687" s="72" t="s">
        <v>7</v>
      </c>
      <c r="V687" s="72" t="s">
        <v>1917</v>
      </c>
      <c r="W687" s="72" t="s">
        <v>1919</v>
      </c>
      <c r="X687" s="72" t="s">
        <v>102</v>
      </c>
      <c r="Y687" s="72" t="s">
        <v>2998</v>
      </c>
      <c r="Z687" s="72" t="s">
        <v>4</v>
      </c>
      <c r="AA687" s="146" t="s">
        <v>129</v>
      </c>
    </row>
    <row r="688" spans="1:27" ht="18.600000000000001" customHeight="1">
      <c r="A688" s="139" t="str">
        <f>IF(priority(Main[[#This Row],[Comments]])&lt;&gt;0, priority(Main[[#This Row],[Comments]]),"")</f>
        <v/>
      </c>
      <c r="B688" s="136" t="s">
        <v>1668</v>
      </c>
      <c r="C688" s="129" t="s">
        <v>4</v>
      </c>
      <c r="D688" s="130" t="s">
        <v>730</v>
      </c>
      <c r="E688" s="131"/>
      <c r="F688" s="131"/>
      <c r="G688" s="132" t="str">
        <f>IF(stdProdLT(Main[[#This Row],[Comments]])=0.1,"N/A",IF(stdProdLT(Main[[#This Row],[Comments]])=0,"",stdProdLT(Main[[#This Row],[Comments]])))</f>
        <v/>
      </c>
      <c r="H688" s="133" t="str">
        <f>IF(AND(Main[[#This Row],[In Stock Date]]&lt;&gt;"",Main[[#This Row],[Revised Due Date]]&lt;&gt;""),Main[[#This Row],[In Stock Date]]-Main[[#This Row],[Revised Due Date]],"")</f>
        <v/>
      </c>
      <c r="I688" s="129" t="s">
        <v>4</v>
      </c>
      <c r="J688" s="129" t="s">
        <v>4</v>
      </c>
      <c r="K688" s="129" t="s">
        <v>4</v>
      </c>
      <c r="L688" s="131"/>
      <c r="M688" s="134" t="str">
        <f>IF(Main[[#This Row],[Tech Start Date]]&lt;1/1/1990,"",IF(Main[[#This Row],[Class]]="C",WORKDAY(Main[[#This Row],[Tech Start Date]],9),IF(Main[[#This Row],[Class]]="B", WORKDAY(Main[[#This Row],[Tech Start Date]],6),IF(Main[[#This Row],[Class]]="A",WORKDAY(Main[[#This Row],[Tech Start Date]],2),""))))</f>
        <v/>
      </c>
      <c r="N688" s="134" t="str">
        <f>IF(Main[[#This Row],[Tech Start Date]]&lt;1/1/1990,"",IF(Main[[#This Row],[Class]]="C",WORKDAY(Main[[#This Row],[Tech Start Date]],19),IF(Main[[#This Row],[Class]]="B", WORKDAY(Main[[#This Row],[Tech Start Date]],12),IF(Main[[#This Row],[Class]]="A",WORKDAY(Main[[#This Row],[Tech Start Date]],4),""))))</f>
        <v/>
      </c>
      <c r="O688" s="134" t="str">
        <f>IF(Main[[#This Row],[Tech Start Date]]&lt;1/1/1990,"",IF(Main[[#This Row],[Class]]="C",WORKDAY(Main[[#This Row],[Tech Start Date]],23),IF(Main[[#This Row],[Class]]="B", WORKDAY(Main[[#This Row],[Tech Start Date]],15),IF(Main[[#This Row],[Class]]="A",WORKDAY(Main[[#This Row],[Tech Start Date]],5),""))))</f>
        <v/>
      </c>
      <c r="P688" s="134" t="str">
        <f>IF(Main[[#This Row],[Tech Start Date]]&lt;1/1/1990,"",IF(Main[[#This Row],[Class]]="C",WORKDAY(Main[[#This Row],[Tech Start Date]],28),IF(Main[[#This Row],[Class]]="B", WORKDAY(Main[[#This Row],[Tech Start Date]],19),IF(Main[[#This Row],[Class]]="A",WORKDAY(Main[[#This Row],[Tech Start Date]],9),""))))</f>
        <v/>
      </c>
      <c r="Q688" s="131"/>
      <c r="R688" s="131"/>
      <c r="S688" s="129" t="s">
        <v>23</v>
      </c>
      <c r="T688" s="135" t="s">
        <v>4</v>
      </c>
      <c r="U688" s="129" t="s">
        <v>14</v>
      </c>
      <c r="V688" s="129" t="s">
        <v>1917</v>
      </c>
      <c r="W688" s="129" t="s">
        <v>1921</v>
      </c>
      <c r="X688" s="129" t="s">
        <v>102</v>
      </c>
      <c r="Y688" s="129" t="s">
        <v>3082</v>
      </c>
      <c r="Z688" s="129" t="s">
        <v>4</v>
      </c>
      <c r="AA688" s="146" t="s">
        <v>3435</v>
      </c>
    </row>
    <row r="689" spans="1:27" ht="18.600000000000001" customHeight="1">
      <c r="A689" s="139" t="str">
        <f>IF(priority(Main[[#This Row],[Comments]])&lt;&gt;0, priority(Main[[#This Row],[Comments]]),"")</f>
        <v/>
      </c>
      <c r="B689" s="89" t="s">
        <v>1532</v>
      </c>
      <c r="C689" s="72" t="s">
        <v>33</v>
      </c>
      <c r="D689" s="73" t="s">
        <v>614</v>
      </c>
      <c r="E689" s="74"/>
      <c r="F689" s="74">
        <v>40252</v>
      </c>
      <c r="G689" s="75" t="str">
        <f>IF(stdProdLT(Main[[#This Row],[Comments]])=0.1,"N/A",IF(stdProdLT(Main[[#This Row],[Comments]])=0,"",stdProdLT(Main[[#This Row],[Comments]])))</f>
        <v/>
      </c>
      <c r="H689" s="76" t="str">
        <f>IF(AND(Main[[#This Row],[In Stock Date]]&lt;&gt;"",Main[[#This Row],[Revised Due Date]]&lt;&gt;""),Main[[#This Row],[In Stock Date]]-Main[[#This Row],[Revised Due Date]],"")</f>
        <v/>
      </c>
      <c r="I689" s="72" t="s">
        <v>4</v>
      </c>
      <c r="J689" s="72" t="s">
        <v>4</v>
      </c>
      <c r="K689" s="72" t="s">
        <v>4</v>
      </c>
      <c r="L689" s="74"/>
      <c r="M689" s="77" t="str">
        <f>IF(Main[[#This Row],[Tech Start Date]]&lt;1/1/1990,"",IF(Main[[#This Row],[Class]]="C",WORKDAY(Main[[#This Row],[Tech Start Date]],9),IF(Main[[#This Row],[Class]]="B", WORKDAY(Main[[#This Row],[Tech Start Date]],6),IF(Main[[#This Row],[Class]]="A",WORKDAY(Main[[#This Row],[Tech Start Date]],2),""))))</f>
        <v/>
      </c>
      <c r="N689" s="77" t="str">
        <f>IF(Main[[#This Row],[Tech Start Date]]&lt;1/1/1990,"",IF(Main[[#This Row],[Class]]="C",WORKDAY(Main[[#This Row],[Tech Start Date]],19),IF(Main[[#This Row],[Class]]="B", WORKDAY(Main[[#This Row],[Tech Start Date]],12),IF(Main[[#This Row],[Class]]="A",WORKDAY(Main[[#This Row],[Tech Start Date]],4),""))))</f>
        <v/>
      </c>
      <c r="O689" s="77" t="str">
        <f>IF(Main[[#This Row],[Tech Start Date]]&lt;1/1/1990,"",IF(Main[[#This Row],[Class]]="C",WORKDAY(Main[[#This Row],[Tech Start Date]],23),IF(Main[[#This Row],[Class]]="B", WORKDAY(Main[[#This Row],[Tech Start Date]],15),IF(Main[[#This Row],[Class]]="A",WORKDAY(Main[[#This Row],[Tech Start Date]],5),""))))</f>
        <v/>
      </c>
      <c r="P689" s="77" t="str">
        <f>IF(Main[[#This Row],[Tech Start Date]]&lt;1/1/1990,"",IF(Main[[#This Row],[Class]]="C",WORKDAY(Main[[#This Row],[Tech Start Date]],28),IF(Main[[#This Row],[Class]]="B", WORKDAY(Main[[#This Row],[Tech Start Date]],19),IF(Main[[#This Row],[Class]]="A",WORKDAY(Main[[#This Row],[Tech Start Date]],9),""))))</f>
        <v/>
      </c>
      <c r="Q689" s="74">
        <v>40227</v>
      </c>
      <c r="R689" s="74"/>
      <c r="S689" s="72" t="s">
        <v>11</v>
      </c>
      <c r="T689" s="80" t="s">
        <v>4</v>
      </c>
      <c r="U689" s="72" t="s">
        <v>14</v>
      </c>
      <c r="V689" s="72" t="s">
        <v>1920</v>
      </c>
      <c r="W689" s="72" t="s">
        <v>1922</v>
      </c>
      <c r="X689" s="72" t="s">
        <v>2856</v>
      </c>
      <c r="Y689" s="72" t="s">
        <v>4</v>
      </c>
      <c r="Z689" s="72" t="s">
        <v>4</v>
      </c>
      <c r="AA689" s="146" t="s">
        <v>2856</v>
      </c>
    </row>
    <row r="690" spans="1:27" ht="18.600000000000001" customHeight="1">
      <c r="A690" s="139" t="str">
        <f>IF(priority(Main[[#This Row],[Comments]])&lt;&gt;0, priority(Main[[#This Row],[Comments]]),"")</f>
        <v/>
      </c>
      <c r="B690" s="89" t="s">
        <v>1533</v>
      </c>
      <c r="C690" s="72" t="s">
        <v>4</v>
      </c>
      <c r="D690" s="73" t="s">
        <v>615</v>
      </c>
      <c r="E690" s="74"/>
      <c r="F690" s="74"/>
      <c r="G690" s="75" t="str">
        <f>IF(stdProdLT(Main[[#This Row],[Comments]])=0.1,"N/A",IF(stdProdLT(Main[[#This Row],[Comments]])=0,"",stdProdLT(Main[[#This Row],[Comments]])))</f>
        <v/>
      </c>
      <c r="H690" s="76" t="str">
        <f>IF(AND(Main[[#This Row],[In Stock Date]]&lt;&gt;"",Main[[#This Row],[Revised Due Date]]&lt;&gt;""),Main[[#This Row],[In Stock Date]]-Main[[#This Row],[Revised Due Date]],"")</f>
        <v/>
      </c>
      <c r="I690" s="72" t="s">
        <v>4</v>
      </c>
      <c r="J690" s="72" t="s">
        <v>28</v>
      </c>
      <c r="K690" s="72" t="s">
        <v>1926</v>
      </c>
      <c r="L690" s="74"/>
      <c r="M690" s="77" t="str">
        <f>IF(Main[[#This Row],[Tech Start Date]]&lt;1/1/1990,"",IF(Main[[#This Row],[Class]]="C",WORKDAY(Main[[#This Row],[Tech Start Date]],9),IF(Main[[#This Row],[Class]]="B", WORKDAY(Main[[#This Row],[Tech Start Date]],6),IF(Main[[#This Row],[Class]]="A",WORKDAY(Main[[#This Row],[Tech Start Date]],2),""))))</f>
        <v/>
      </c>
      <c r="N690" s="77" t="str">
        <f>IF(Main[[#This Row],[Tech Start Date]]&lt;1/1/1990,"",IF(Main[[#This Row],[Class]]="C",WORKDAY(Main[[#This Row],[Tech Start Date]],19),IF(Main[[#This Row],[Class]]="B", WORKDAY(Main[[#This Row],[Tech Start Date]],12),IF(Main[[#This Row],[Class]]="A",WORKDAY(Main[[#This Row],[Tech Start Date]],4),""))))</f>
        <v/>
      </c>
      <c r="O690" s="77" t="str">
        <f>IF(Main[[#This Row],[Tech Start Date]]&lt;1/1/1990,"",IF(Main[[#This Row],[Class]]="C",WORKDAY(Main[[#This Row],[Tech Start Date]],23),IF(Main[[#This Row],[Class]]="B", WORKDAY(Main[[#This Row],[Tech Start Date]],15),IF(Main[[#This Row],[Class]]="A",WORKDAY(Main[[#This Row],[Tech Start Date]],5),""))))</f>
        <v/>
      </c>
      <c r="P690" s="77" t="str">
        <f>IF(Main[[#This Row],[Tech Start Date]]&lt;1/1/1990,"",IF(Main[[#This Row],[Class]]="C",WORKDAY(Main[[#This Row],[Tech Start Date]],28),IF(Main[[#This Row],[Class]]="B", WORKDAY(Main[[#This Row],[Tech Start Date]],19),IF(Main[[#This Row],[Class]]="A",WORKDAY(Main[[#This Row],[Tech Start Date]],9),""))))</f>
        <v/>
      </c>
      <c r="Q690" s="74">
        <v>40387</v>
      </c>
      <c r="R690" s="74"/>
      <c r="S690" s="72" t="s">
        <v>6</v>
      </c>
      <c r="T690" s="80" t="s">
        <v>4</v>
      </c>
      <c r="U690" s="72" t="s">
        <v>14</v>
      </c>
      <c r="V690" s="72" t="s">
        <v>1917</v>
      </c>
      <c r="W690" s="72" t="s">
        <v>1922</v>
      </c>
      <c r="X690" s="72" t="s">
        <v>129</v>
      </c>
      <c r="Y690" s="72" t="s">
        <v>3083</v>
      </c>
      <c r="Z690" s="72" t="s">
        <v>129</v>
      </c>
      <c r="AA690" s="146" t="s">
        <v>129</v>
      </c>
    </row>
    <row r="691" spans="1:27" ht="18.600000000000001" customHeight="1">
      <c r="A691" s="139" t="str">
        <f>IF(priority(Main[[#This Row],[Comments]])&lt;&gt;0, priority(Main[[#This Row],[Comments]]),"")</f>
        <v/>
      </c>
      <c r="B691" s="89" t="s">
        <v>1534</v>
      </c>
      <c r="C691" s="72" t="s">
        <v>211</v>
      </c>
      <c r="D691" s="73" t="s">
        <v>413</v>
      </c>
      <c r="E691" s="74"/>
      <c r="F691" s="74">
        <v>40391</v>
      </c>
      <c r="G691" s="75" t="str">
        <f>IF(stdProdLT(Main[[#This Row],[Comments]])=0.1,"N/A",IF(stdProdLT(Main[[#This Row],[Comments]])=0,"",stdProdLT(Main[[#This Row],[Comments]])))</f>
        <v/>
      </c>
      <c r="H691" s="76" t="str">
        <f>IF(AND(Main[[#This Row],[In Stock Date]]&lt;&gt;"",Main[[#This Row],[Revised Due Date]]&lt;&gt;""),Main[[#This Row],[In Stock Date]]-Main[[#This Row],[Revised Due Date]],"")</f>
        <v/>
      </c>
      <c r="I691" s="72" t="s">
        <v>4</v>
      </c>
      <c r="J691" s="72" t="s">
        <v>4</v>
      </c>
      <c r="K691" s="72" t="s">
        <v>4</v>
      </c>
      <c r="L691" s="74"/>
      <c r="M691" s="77" t="str">
        <f>IF(Main[[#This Row],[Tech Start Date]]&lt;1/1/1990,"",IF(Main[[#This Row],[Class]]="C",WORKDAY(Main[[#This Row],[Tech Start Date]],9),IF(Main[[#This Row],[Class]]="B", WORKDAY(Main[[#This Row],[Tech Start Date]],6),IF(Main[[#This Row],[Class]]="A",WORKDAY(Main[[#This Row],[Tech Start Date]],2),""))))</f>
        <v/>
      </c>
      <c r="N691" s="77" t="str">
        <f>IF(Main[[#This Row],[Tech Start Date]]&lt;1/1/1990,"",IF(Main[[#This Row],[Class]]="C",WORKDAY(Main[[#This Row],[Tech Start Date]],19),IF(Main[[#This Row],[Class]]="B", WORKDAY(Main[[#This Row],[Tech Start Date]],12),IF(Main[[#This Row],[Class]]="A",WORKDAY(Main[[#This Row],[Tech Start Date]],4),""))))</f>
        <v/>
      </c>
      <c r="O691" s="77" t="str">
        <f>IF(Main[[#This Row],[Tech Start Date]]&lt;1/1/1990,"",IF(Main[[#This Row],[Class]]="C",WORKDAY(Main[[#This Row],[Tech Start Date]],23),IF(Main[[#This Row],[Class]]="B", WORKDAY(Main[[#This Row],[Tech Start Date]],15),IF(Main[[#This Row],[Class]]="A",WORKDAY(Main[[#This Row],[Tech Start Date]],5),""))))</f>
        <v/>
      </c>
      <c r="P691" s="77" t="str">
        <f>IF(Main[[#This Row],[Tech Start Date]]&lt;1/1/1990,"",IF(Main[[#This Row],[Class]]="C",WORKDAY(Main[[#This Row],[Tech Start Date]],28),IF(Main[[#This Row],[Class]]="B", WORKDAY(Main[[#This Row],[Tech Start Date]],19),IF(Main[[#This Row],[Class]]="A",WORKDAY(Main[[#This Row],[Tech Start Date]],9),""))))</f>
        <v/>
      </c>
      <c r="Q691" s="74">
        <v>40296</v>
      </c>
      <c r="R691" s="74"/>
      <c r="S691" s="72" t="s">
        <v>11</v>
      </c>
      <c r="T691" s="80" t="s">
        <v>4</v>
      </c>
      <c r="U691" s="72" t="s">
        <v>12</v>
      </c>
      <c r="V691" s="72" t="s">
        <v>1917</v>
      </c>
      <c r="W691" s="72" t="s">
        <v>1925</v>
      </c>
      <c r="X691" s="72" t="s">
        <v>2839</v>
      </c>
      <c r="Y691" s="72" t="s">
        <v>4</v>
      </c>
      <c r="Z691" s="72" t="s">
        <v>4</v>
      </c>
      <c r="AA691" s="146" t="s">
        <v>2839</v>
      </c>
    </row>
    <row r="692" spans="1:27" ht="18.600000000000001" customHeight="1">
      <c r="A692" s="139" t="str">
        <f>IF(priority(Main[[#This Row],[Comments]])&lt;&gt;0, priority(Main[[#This Row],[Comments]]),"")</f>
        <v/>
      </c>
      <c r="B692" s="136" t="s">
        <v>1535</v>
      </c>
      <c r="C692" s="129" t="s">
        <v>211</v>
      </c>
      <c r="D692" s="130" t="s">
        <v>413</v>
      </c>
      <c r="E692" s="131"/>
      <c r="F692" s="131">
        <v>40452</v>
      </c>
      <c r="G692" s="132" t="str">
        <f>IF(stdProdLT(Main[[#This Row],[Comments]])=0.1,"N/A",IF(stdProdLT(Main[[#This Row],[Comments]])=0,"",stdProdLT(Main[[#This Row],[Comments]])))</f>
        <v/>
      </c>
      <c r="H692" s="133" t="str">
        <f>IF(AND(Main[[#This Row],[In Stock Date]]&lt;&gt;"",Main[[#This Row],[Revised Due Date]]&lt;&gt;""),Main[[#This Row],[In Stock Date]]-Main[[#This Row],[Revised Due Date]],"")</f>
        <v/>
      </c>
      <c r="I692" s="129" t="s">
        <v>4</v>
      </c>
      <c r="J692" s="129" t="s">
        <v>4</v>
      </c>
      <c r="K692" s="129" t="s">
        <v>4</v>
      </c>
      <c r="L692" s="131"/>
      <c r="M692" s="134" t="str">
        <f>IF(Main[[#This Row],[Tech Start Date]]&lt;1/1/1990,"",IF(Main[[#This Row],[Class]]="C",WORKDAY(Main[[#This Row],[Tech Start Date]],9),IF(Main[[#This Row],[Class]]="B", WORKDAY(Main[[#This Row],[Tech Start Date]],6),IF(Main[[#This Row],[Class]]="A",WORKDAY(Main[[#This Row],[Tech Start Date]],2),""))))</f>
        <v/>
      </c>
      <c r="N692" s="134" t="str">
        <f>IF(Main[[#This Row],[Tech Start Date]]&lt;1/1/1990,"",IF(Main[[#This Row],[Class]]="C",WORKDAY(Main[[#This Row],[Tech Start Date]],19),IF(Main[[#This Row],[Class]]="B", WORKDAY(Main[[#This Row],[Tech Start Date]],12),IF(Main[[#This Row],[Class]]="A",WORKDAY(Main[[#This Row],[Tech Start Date]],4),""))))</f>
        <v/>
      </c>
      <c r="O692" s="134" t="str">
        <f>IF(Main[[#This Row],[Tech Start Date]]&lt;1/1/1990,"",IF(Main[[#This Row],[Class]]="C",WORKDAY(Main[[#This Row],[Tech Start Date]],23),IF(Main[[#This Row],[Class]]="B", WORKDAY(Main[[#This Row],[Tech Start Date]],15),IF(Main[[#This Row],[Class]]="A",WORKDAY(Main[[#This Row],[Tech Start Date]],5),""))))</f>
        <v/>
      </c>
      <c r="P692" s="134" t="str">
        <f>IF(Main[[#This Row],[Tech Start Date]]&lt;1/1/1990,"",IF(Main[[#This Row],[Class]]="C",WORKDAY(Main[[#This Row],[Tech Start Date]],28),IF(Main[[#This Row],[Class]]="B", WORKDAY(Main[[#This Row],[Tech Start Date]],19),IF(Main[[#This Row],[Class]]="A",WORKDAY(Main[[#This Row],[Tech Start Date]],9),""))))</f>
        <v/>
      </c>
      <c r="Q692" s="131">
        <v>40357</v>
      </c>
      <c r="R692" s="131"/>
      <c r="S692" s="129" t="s">
        <v>11</v>
      </c>
      <c r="T692" s="135" t="s">
        <v>4</v>
      </c>
      <c r="U692" s="129" t="s">
        <v>12</v>
      </c>
      <c r="V692" s="129" t="s">
        <v>1917</v>
      </c>
      <c r="W692" s="129" t="s">
        <v>1925</v>
      </c>
      <c r="X692" s="129" t="s">
        <v>2839</v>
      </c>
      <c r="Y692" s="129" t="s">
        <v>4</v>
      </c>
      <c r="Z692" s="129" t="s">
        <v>4</v>
      </c>
      <c r="AA692" s="146" t="s">
        <v>2839</v>
      </c>
    </row>
    <row r="693" spans="1:27" ht="18.600000000000001" customHeight="1">
      <c r="A693" s="139" t="str">
        <f>IF(priority(Main[[#This Row],[Comments]])&lt;&gt;0, priority(Main[[#This Row],[Comments]]),"")</f>
        <v/>
      </c>
      <c r="B693" s="89" t="s">
        <v>1536</v>
      </c>
      <c r="C693" s="72" t="s">
        <v>211</v>
      </c>
      <c r="D693" s="73" t="s">
        <v>212</v>
      </c>
      <c r="E693" s="74"/>
      <c r="F693" s="74">
        <v>40452</v>
      </c>
      <c r="G693" s="75" t="str">
        <f>IF(stdProdLT(Main[[#This Row],[Comments]])=0.1,"N/A",IF(stdProdLT(Main[[#This Row],[Comments]])=0,"",stdProdLT(Main[[#This Row],[Comments]])))</f>
        <v/>
      </c>
      <c r="H693" s="76" t="str">
        <f>IF(AND(Main[[#This Row],[In Stock Date]]&lt;&gt;"",Main[[#This Row],[Revised Due Date]]&lt;&gt;""),Main[[#This Row],[In Stock Date]]-Main[[#This Row],[Revised Due Date]],"")</f>
        <v/>
      </c>
      <c r="I693" s="72" t="s">
        <v>4</v>
      </c>
      <c r="J693" s="72" t="s">
        <v>4</v>
      </c>
      <c r="K693" s="72" t="s">
        <v>4</v>
      </c>
      <c r="L693" s="74"/>
      <c r="M693" s="77" t="str">
        <f>IF(Main[[#This Row],[Tech Start Date]]&lt;1/1/1990,"",IF(Main[[#This Row],[Class]]="C",WORKDAY(Main[[#This Row],[Tech Start Date]],9),IF(Main[[#This Row],[Class]]="B", WORKDAY(Main[[#This Row],[Tech Start Date]],6),IF(Main[[#This Row],[Class]]="A",WORKDAY(Main[[#This Row],[Tech Start Date]],2),""))))</f>
        <v/>
      </c>
      <c r="N693" s="77" t="str">
        <f>IF(Main[[#This Row],[Tech Start Date]]&lt;1/1/1990,"",IF(Main[[#This Row],[Class]]="C",WORKDAY(Main[[#This Row],[Tech Start Date]],19),IF(Main[[#This Row],[Class]]="B", WORKDAY(Main[[#This Row],[Tech Start Date]],12),IF(Main[[#This Row],[Class]]="A",WORKDAY(Main[[#This Row],[Tech Start Date]],4),""))))</f>
        <v/>
      </c>
      <c r="O693" s="77" t="str">
        <f>IF(Main[[#This Row],[Tech Start Date]]&lt;1/1/1990,"",IF(Main[[#This Row],[Class]]="C",WORKDAY(Main[[#This Row],[Tech Start Date]],23),IF(Main[[#This Row],[Class]]="B", WORKDAY(Main[[#This Row],[Tech Start Date]],15),IF(Main[[#This Row],[Class]]="A",WORKDAY(Main[[#This Row],[Tech Start Date]],5),""))))</f>
        <v/>
      </c>
      <c r="P693" s="77" t="str">
        <f>IF(Main[[#This Row],[Tech Start Date]]&lt;1/1/1990,"",IF(Main[[#This Row],[Class]]="C",WORKDAY(Main[[#This Row],[Tech Start Date]],28),IF(Main[[#This Row],[Class]]="B", WORKDAY(Main[[#This Row],[Tech Start Date]],19),IF(Main[[#This Row],[Class]]="A",WORKDAY(Main[[#This Row],[Tech Start Date]],9),""))))</f>
        <v/>
      </c>
      <c r="Q693" s="74">
        <v>40357</v>
      </c>
      <c r="R693" s="74"/>
      <c r="S693" s="72" t="s">
        <v>11</v>
      </c>
      <c r="T693" s="80" t="s">
        <v>4</v>
      </c>
      <c r="U693" s="72" t="s">
        <v>12</v>
      </c>
      <c r="V693" s="72" t="s">
        <v>1917</v>
      </c>
      <c r="W693" s="72" t="s">
        <v>1925</v>
      </c>
      <c r="X693" s="72" t="s">
        <v>2839</v>
      </c>
      <c r="Y693" s="72" t="s">
        <v>4</v>
      </c>
      <c r="Z693" s="72" t="s">
        <v>4</v>
      </c>
      <c r="AA693" s="146" t="s">
        <v>2839</v>
      </c>
    </row>
    <row r="694" spans="1:27" ht="18.600000000000001" customHeight="1">
      <c r="A694" s="139" t="str">
        <f>IF(priority(Main[[#This Row],[Comments]])&lt;&gt;0, priority(Main[[#This Row],[Comments]]),"")</f>
        <v/>
      </c>
      <c r="B694" s="89" t="s">
        <v>1537</v>
      </c>
      <c r="C694" s="72" t="s">
        <v>211</v>
      </c>
      <c r="D694" s="73" t="s">
        <v>212</v>
      </c>
      <c r="E694" s="74"/>
      <c r="F694" s="74">
        <v>40452</v>
      </c>
      <c r="G694" s="75" t="str">
        <f>IF(stdProdLT(Main[[#This Row],[Comments]])=0.1,"N/A",IF(stdProdLT(Main[[#This Row],[Comments]])=0,"",stdProdLT(Main[[#This Row],[Comments]])))</f>
        <v/>
      </c>
      <c r="H694" s="76" t="str">
        <f>IF(AND(Main[[#This Row],[In Stock Date]]&lt;&gt;"",Main[[#This Row],[Revised Due Date]]&lt;&gt;""),Main[[#This Row],[In Stock Date]]-Main[[#This Row],[Revised Due Date]],"")</f>
        <v/>
      </c>
      <c r="I694" s="72" t="s">
        <v>4</v>
      </c>
      <c r="J694" s="72" t="s">
        <v>4</v>
      </c>
      <c r="K694" s="72" t="s">
        <v>4</v>
      </c>
      <c r="L694" s="74"/>
      <c r="M694" s="77" t="str">
        <f>IF(Main[[#This Row],[Tech Start Date]]&lt;1/1/1990,"",IF(Main[[#This Row],[Class]]="C",WORKDAY(Main[[#This Row],[Tech Start Date]],9),IF(Main[[#This Row],[Class]]="B", WORKDAY(Main[[#This Row],[Tech Start Date]],6),IF(Main[[#This Row],[Class]]="A",WORKDAY(Main[[#This Row],[Tech Start Date]],2),""))))</f>
        <v/>
      </c>
      <c r="N694" s="77" t="str">
        <f>IF(Main[[#This Row],[Tech Start Date]]&lt;1/1/1990,"",IF(Main[[#This Row],[Class]]="C",WORKDAY(Main[[#This Row],[Tech Start Date]],19),IF(Main[[#This Row],[Class]]="B", WORKDAY(Main[[#This Row],[Tech Start Date]],12),IF(Main[[#This Row],[Class]]="A",WORKDAY(Main[[#This Row],[Tech Start Date]],4),""))))</f>
        <v/>
      </c>
      <c r="O694" s="77" t="str">
        <f>IF(Main[[#This Row],[Tech Start Date]]&lt;1/1/1990,"",IF(Main[[#This Row],[Class]]="C",WORKDAY(Main[[#This Row],[Tech Start Date]],23),IF(Main[[#This Row],[Class]]="B", WORKDAY(Main[[#This Row],[Tech Start Date]],15),IF(Main[[#This Row],[Class]]="A",WORKDAY(Main[[#This Row],[Tech Start Date]],5),""))))</f>
        <v/>
      </c>
      <c r="P694" s="77" t="str">
        <f>IF(Main[[#This Row],[Tech Start Date]]&lt;1/1/1990,"",IF(Main[[#This Row],[Class]]="C",WORKDAY(Main[[#This Row],[Tech Start Date]],28),IF(Main[[#This Row],[Class]]="B", WORKDAY(Main[[#This Row],[Tech Start Date]],19),IF(Main[[#This Row],[Class]]="A",WORKDAY(Main[[#This Row],[Tech Start Date]],9),""))))</f>
        <v/>
      </c>
      <c r="Q694" s="74">
        <v>40357</v>
      </c>
      <c r="R694" s="74"/>
      <c r="S694" s="72" t="s">
        <v>11</v>
      </c>
      <c r="T694" s="80" t="s">
        <v>4</v>
      </c>
      <c r="U694" s="72" t="s">
        <v>12</v>
      </c>
      <c r="V694" s="72" t="s">
        <v>1917</v>
      </c>
      <c r="W694" s="72" t="s">
        <v>1925</v>
      </c>
      <c r="X694" s="72" t="s">
        <v>2839</v>
      </c>
      <c r="Y694" s="72" t="s">
        <v>4</v>
      </c>
      <c r="Z694" s="72" t="s">
        <v>4</v>
      </c>
      <c r="AA694" s="146" t="s">
        <v>2839</v>
      </c>
    </row>
    <row r="695" spans="1:27" ht="18.600000000000001" customHeight="1">
      <c r="A695" s="139" t="str">
        <f>IF(priority(Main[[#This Row],[Comments]])&lt;&gt;0, priority(Main[[#This Row],[Comments]]),"")</f>
        <v/>
      </c>
      <c r="B695" s="89" t="s">
        <v>1538</v>
      </c>
      <c r="C695" s="72" t="s">
        <v>72</v>
      </c>
      <c r="D695" s="73" t="s">
        <v>616</v>
      </c>
      <c r="E695" s="74"/>
      <c r="F695" s="74"/>
      <c r="G695" s="75" t="str">
        <f>IF(stdProdLT(Main[[#This Row],[Comments]])=0.1,"N/A",IF(stdProdLT(Main[[#This Row],[Comments]])=0,"",stdProdLT(Main[[#This Row],[Comments]])))</f>
        <v/>
      </c>
      <c r="H695" s="76" t="str">
        <f>IF(AND(Main[[#This Row],[In Stock Date]]&lt;&gt;"",Main[[#This Row],[Revised Due Date]]&lt;&gt;""),Main[[#This Row],[In Stock Date]]-Main[[#This Row],[Revised Due Date]],"")</f>
        <v/>
      </c>
      <c r="I695" s="72" t="s">
        <v>4</v>
      </c>
      <c r="J695" s="72" t="s">
        <v>4</v>
      </c>
      <c r="K695" s="81" t="s">
        <v>4</v>
      </c>
      <c r="L695" s="74"/>
      <c r="M695" s="77" t="str">
        <f>IF(Main[[#This Row],[Tech Start Date]]&lt;1/1/1990,"",IF(Main[[#This Row],[Class]]="C",WORKDAY(Main[[#This Row],[Tech Start Date]],9),IF(Main[[#This Row],[Class]]="B", WORKDAY(Main[[#This Row],[Tech Start Date]],6),IF(Main[[#This Row],[Class]]="A",WORKDAY(Main[[#This Row],[Tech Start Date]],2),""))))</f>
        <v/>
      </c>
      <c r="N695" s="77" t="str">
        <f>IF(Main[[#This Row],[Tech Start Date]]&lt;1/1/1990,"",IF(Main[[#This Row],[Class]]="C",WORKDAY(Main[[#This Row],[Tech Start Date]],19),IF(Main[[#This Row],[Class]]="B", WORKDAY(Main[[#This Row],[Tech Start Date]],12),IF(Main[[#This Row],[Class]]="A",WORKDAY(Main[[#This Row],[Tech Start Date]],4),""))))</f>
        <v/>
      </c>
      <c r="O695" s="77" t="str">
        <f>IF(Main[[#This Row],[Tech Start Date]]&lt;1/1/1990,"",IF(Main[[#This Row],[Class]]="C",WORKDAY(Main[[#This Row],[Tech Start Date]],23),IF(Main[[#This Row],[Class]]="B", WORKDAY(Main[[#This Row],[Tech Start Date]],15),IF(Main[[#This Row],[Class]]="A",WORKDAY(Main[[#This Row],[Tech Start Date]],5),""))))</f>
        <v/>
      </c>
      <c r="P695" s="77" t="str">
        <f>IF(Main[[#This Row],[Tech Start Date]]&lt;1/1/1990,"",IF(Main[[#This Row],[Class]]="C",WORKDAY(Main[[#This Row],[Tech Start Date]],28),IF(Main[[#This Row],[Class]]="B", WORKDAY(Main[[#This Row],[Tech Start Date]],19),IF(Main[[#This Row],[Class]]="A",WORKDAY(Main[[#This Row],[Tech Start Date]],9),""))))</f>
        <v/>
      </c>
      <c r="Q695" s="74"/>
      <c r="R695" s="74"/>
      <c r="S695" s="72" t="s">
        <v>11</v>
      </c>
      <c r="T695" s="80" t="s">
        <v>4</v>
      </c>
      <c r="U695" s="72" t="s">
        <v>14</v>
      </c>
      <c r="V695" s="72" t="s">
        <v>1918</v>
      </c>
      <c r="W695" s="72" t="s">
        <v>1925</v>
      </c>
      <c r="X695" s="72" t="s">
        <v>2833</v>
      </c>
      <c r="Y695" s="72" t="s">
        <v>2954</v>
      </c>
      <c r="Z695" s="72" t="s">
        <v>4</v>
      </c>
      <c r="AA695" s="146" t="s">
        <v>2833</v>
      </c>
    </row>
    <row r="696" spans="1:27" ht="18.600000000000001" customHeight="1">
      <c r="A696" s="139" t="str">
        <f>IF(priority(Main[[#This Row],[Comments]])&lt;&gt;0, priority(Main[[#This Row],[Comments]]),"")</f>
        <v/>
      </c>
      <c r="B696" s="89" t="s">
        <v>1539</v>
      </c>
      <c r="C696" s="72" t="s">
        <v>33</v>
      </c>
      <c r="D696" s="73" t="s">
        <v>617</v>
      </c>
      <c r="E696" s="74"/>
      <c r="F696" s="74"/>
      <c r="G696" s="75" t="str">
        <f>IF(stdProdLT(Main[[#This Row],[Comments]])=0.1,"N/A",IF(stdProdLT(Main[[#This Row],[Comments]])=0,"",stdProdLT(Main[[#This Row],[Comments]])))</f>
        <v/>
      </c>
      <c r="H696" s="76" t="str">
        <f>IF(AND(Main[[#This Row],[In Stock Date]]&lt;&gt;"",Main[[#This Row],[Revised Due Date]]&lt;&gt;""),Main[[#This Row],[In Stock Date]]-Main[[#This Row],[Revised Due Date]],"")</f>
        <v/>
      </c>
      <c r="I696" s="72" t="s">
        <v>4</v>
      </c>
      <c r="J696" s="72" t="s">
        <v>4</v>
      </c>
      <c r="K696" s="72" t="s">
        <v>4</v>
      </c>
      <c r="L696" s="74"/>
      <c r="M696" s="77" t="str">
        <f>IF(Main[[#This Row],[Tech Start Date]]&lt;1/1/1990,"",IF(Main[[#This Row],[Class]]="C",WORKDAY(Main[[#This Row],[Tech Start Date]],9),IF(Main[[#This Row],[Class]]="B", WORKDAY(Main[[#This Row],[Tech Start Date]],6),IF(Main[[#This Row],[Class]]="A",WORKDAY(Main[[#This Row],[Tech Start Date]],2),""))))</f>
        <v/>
      </c>
      <c r="N696" s="77" t="str">
        <f>IF(Main[[#This Row],[Tech Start Date]]&lt;1/1/1990,"",IF(Main[[#This Row],[Class]]="C",WORKDAY(Main[[#This Row],[Tech Start Date]],19),IF(Main[[#This Row],[Class]]="B", WORKDAY(Main[[#This Row],[Tech Start Date]],12),IF(Main[[#This Row],[Class]]="A",WORKDAY(Main[[#This Row],[Tech Start Date]],4),""))))</f>
        <v/>
      </c>
      <c r="O696" s="77" t="str">
        <f>IF(Main[[#This Row],[Tech Start Date]]&lt;1/1/1990,"",IF(Main[[#This Row],[Class]]="C",WORKDAY(Main[[#This Row],[Tech Start Date]],23),IF(Main[[#This Row],[Class]]="B", WORKDAY(Main[[#This Row],[Tech Start Date]],15),IF(Main[[#This Row],[Class]]="A",WORKDAY(Main[[#This Row],[Tech Start Date]],5),""))))</f>
        <v/>
      </c>
      <c r="P696" s="77" t="str">
        <f>IF(Main[[#This Row],[Tech Start Date]]&lt;1/1/1990,"",IF(Main[[#This Row],[Class]]="C",WORKDAY(Main[[#This Row],[Tech Start Date]],28),IF(Main[[#This Row],[Class]]="B", WORKDAY(Main[[#This Row],[Tech Start Date]],19),IF(Main[[#This Row],[Class]]="A",WORKDAY(Main[[#This Row],[Tech Start Date]],9),""))))</f>
        <v/>
      </c>
      <c r="Q696" s="74"/>
      <c r="R696" s="74"/>
      <c r="S696" s="72" t="s">
        <v>11</v>
      </c>
      <c r="T696" s="80" t="s">
        <v>4</v>
      </c>
      <c r="U696" s="72" t="s">
        <v>14</v>
      </c>
      <c r="V696" s="72" t="s">
        <v>1918</v>
      </c>
      <c r="W696" s="72" t="s">
        <v>1925</v>
      </c>
      <c r="X696" s="72" t="s">
        <v>2833</v>
      </c>
      <c r="Y696" s="72" t="s">
        <v>2954</v>
      </c>
      <c r="Z696" s="72" t="s">
        <v>4</v>
      </c>
      <c r="AA696" s="146" t="s">
        <v>2833</v>
      </c>
    </row>
    <row r="697" spans="1:27" ht="18.600000000000001" customHeight="1">
      <c r="A697" s="139" t="str">
        <f>IF(priority(Main[[#This Row],[Comments]])&lt;&gt;0, priority(Main[[#This Row],[Comments]]),"")</f>
        <v/>
      </c>
      <c r="B697" s="89" t="s">
        <v>1540</v>
      </c>
      <c r="C697" s="72" t="s">
        <v>33</v>
      </c>
      <c r="D697" s="73" t="s">
        <v>618</v>
      </c>
      <c r="E697" s="74"/>
      <c r="F697" s="74"/>
      <c r="G697" s="75" t="str">
        <f>IF(stdProdLT(Main[[#This Row],[Comments]])=0.1,"N/A",IF(stdProdLT(Main[[#This Row],[Comments]])=0,"",stdProdLT(Main[[#This Row],[Comments]])))</f>
        <v/>
      </c>
      <c r="H697" s="76" t="str">
        <f>IF(AND(Main[[#This Row],[In Stock Date]]&lt;&gt;"",Main[[#This Row],[Revised Due Date]]&lt;&gt;""),Main[[#This Row],[In Stock Date]]-Main[[#This Row],[Revised Due Date]],"")</f>
        <v/>
      </c>
      <c r="I697" s="72" t="s">
        <v>4</v>
      </c>
      <c r="J697" s="72" t="s">
        <v>4</v>
      </c>
      <c r="K697" s="72" t="s">
        <v>4</v>
      </c>
      <c r="L697" s="74"/>
      <c r="M697" s="77" t="str">
        <f>IF(Main[[#This Row],[Tech Start Date]]&lt;1/1/1990,"",IF(Main[[#This Row],[Class]]="C",WORKDAY(Main[[#This Row],[Tech Start Date]],9),IF(Main[[#This Row],[Class]]="B", WORKDAY(Main[[#This Row],[Tech Start Date]],6),IF(Main[[#This Row],[Class]]="A",WORKDAY(Main[[#This Row],[Tech Start Date]],2),""))))</f>
        <v/>
      </c>
      <c r="N697" s="77" t="str">
        <f>IF(Main[[#This Row],[Tech Start Date]]&lt;1/1/1990,"",IF(Main[[#This Row],[Class]]="C",WORKDAY(Main[[#This Row],[Tech Start Date]],19),IF(Main[[#This Row],[Class]]="B", WORKDAY(Main[[#This Row],[Tech Start Date]],12),IF(Main[[#This Row],[Class]]="A",WORKDAY(Main[[#This Row],[Tech Start Date]],4),""))))</f>
        <v/>
      </c>
      <c r="O697" s="77" t="str">
        <f>IF(Main[[#This Row],[Tech Start Date]]&lt;1/1/1990,"",IF(Main[[#This Row],[Class]]="C",WORKDAY(Main[[#This Row],[Tech Start Date]],23),IF(Main[[#This Row],[Class]]="B", WORKDAY(Main[[#This Row],[Tech Start Date]],15),IF(Main[[#This Row],[Class]]="A",WORKDAY(Main[[#This Row],[Tech Start Date]],5),""))))</f>
        <v/>
      </c>
      <c r="P697" s="77" t="str">
        <f>IF(Main[[#This Row],[Tech Start Date]]&lt;1/1/1990,"",IF(Main[[#This Row],[Class]]="C",WORKDAY(Main[[#This Row],[Tech Start Date]],28),IF(Main[[#This Row],[Class]]="B", WORKDAY(Main[[#This Row],[Tech Start Date]],19),IF(Main[[#This Row],[Class]]="A",WORKDAY(Main[[#This Row],[Tech Start Date]],9),""))))</f>
        <v/>
      </c>
      <c r="Q697" s="74"/>
      <c r="R697" s="74"/>
      <c r="S697" s="72" t="s">
        <v>11</v>
      </c>
      <c r="T697" s="80" t="s">
        <v>4</v>
      </c>
      <c r="U697" s="72" t="s">
        <v>14</v>
      </c>
      <c r="V697" s="72" t="s">
        <v>1918</v>
      </c>
      <c r="W697" s="72" t="s">
        <v>1925</v>
      </c>
      <c r="X697" s="72" t="s">
        <v>2833</v>
      </c>
      <c r="Y697" s="72" t="s">
        <v>2954</v>
      </c>
      <c r="Z697" s="72" t="s">
        <v>4</v>
      </c>
      <c r="AA697" s="146" t="s">
        <v>2833</v>
      </c>
    </row>
    <row r="698" spans="1:27" ht="18.600000000000001" customHeight="1">
      <c r="A698" s="139" t="str">
        <f>IF(priority(Main[[#This Row],[Comments]])&lt;&gt;0, priority(Main[[#This Row],[Comments]]),"")</f>
        <v/>
      </c>
      <c r="B698" s="123" t="s">
        <v>1541</v>
      </c>
      <c r="C698" s="116" t="s">
        <v>4</v>
      </c>
      <c r="D698" s="117" t="s">
        <v>619</v>
      </c>
      <c r="E698" s="118">
        <v>40294.429988425924</v>
      </c>
      <c r="F698" s="118"/>
      <c r="G698" s="119" t="str">
        <f>IF(stdProdLT(Main[[#This Row],[Comments]])=0.1,"N/A",IF(stdProdLT(Main[[#This Row],[Comments]])=0,"",stdProdLT(Main[[#This Row],[Comments]])))</f>
        <v/>
      </c>
      <c r="H698" s="120" t="str">
        <f>IF(AND(Main[[#This Row],[In Stock Date]]&lt;&gt;"",Main[[#This Row],[Revised Due Date]]&lt;&gt;""),Main[[#This Row],[In Stock Date]]-Main[[#This Row],[Revised Due Date]],"")</f>
        <v/>
      </c>
      <c r="I698" s="116" t="s">
        <v>4</v>
      </c>
      <c r="J698" s="116" t="s">
        <v>4</v>
      </c>
      <c r="K698" s="116" t="s">
        <v>4</v>
      </c>
      <c r="L698" s="118"/>
      <c r="M698" s="121" t="str">
        <f>IF(Main[[#This Row],[Tech Start Date]]&lt;1/1/1990,"",IF(Main[[#This Row],[Class]]="C",WORKDAY(Main[[#This Row],[Tech Start Date]],9),IF(Main[[#This Row],[Class]]="B", WORKDAY(Main[[#This Row],[Tech Start Date]],6),IF(Main[[#This Row],[Class]]="A",WORKDAY(Main[[#This Row],[Tech Start Date]],2),""))))</f>
        <v/>
      </c>
      <c r="N698" s="121" t="str">
        <f>IF(Main[[#This Row],[Tech Start Date]]&lt;1/1/1990,"",IF(Main[[#This Row],[Class]]="C",WORKDAY(Main[[#This Row],[Tech Start Date]],19),IF(Main[[#This Row],[Class]]="B", WORKDAY(Main[[#This Row],[Tech Start Date]],12),IF(Main[[#This Row],[Class]]="A",WORKDAY(Main[[#This Row],[Tech Start Date]],4),""))))</f>
        <v/>
      </c>
      <c r="O698" s="121" t="str">
        <f>IF(Main[[#This Row],[Tech Start Date]]&lt;1/1/1990,"",IF(Main[[#This Row],[Class]]="C",WORKDAY(Main[[#This Row],[Tech Start Date]],23),IF(Main[[#This Row],[Class]]="B", WORKDAY(Main[[#This Row],[Tech Start Date]],15),IF(Main[[#This Row],[Class]]="A",WORKDAY(Main[[#This Row],[Tech Start Date]],5),""))))</f>
        <v/>
      </c>
      <c r="P698" s="121" t="str">
        <f>IF(Main[[#This Row],[Tech Start Date]]&lt;1/1/1990,"",IF(Main[[#This Row],[Class]]="C",WORKDAY(Main[[#This Row],[Tech Start Date]],28),IF(Main[[#This Row],[Class]]="B", WORKDAY(Main[[#This Row],[Tech Start Date]],19),IF(Main[[#This Row],[Class]]="A",WORKDAY(Main[[#This Row],[Tech Start Date]],9),""))))</f>
        <v/>
      </c>
      <c r="Q698" s="118">
        <v>40390</v>
      </c>
      <c r="R698" s="118"/>
      <c r="S698" s="116" t="s">
        <v>6</v>
      </c>
      <c r="T698" s="122" t="s">
        <v>4</v>
      </c>
      <c r="U698" s="116" t="s">
        <v>7</v>
      </c>
      <c r="V698" s="116" t="s">
        <v>1917</v>
      </c>
      <c r="W698" s="116" t="s">
        <v>4</v>
      </c>
      <c r="X698" s="116" t="s">
        <v>2825</v>
      </c>
      <c r="Y698" s="116" t="s">
        <v>2938</v>
      </c>
      <c r="Z698" s="116" t="s">
        <v>4</v>
      </c>
      <c r="AA698" s="146" t="s">
        <v>2825</v>
      </c>
    </row>
    <row r="699" spans="1:27" ht="18.600000000000001" customHeight="1">
      <c r="A699" s="139" t="str">
        <f>IF(priority(Main[[#This Row],[Comments]])&lt;&gt;0, priority(Main[[#This Row],[Comments]]),"")</f>
        <v/>
      </c>
      <c r="B699" s="89" t="s">
        <v>1542</v>
      </c>
      <c r="C699" s="72" t="s">
        <v>4</v>
      </c>
      <c r="D699" s="73" t="s">
        <v>620</v>
      </c>
      <c r="E699" s="74"/>
      <c r="F699" s="74"/>
      <c r="G699" s="75" t="str">
        <f>IF(stdProdLT(Main[[#This Row],[Comments]])=0.1,"N/A",IF(stdProdLT(Main[[#This Row],[Comments]])=0,"",stdProdLT(Main[[#This Row],[Comments]])))</f>
        <v/>
      </c>
      <c r="H699" s="76" t="str">
        <f>IF(AND(Main[[#This Row],[In Stock Date]]&lt;&gt;"",Main[[#This Row],[Revised Due Date]]&lt;&gt;""),Main[[#This Row],[In Stock Date]]-Main[[#This Row],[Revised Due Date]],"")</f>
        <v/>
      </c>
      <c r="I699" s="72" t="s">
        <v>4</v>
      </c>
      <c r="J699" s="72" t="s">
        <v>4</v>
      </c>
      <c r="K699" s="72" t="s">
        <v>4</v>
      </c>
      <c r="L699" s="74"/>
      <c r="M699" s="77" t="str">
        <f>IF(Main[[#This Row],[Tech Start Date]]&lt;1/1/1990,"",IF(Main[[#This Row],[Class]]="C",WORKDAY(Main[[#This Row],[Tech Start Date]],9),IF(Main[[#This Row],[Class]]="B", WORKDAY(Main[[#This Row],[Tech Start Date]],6),IF(Main[[#This Row],[Class]]="A",WORKDAY(Main[[#This Row],[Tech Start Date]],2),""))))</f>
        <v/>
      </c>
      <c r="N699" s="77" t="str">
        <f>IF(Main[[#This Row],[Tech Start Date]]&lt;1/1/1990,"",IF(Main[[#This Row],[Class]]="C",WORKDAY(Main[[#This Row],[Tech Start Date]],19),IF(Main[[#This Row],[Class]]="B", WORKDAY(Main[[#This Row],[Tech Start Date]],12),IF(Main[[#This Row],[Class]]="A",WORKDAY(Main[[#This Row],[Tech Start Date]],4),""))))</f>
        <v/>
      </c>
      <c r="O699" s="77" t="str">
        <f>IF(Main[[#This Row],[Tech Start Date]]&lt;1/1/1990,"",IF(Main[[#This Row],[Class]]="C",WORKDAY(Main[[#This Row],[Tech Start Date]],23),IF(Main[[#This Row],[Class]]="B", WORKDAY(Main[[#This Row],[Tech Start Date]],15),IF(Main[[#This Row],[Class]]="A",WORKDAY(Main[[#This Row],[Tech Start Date]],5),""))))</f>
        <v/>
      </c>
      <c r="P699" s="77" t="str">
        <f>IF(Main[[#This Row],[Tech Start Date]]&lt;1/1/1990,"",IF(Main[[#This Row],[Class]]="C",WORKDAY(Main[[#This Row],[Tech Start Date]],28),IF(Main[[#This Row],[Class]]="B", WORKDAY(Main[[#This Row],[Tech Start Date]],19),IF(Main[[#This Row],[Class]]="A",WORKDAY(Main[[#This Row],[Tech Start Date]],9),""))))</f>
        <v/>
      </c>
      <c r="Q699" s="74"/>
      <c r="R699" s="74"/>
      <c r="S699" s="72" t="s">
        <v>11</v>
      </c>
      <c r="T699" s="80" t="s">
        <v>4</v>
      </c>
      <c r="U699" s="72" t="s">
        <v>14</v>
      </c>
      <c r="V699" s="72" t="s">
        <v>1917</v>
      </c>
      <c r="W699" s="72" t="s">
        <v>1921</v>
      </c>
      <c r="X699" s="72" t="s">
        <v>924</v>
      </c>
      <c r="Y699" s="72" t="s">
        <v>2988</v>
      </c>
      <c r="Z699" s="72" t="s">
        <v>4</v>
      </c>
      <c r="AA699" s="146" t="s">
        <v>924</v>
      </c>
    </row>
    <row r="700" spans="1:27" ht="18.600000000000001" customHeight="1">
      <c r="A700" s="139" t="str">
        <f>IF(priority(Main[[#This Row],[Comments]])&lt;&gt;0, priority(Main[[#This Row],[Comments]]),"")</f>
        <v/>
      </c>
      <c r="B700" s="89" t="s">
        <v>1546</v>
      </c>
      <c r="C700" s="72" t="s">
        <v>4</v>
      </c>
      <c r="D700" s="73" t="s">
        <v>628</v>
      </c>
      <c r="E700" s="74"/>
      <c r="F700" s="74"/>
      <c r="G700" s="75" t="str">
        <f>IF(stdProdLT(Main[[#This Row],[Comments]])=0.1,"N/A",IF(stdProdLT(Main[[#This Row],[Comments]])=0,"",stdProdLT(Main[[#This Row],[Comments]])))</f>
        <v/>
      </c>
      <c r="H700" s="76" t="str">
        <f>IF(AND(Main[[#This Row],[In Stock Date]]&lt;&gt;"",Main[[#This Row],[Revised Due Date]]&lt;&gt;""),Main[[#This Row],[In Stock Date]]-Main[[#This Row],[Revised Due Date]],"")</f>
        <v/>
      </c>
      <c r="I700" s="72" t="s">
        <v>4</v>
      </c>
      <c r="J700" s="72" t="s">
        <v>4</v>
      </c>
      <c r="K700" s="72" t="s">
        <v>4</v>
      </c>
      <c r="L700" s="74"/>
      <c r="M700" s="77" t="str">
        <f>IF(Main[[#This Row],[Tech Start Date]]&lt;1/1/1990,"",IF(Main[[#This Row],[Class]]="C",WORKDAY(Main[[#This Row],[Tech Start Date]],9),IF(Main[[#This Row],[Class]]="B", WORKDAY(Main[[#This Row],[Tech Start Date]],6),IF(Main[[#This Row],[Class]]="A",WORKDAY(Main[[#This Row],[Tech Start Date]],2),""))))</f>
        <v/>
      </c>
      <c r="N700" s="77" t="str">
        <f>IF(Main[[#This Row],[Tech Start Date]]&lt;1/1/1990,"",IF(Main[[#This Row],[Class]]="C",WORKDAY(Main[[#This Row],[Tech Start Date]],19),IF(Main[[#This Row],[Class]]="B", WORKDAY(Main[[#This Row],[Tech Start Date]],12),IF(Main[[#This Row],[Class]]="A",WORKDAY(Main[[#This Row],[Tech Start Date]],4),""))))</f>
        <v/>
      </c>
      <c r="O700" s="77" t="str">
        <f>IF(Main[[#This Row],[Tech Start Date]]&lt;1/1/1990,"",IF(Main[[#This Row],[Class]]="C",WORKDAY(Main[[#This Row],[Tech Start Date]],23),IF(Main[[#This Row],[Class]]="B", WORKDAY(Main[[#This Row],[Tech Start Date]],15),IF(Main[[#This Row],[Class]]="A",WORKDAY(Main[[#This Row],[Tech Start Date]],5),""))))</f>
        <v/>
      </c>
      <c r="P700" s="77" t="str">
        <f>IF(Main[[#This Row],[Tech Start Date]]&lt;1/1/1990,"",IF(Main[[#This Row],[Class]]="C",WORKDAY(Main[[#This Row],[Tech Start Date]],28),IF(Main[[#This Row],[Class]]="B", WORKDAY(Main[[#This Row],[Tech Start Date]],19),IF(Main[[#This Row],[Class]]="A",WORKDAY(Main[[#This Row],[Tech Start Date]],9),""))))</f>
        <v/>
      </c>
      <c r="Q700" s="74"/>
      <c r="R700" s="74"/>
      <c r="S700" s="72" t="s">
        <v>6</v>
      </c>
      <c r="T700" s="80" t="s">
        <v>4</v>
      </c>
      <c r="U700" s="72" t="s">
        <v>12</v>
      </c>
      <c r="V700" s="72" t="s">
        <v>1917</v>
      </c>
      <c r="W700" s="72" t="s">
        <v>4</v>
      </c>
      <c r="X700" s="72" t="s">
        <v>710</v>
      </c>
      <c r="Y700" s="72" t="s">
        <v>3084</v>
      </c>
      <c r="Z700" s="72" t="s">
        <v>4</v>
      </c>
      <c r="AA700" s="146" t="s">
        <v>3436</v>
      </c>
    </row>
    <row r="701" spans="1:27" ht="18.600000000000001" customHeight="1">
      <c r="A701" s="139" t="str">
        <f>IF(priority(Main[[#This Row],[Comments]])&lt;&gt;0, priority(Main[[#This Row],[Comments]]),"")</f>
        <v/>
      </c>
      <c r="B701" s="89" t="s">
        <v>1547</v>
      </c>
      <c r="C701" s="72" t="s">
        <v>93</v>
      </c>
      <c r="D701" s="73" t="s">
        <v>629</v>
      </c>
      <c r="E701" s="74"/>
      <c r="F701" s="74">
        <v>40162</v>
      </c>
      <c r="G701" s="75" t="str">
        <f>IF(stdProdLT(Main[[#This Row],[Comments]])=0.1,"N/A",IF(stdProdLT(Main[[#This Row],[Comments]])=0,"",stdProdLT(Main[[#This Row],[Comments]])))</f>
        <v/>
      </c>
      <c r="H701" s="76" t="str">
        <f>IF(AND(Main[[#This Row],[In Stock Date]]&lt;&gt;"",Main[[#This Row],[Revised Due Date]]&lt;&gt;""),Main[[#This Row],[In Stock Date]]-Main[[#This Row],[Revised Due Date]],"")</f>
        <v/>
      </c>
      <c r="I701" s="72" t="s">
        <v>4</v>
      </c>
      <c r="J701" s="72" t="s">
        <v>4</v>
      </c>
      <c r="K701" s="72" t="s">
        <v>4</v>
      </c>
      <c r="L701" s="74"/>
      <c r="M701" s="77" t="str">
        <f>IF(Main[[#This Row],[Tech Start Date]]&lt;1/1/1990,"",IF(Main[[#This Row],[Class]]="C",WORKDAY(Main[[#This Row],[Tech Start Date]],9),IF(Main[[#This Row],[Class]]="B", WORKDAY(Main[[#This Row],[Tech Start Date]],6),IF(Main[[#This Row],[Class]]="A",WORKDAY(Main[[#This Row],[Tech Start Date]],2),""))))</f>
        <v/>
      </c>
      <c r="N701" s="77" t="str">
        <f>IF(Main[[#This Row],[Tech Start Date]]&lt;1/1/1990,"",IF(Main[[#This Row],[Class]]="C",WORKDAY(Main[[#This Row],[Tech Start Date]],19),IF(Main[[#This Row],[Class]]="B", WORKDAY(Main[[#This Row],[Tech Start Date]],12),IF(Main[[#This Row],[Class]]="A",WORKDAY(Main[[#This Row],[Tech Start Date]],4),""))))</f>
        <v/>
      </c>
      <c r="O701" s="77" t="str">
        <f>IF(Main[[#This Row],[Tech Start Date]]&lt;1/1/1990,"",IF(Main[[#This Row],[Class]]="C",WORKDAY(Main[[#This Row],[Tech Start Date]],23),IF(Main[[#This Row],[Class]]="B", WORKDAY(Main[[#This Row],[Tech Start Date]],15),IF(Main[[#This Row],[Class]]="A",WORKDAY(Main[[#This Row],[Tech Start Date]],5),""))))</f>
        <v/>
      </c>
      <c r="P701" s="77" t="str">
        <f>IF(Main[[#This Row],[Tech Start Date]]&lt;1/1/1990,"",IF(Main[[#This Row],[Class]]="C",WORKDAY(Main[[#This Row],[Tech Start Date]],28),IF(Main[[#This Row],[Class]]="B", WORKDAY(Main[[#This Row],[Tech Start Date]],19),IF(Main[[#This Row],[Class]]="A",WORKDAY(Main[[#This Row],[Tech Start Date]],9),""))))</f>
        <v/>
      </c>
      <c r="Q701" s="74">
        <v>40147</v>
      </c>
      <c r="R701" s="74"/>
      <c r="S701" s="72" t="s">
        <v>11</v>
      </c>
      <c r="T701" s="80" t="s">
        <v>4</v>
      </c>
      <c r="U701" s="72" t="s">
        <v>14</v>
      </c>
      <c r="V701" s="72" t="s">
        <v>1927</v>
      </c>
      <c r="W701" s="72" t="s">
        <v>1923</v>
      </c>
      <c r="X701" s="72" t="s">
        <v>2851</v>
      </c>
      <c r="Y701" s="72" t="s">
        <v>4</v>
      </c>
      <c r="Z701" s="72" t="s">
        <v>4</v>
      </c>
      <c r="AA701" s="146" t="s">
        <v>2851</v>
      </c>
    </row>
    <row r="702" spans="1:27" ht="18.600000000000001" customHeight="1">
      <c r="A702" s="139" t="str">
        <f>IF(priority(Main[[#This Row],[Comments]])&lt;&gt;0, priority(Main[[#This Row],[Comments]]),"")</f>
        <v/>
      </c>
      <c r="B702" s="89" t="s">
        <v>1548</v>
      </c>
      <c r="C702" s="72" t="s">
        <v>4</v>
      </c>
      <c r="D702" s="73" t="s">
        <v>630</v>
      </c>
      <c r="E702" s="74"/>
      <c r="F702" s="74"/>
      <c r="G702" s="75" t="str">
        <f>IF(stdProdLT(Main[[#This Row],[Comments]])=0.1,"N/A",IF(stdProdLT(Main[[#This Row],[Comments]])=0,"",stdProdLT(Main[[#This Row],[Comments]])))</f>
        <v/>
      </c>
      <c r="H702" s="76" t="str">
        <f>IF(AND(Main[[#This Row],[In Stock Date]]&lt;&gt;"",Main[[#This Row],[Revised Due Date]]&lt;&gt;""),Main[[#This Row],[In Stock Date]]-Main[[#This Row],[Revised Due Date]],"")</f>
        <v/>
      </c>
      <c r="I702" s="72" t="s">
        <v>4</v>
      </c>
      <c r="J702" s="72" t="s">
        <v>28</v>
      </c>
      <c r="K702" s="72" t="s">
        <v>1930</v>
      </c>
      <c r="L702" s="74"/>
      <c r="M702" s="77" t="str">
        <f>IF(Main[[#This Row],[Tech Start Date]]&lt;1/1/1990,"",IF(Main[[#This Row],[Class]]="C",WORKDAY(Main[[#This Row],[Tech Start Date]],9),IF(Main[[#This Row],[Class]]="B", WORKDAY(Main[[#This Row],[Tech Start Date]],6),IF(Main[[#This Row],[Class]]="A",WORKDAY(Main[[#This Row],[Tech Start Date]],2),""))))</f>
        <v/>
      </c>
      <c r="N702" s="77" t="str">
        <f>IF(Main[[#This Row],[Tech Start Date]]&lt;1/1/1990,"",IF(Main[[#This Row],[Class]]="C",WORKDAY(Main[[#This Row],[Tech Start Date]],19),IF(Main[[#This Row],[Class]]="B", WORKDAY(Main[[#This Row],[Tech Start Date]],12),IF(Main[[#This Row],[Class]]="A",WORKDAY(Main[[#This Row],[Tech Start Date]],4),""))))</f>
        <v/>
      </c>
      <c r="O702" s="77" t="str">
        <f>IF(Main[[#This Row],[Tech Start Date]]&lt;1/1/1990,"",IF(Main[[#This Row],[Class]]="C",WORKDAY(Main[[#This Row],[Tech Start Date]],23),IF(Main[[#This Row],[Class]]="B", WORKDAY(Main[[#This Row],[Tech Start Date]],15),IF(Main[[#This Row],[Class]]="A",WORKDAY(Main[[#This Row],[Tech Start Date]],5),""))))</f>
        <v/>
      </c>
      <c r="P702" s="77" t="str">
        <f>IF(Main[[#This Row],[Tech Start Date]]&lt;1/1/1990,"",IF(Main[[#This Row],[Class]]="C",WORKDAY(Main[[#This Row],[Tech Start Date]],28),IF(Main[[#This Row],[Class]]="B", WORKDAY(Main[[#This Row],[Tech Start Date]],19),IF(Main[[#This Row],[Class]]="A",WORKDAY(Main[[#This Row],[Tech Start Date]],9),""))))</f>
        <v/>
      </c>
      <c r="Q702" s="74"/>
      <c r="R702" s="74"/>
      <c r="S702" s="72" t="s">
        <v>11</v>
      </c>
      <c r="T702" s="80" t="s">
        <v>4</v>
      </c>
      <c r="U702" s="72" t="s">
        <v>14</v>
      </c>
      <c r="V702" s="72" t="s">
        <v>1917</v>
      </c>
      <c r="W702" s="72" t="s">
        <v>1921</v>
      </c>
      <c r="X702" s="72" t="s">
        <v>2055</v>
      </c>
      <c r="Y702" s="72" t="s">
        <v>3008</v>
      </c>
      <c r="Z702" s="72" t="s">
        <v>129</v>
      </c>
      <c r="AA702" s="146" t="s">
        <v>2055</v>
      </c>
    </row>
    <row r="703" spans="1:27" ht="18.600000000000001" customHeight="1">
      <c r="A703" s="139" t="str">
        <f>IF(priority(Main[[#This Row],[Comments]])&lt;&gt;0, priority(Main[[#This Row],[Comments]]),"")</f>
        <v/>
      </c>
      <c r="B703" s="89" t="s">
        <v>1121</v>
      </c>
      <c r="C703" s="72" t="s">
        <v>4</v>
      </c>
      <c r="D703" s="73" t="s">
        <v>168</v>
      </c>
      <c r="E703" s="74"/>
      <c r="F703" s="74"/>
      <c r="G703" s="75" t="str">
        <f>IF(stdProdLT(Main[[#This Row],[Comments]])=0.1,"N/A",IF(stdProdLT(Main[[#This Row],[Comments]])=0,"",stdProdLT(Main[[#This Row],[Comments]])))</f>
        <v/>
      </c>
      <c r="H703" s="76" t="str">
        <f>IF(AND(Main[[#This Row],[In Stock Date]]&lt;&gt;"",Main[[#This Row],[Revised Due Date]]&lt;&gt;""),Main[[#This Row],[In Stock Date]]-Main[[#This Row],[Revised Due Date]],"")</f>
        <v/>
      </c>
      <c r="I703" s="72" t="s">
        <v>4</v>
      </c>
      <c r="J703" s="72" t="s">
        <v>4</v>
      </c>
      <c r="K703" s="72" t="s">
        <v>4</v>
      </c>
      <c r="L703" s="74"/>
      <c r="M703" s="77" t="str">
        <f>IF(Main[[#This Row],[Tech Start Date]]&lt;1/1/1990,"",IF(Main[[#This Row],[Class]]="C",WORKDAY(Main[[#This Row],[Tech Start Date]],9),IF(Main[[#This Row],[Class]]="B", WORKDAY(Main[[#This Row],[Tech Start Date]],6),IF(Main[[#This Row],[Class]]="A",WORKDAY(Main[[#This Row],[Tech Start Date]],2),""))))</f>
        <v/>
      </c>
      <c r="N703" s="77" t="str">
        <f>IF(Main[[#This Row],[Tech Start Date]]&lt;1/1/1990,"",IF(Main[[#This Row],[Class]]="C",WORKDAY(Main[[#This Row],[Tech Start Date]],19),IF(Main[[#This Row],[Class]]="B", WORKDAY(Main[[#This Row],[Tech Start Date]],12),IF(Main[[#This Row],[Class]]="A",WORKDAY(Main[[#This Row],[Tech Start Date]],4),""))))</f>
        <v/>
      </c>
      <c r="O703" s="77" t="str">
        <f>IF(Main[[#This Row],[Tech Start Date]]&lt;1/1/1990,"",IF(Main[[#This Row],[Class]]="C",WORKDAY(Main[[#This Row],[Tech Start Date]],23),IF(Main[[#This Row],[Class]]="B", WORKDAY(Main[[#This Row],[Tech Start Date]],15),IF(Main[[#This Row],[Class]]="A",WORKDAY(Main[[#This Row],[Tech Start Date]],5),""))))</f>
        <v/>
      </c>
      <c r="P703" s="77" t="str">
        <f>IF(Main[[#This Row],[Tech Start Date]]&lt;1/1/1990,"",IF(Main[[#This Row],[Class]]="C",WORKDAY(Main[[#This Row],[Tech Start Date]],28),IF(Main[[#This Row],[Class]]="B", WORKDAY(Main[[#This Row],[Tech Start Date]],19),IF(Main[[#This Row],[Class]]="A",WORKDAY(Main[[#This Row],[Tech Start Date]],9),""))))</f>
        <v/>
      </c>
      <c r="Q703" s="74">
        <v>40737</v>
      </c>
      <c r="R703" s="74"/>
      <c r="S703" s="72" t="s">
        <v>6</v>
      </c>
      <c r="T703" s="80" t="s">
        <v>4</v>
      </c>
      <c r="U703" s="72" t="s">
        <v>14</v>
      </c>
      <c r="V703" s="72" t="s">
        <v>1920</v>
      </c>
      <c r="W703" s="72" t="s">
        <v>1921</v>
      </c>
      <c r="X703" s="72" t="s">
        <v>2842</v>
      </c>
      <c r="Y703" s="72" t="s">
        <v>2971</v>
      </c>
      <c r="Z703" s="72" t="s">
        <v>4</v>
      </c>
      <c r="AA703" s="146" t="s">
        <v>2842</v>
      </c>
    </row>
    <row r="704" spans="1:27" ht="18.600000000000001" customHeight="1">
      <c r="A704" s="139" t="str">
        <f>IF(priority(Main[[#This Row],[Comments]])&lt;&gt;0, priority(Main[[#This Row],[Comments]]),"")</f>
        <v/>
      </c>
      <c r="B704" s="89" t="s">
        <v>1902</v>
      </c>
      <c r="C704" s="72" t="s">
        <v>72</v>
      </c>
      <c r="D704" s="73" t="s">
        <v>2097</v>
      </c>
      <c r="E704" s="74">
        <v>40469.931226851855</v>
      </c>
      <c r="F704" s="74">
        <v>40487</v>
      </c>
      <c r="G704" s="75" t="str">
        <f>IF(stdProdLT(Main[[#This Row],[Comments]])=0.1,"N/A",IF(stdProdLT(Main[[#This Row],[Comments]])=0,"",stdProdLT(Main[[#This Row],[Comments]])))</f>
        <v/>
      </c>
      <c r="H704" s="76">
        <f>IF(AND(Main[[#This Row],[In Stock Date]]&lt;&gt;"",Main[[#This Row],[Revised Due Date]]&lt;&gt;""),Main[[#This Row],[In Stock Date]]-Main[[#This Row],[Revised Due Date]],"")</f>
        <v>-294</v>
      </c>
      <c r="I704" s="72" t="s">
        <v>2056</v>
      </c>
      <c r="J704" s="72" t="s">
        <v>52</v>
      </c>
      <c r="K704" s="72" t="s">
        <v>1924</v>
      </c>
      <c r="L704" s="74"/>
      <c r="M704" s="77" t="str">
        <f>IF(Main[[#This Row],[Tech Start Date]]&lt;1/1/1990,"",IF(Main[[#This Row],[Class]]="C",WORKDAY(Main[[#This Row],[Tech Start Date]],9),IF(Main[[#This Row],[Class]]="B", WORKDAY(Main[[#This Row],[Tech Start Date]],6),IF(Main[[#This Row],[Class]]="A",WORKDAY(Main[[#This Row],[Tech Start Date]],2),""))))</f>
        <v/>
      </c>
      <c r="N704" s="77" t="str">
        <f>IF(Main[[#This Row],[Tech Start Date]]&lt;1/1/1990,"",IF(Main[[#This Row],[Class]]="C",WORKDAY(Main[[#This Row],[Tech Start Date]],19),IF(Main[[#This Row],[Class]]="B", WORKDAY(Main[[#This Row],[Tech Start Date]],12),IF(Main[[#This Row],[Class]]="A",WORKDAY(Main[[#This Row],[Tech Start Date]],4),""))))</f>
        <v/>
      </c>
      <c r="O704" s="77" t="str">
        <f>IF(Main[[#This Row],[Tech Start Date]]&lt;1/1/1990,"",IF(Main[[#This Row],[Class]]="C",WORKDAY(Main[[#This Row],[Tech Start Date]],23),IF(Main[[#This Row],[Class]]="B", WORKDAY(Main[[#This Row],[Tech Start Date]],15),IF(Main[[#This Row],[Class]]="A",WORKDAY(Main[[#This Row],[Tech Start Date]],5),""))))</f>
        <v/>
      </c>
      <c r="P704" s="77" t="str">
        <f>IF(Main[[#This Row],[Tech Start Date]]&lt;1/1/1990,"",IF(Main[[#This Row],[Class]]="C",WORKDAY(Main[[#This Row],[Tech Start Date]],28),IF(Main[[#This Row],[Class]]="B", WORKDAY(Main[[#This Row],[Tech Start Date]],19),IF(Main[[#This Row],[Class]]="A",WORKDAY(Main[[#This Row],[Tech Start Date]],9),""))))</f>
        <v/>
      </c>
      <c r="Q704" s="74"/>
      <c r="R704" s="74">
        <v>40781</v>
      </c>
      <c r="S704" s="72" t="s">
        <v>6</v>
      </c>
      <c r="T704" s="80" t="s">
        <v>2098</v>
      </c>
      <c r="U704" s="72" t="s">
        <v>29</v>
      </c>
      <c r="V704" s="72" t="s">
        <v>1918</v>
      </c>
      <c r="W704" s="72" t="s">
        <v>1919</v>
      </c>
      <c r="X704" s="72" t="s">
        <v>2907</v>
      </c>
      <c r="Y704" s="72" t="s">
        <v>3085</v>
      </c>
      <c r="Z704" s="72" t="s">
        <v>108</v>
      </c>
      <c r="AA704" s="146" t="s">
        <v>2907</v>
      </c>
    </row>
    <row r="705" spans="1:27" ht="18.600000000000001" customHeight="1">
      <c r="A705" s="139" t="str">
        <f>IF(priority(Main[[#This Row],[Comments]])&lt;&gt;0, priority(Main[[#This Row],[Comments]]),"")</f>
        <v/>
      </c>
      <c r="B705" s="89" t="s">
        <v>1549</v>
      </c>
      <c r="C705" s="72" t="s">
        <v>4</v>
      </c>
      <c r="D705" s="73" t="s">
        <v>39</v>
      </c>
      <c r="E705" s="74"/>
      <c r="F705" s="74"/>
      <c r="G705" s="75" t="str">
        <f>IF(stdProdLT(Main[[#This Row],[Comments]])=0.1,"N/A",IF(stdProdLT(Main[[#This Row],[Comments]])=0,"",stdProdLT(Main[[#This Row],[Comments]])))</f>
        <v/>
      </c>
      <c r="H705" s="76" t="str">
        <f>IF(AND(Main[[#This Row],[In Stock Date]]&lt;&gt;"",Main[[#This Row],[Revised Due Date]]&lt;&gt;""),Main[[#This Row],[In Stock Date]]-Main[[#This Row],[Revised Due Date]],"")</f>
        <v/>
      </c>
      <c r="I705" s="72" t="s">
        <v>4</v>
      </c>
      <c r="J705" s="72" t="s">
        <v>4</v>
      </c>
      <c r="K705" s="72" t="s">
        <v>4</v>
      </c>
      <c r="L705" s="74"/>
      <c r="M705" s="77" t="str">
        <f>IF(Main[[#This Row],[Tech Start Date]]&lt;1/1/1990,"",IF(Main[[#This Row],[Class]]="C",WORKDAY(Main[[#This Row],[Tech Start Date]],9),IF(Main[[#This Row],[Class]]="B", WORKDAY(Main[[#This Row],[Tech Start Date]],6),IF(Main[[#This Row],[Class]]="A",WORKDAY(Main[[#This Row],[Tech Start Date]],2),""))))</f>
        <v/>
      </c>
      <c r="N705" s="77" t="str">
        <f>IF(Main[[#This Row],[Tech Start Date]]&lt;1/1/1990,"",IF(Main[[#This Row],[Class]]="C",WORKDAY(Main[[#This Row],[Tech Start Date]],19),IF(Main[[#This Row],[Class]]="B", WORKDAY(Main[[#This Row],[Tech Start Date]],12),IF(Main[[#This Row],[Class]]="A",WORKDAY(Main[[#This Row],[Tech Start Date]],4),""))))</f>
        <v/>
      </c>
      <c r="O705" s="77" t="str">
        <f>IF(Main[[#This Row],[Tech Start Date]]&lt;1/1/1990,"",IF(Main[[#This Row],[Class]]="C",WORKDAY(Main[[#This Row],[Tech Start Date]],23),IF(Main[[#This Row],[Class]]="B", WORKDAY(Main[[#This Row],[Tech Start Date]],15),IF(Main[[#This Row],[Class]]="A",WORKDAY(Main[[#This Row],[Tech Start Date]],5),""))))</f>
        <v/>
      </c>
      <c r="P705" s="77" t="str">
        <f>IF(Main[[#This Row],[Tech Start Date]]&lt;1/1/1990,"",IF(Main[[#This Row],[Class]]="C",WORKDAY(Main[[#This Row],[Tech Start Date]],28),IF(Main[[#This Row],[Class]]="B", WORKDAY(Main[[#This Row],[Tech Start Date]],19),IF(Main[[#This Row],[Class]]="A",WORKDAY(Main[[#This Row],[Tech Start Date]],9),""))))</f>
        <v/>
      </c>
      <c r="Q705" s="74">
        <v>40669</v>
      </c>
      <c r="R705" s="74"/>
      <c r="S705" s="72" t="s">
        <v>6</v>
      </c>
      <c r="T705" s="80" t="s">
        <v>4</v>
      </c>
      <c r="U705" s="72" t="s">
        <v>14</v>
      </c>
      <c r="V705" s="72" t="s">
        <v>1920</v>
      </c>
      <c r="W705" s="72" t="s">
        <v>4</v>
      </c>
      <c r="X705" s="72" t="s">
        <v>2824</v>
      </c>
      <c r="Y705" s="72" t="s">
        <v>2935</v>
      </c>
      <c r="Z705" s="72" t="s">
        <v>4</v>
      </c>
      <c r="AA705" s="146" t="s">
        <v>2824</v>
      </c>
    </row>
    <row r="706" spans="1:27" ht="18.600000000000001" customHeight="1">
      <c r="A706" s="139" t="str">
        <f>IF(priority(Main[[#This Row],[Comments]])&lt;&gt;0, priority(Main[[#This Row],[Comments]]),"")</f>
        <v/>
      </c>
      <c r="B706" s="89" t="s">
        <v>2733</v>
      </c>
      <c r="C706" s="72" t="s">
        <v>4</v>
      </c>
      <c r="D706" s="73" t="s">
        <v>3238</v>
      </c>
      <c r="E706" s="74">
        <v>40917.478506944448</v>
      </c>
      <c r="F706" s="74"/>
      <c r="G706" s="75" t="str">
        <f>IF(stdProdLT(Main[[#This Row],[Comments]])=0.1,"N/A",IF(stdProdLT(Main[[#This Row],[Comments]])=0,"",stdProdLT(Main[[#This Row],[Comments]])))</f>
        <v/>
      </c>
      <c r="H706" s="76" t="str">
        <f>IF(AND(Main[[#This Row],[In Stock Date]]&lt;&gt;"",Main[[#This Row],[Revised Due Date]]&lt;&gt;""),Main[[#This Row],[In Stock Date]]-Main[[#This Row],[Revised Due Date]],"")</f>
        <v/>
      </c>
      <c r="I706" s="72" t="s">
        <v>4</v>
      </c>
      <c r="J706" s="72" t="s">
        <v>4</v>
      </c>
      <c r="K706" s="72" t="s">
        <v>4</v>
      </c>
      <c r="L706" s="74"/>
      <c r="M706" s="77" t="str">
        <f>IF(Main[[#This Row],[Tech Start Date]]&lt;1/1/1990,"",IF(Main[[#This Row],[Class]]="C",WORKDAY(Main[[#This Row],[Tech Start Date]],9),IF(Main[[#This Row],[Class]]="B", WORKDAY(Main[[#This Row],[Tech Start Date]],6),IF(Main[[#This Row],[Class]]="A",WORKDAY(Main[[#This Row],[Tech Start Date]],2),""))))</f>
        <v/>
      </c>
      <c r="N706" s="77" t="str">
        <f>IF(Main[[#This Row],[Tech Start Date]]&lt;1/1/1990,"",IF(Main[[#This Row],[Class]]="C",WORKDAY(Main[[#This Row],[Tech Start Date]],19),IF(Main[[#This Row],[Class]]="B", WORKDAY(Main[[#This Row],[Tech Start Date]],12),IF(Main[[#This Row],[Class]]="A",WORKDAY(Main[[#This Row],[Tech Start Date]],4),""))))</f>
        <v/>
      </c>
      <c r="O706" s="77" t="str">
        <f>IF(Main[[#This Row],[Tech Start Date]]&lt;1/1/1990,"",IF(Main[[#This Row],[Class]]="C",WORKDAY(Main[[#This Row],[Tech Start Date]],23),IF(Main[[#This Row],[Class]]="B", WORKDAY(Main[[#This Row],[Tech Start Date]],15),IF(Main[[#This Row],[Class]]="A",WORKDAY(Main[[#This Row],[Tech Start Date]],5),""))))</f>
        <v/>
      </c>
      <c r="P706" s="77" t="str">
        <f>IF(Main[[#This Row],[Tech Start Date]]&lt;1/1/1990,"",IF(Main[[#This Row],[Class]]="C",WORKDAY(Main[[#This Row],[Tech Start Date]],28),IF(Main[[#This Row],[Class]]="B", WORKDAY(Main[[#This Row],[Tech Start Date]],19),IF(Main[[#This Row],[Class]]="A",WORKDAY(Main[[#This Row],[Tech Start Date]],9),""))))</f>
        <v/>
      </c>
      <c r="Q706" s="74"/>
      <c r="R706" s="74"/>
      <c r="S706" s="72" t="s">
        <v>6</v>
      </c>
      <c r="T706" s="80" t="s">
        <v>4</v>
      </c>
      <c r="U706" s="72" t="s">
        <v>7</v>
      </c>
      <c r="V706" s="72" t="s">
        <v>1917</v>
      </c>
      <c r="W706" s="72" t="s">
        <v>1921</v>
      </c>
      <c r="X706" s="72" t="s">
        <v>102</v>
      </c>
      <c r="Y706" s="72" t="s">
        <v>3086</v>
      </c>
      <c r="Z706" s="72" t="s">
        <v>4</v>
      </c>
      <c r="AA706" s="146" t="s">
        <v>3397</v>
      </c>
    </row>
    <row r="707" spans="1:27" ht="18.600000000000001" customHeight="1">
      <c r="A707" s="139" t="str">
        <f>IF(priority(Main[[#This Row],[Comments]])&lt;&gt;0, priority(Main[[#This Row],[Comments]]),"")</f>
        <v/>
      </c>
      <c r="B707" s="89" t="s">
        <v>1551</v>
      </c>
      <c r="C707" s="72" t="s">
        <v>4</v>
      </c>
      <c r="D707" s="73" t="s">
        <v>631</v>
      </c>
      <c r="E707" s="74">
        <v>40371.35765046296</v>
      </c>
      <c r="F707" s="74"/>
      <c r="G707" s="75" t="str">
        <f>IF(stdProdLT(Main[[#This Row],[Comments]])=0.1,"N/A",IF(stdProdLT(Main[[#This Row],[Comments]])=0,"",stdProdLT(Main[[#This Row],[Comments]])))</f>
        <v/>
      </c>
      <c r="H707" s="76" t="str">
        <f>IF(AND(Main[[#This Row],[In Stock Date]]&lt;&gt;"",Main[[#This Row],[Revised Due Date]]&lt;&gt;""),Main[[#This Row],[In Stock Date]]-Main[[#This Row],[Revised Due Date]],"")</f>
        <v/>
      </c>
      <c r="I707" s="72" t="s">
        <v>4</v>
      </c>
      <c r="J707" s="72" t="s">
        <v>4</v>
      </c>
      <c r="K707" s="72" t="s">
        <v>4</v>
      </c>
      <c r="L707" s="74"/>
      <c r="M707" s="77" t="str">
        <f>IF(Main[[#This Row],[Tech Start Date]]&lt;1/1/1990,"",IF(Main[[#This Row],[Class]]="C",WORKDAY(Main[[#This Row],[Tech Start Date]],9),IF(Main[[#This Row],[Class]]="B", WORKDAY(Main[[#This Row],[Tech Start Date]],6),IF(Main[[#This Row],[Class]]="A",WORKDAY(Main[[#This Row],[Tech Start Date]],2),""))))</f>
        <v/>
      </c>
      <c r="N707" s="77" t="str">
        <f>IF(Main[[#This Row],[Tech Start Date]]&lt;1/1/1990,"",IF(Main[[#This Row],[Class]]="C",WORKDAY(Main[[#This Row],[Tech Start Date]],19),IF(Main[[#This Row],[Class]]="B", WORKDAY(Main[[#This Row],[Tech Start Date]],12),IF(Main[[#This Row],[Class]]="A",WORKDAY(Main[[#This Row],[Tech Start Date]],4),""))))</f>
        <v/>
      </c>
      <c r="O707" s="77" t="str">
        <f>IF(Main[[#This Row],[Tech Start Date]]&lt;1/1/1990,"",IF(Main[[#This Row],[Class]]="C",WORKDAY(Main[[#This Row],[Tech Start Date]],23),IF(Main[[#This Row],[Class]]="B", WORKDAY(Main[[#This Row],[Tech Start Date]],15),IF(Main[[#This Row],[Class]]="A",WORKDAY(Main[[#This Row],[Tech Start Date]],5),""))))</f>
        <v/>
      </c>
      <c r="P707" s="77" t="str">
        <f>IF(Main[[#This Row],[Tech Start Date]]&lt;1/1/1990,"",IF(Main[[#This Row],[Class]]="C",WORKDAY(Main[[#This Row],[Tech Start Date]],28),IF(Main[[#This Row],[Class]]="B", WORKDAY(Main[[#This Row],[Tech Start Date]],19),IF(Main[[#This Row],[Class]]="A",WORKDAY(Main[[#This Row],[Tech Start Date]],9),""))))</f>
        <v/>
      </c>
      <c r="Q707" s="74">
        <v>40385</v>
      </c>
      <c r="R707" s="74"/>
      <c r="S707" s="72" t="s">
        <v>6</v>
      </c>
      <c r="T707" s="80" t="s">
        <v>4</v>
      </c>
      <c r="U707" s="72" t="s">
        <v>7</v>
      </c>
      <c r="V707" s="72" t="s">
        <v>1917</v>
      </c>
      <c r="W707" s="72" t="s">
        <v>1919</v>
      </c>
      <c r="X707" s="72" t="s">
        <v>102</v>
      </c>
      <c r="Y707" s="72" t="s">
        <v>3038</v>
      </c>
      <c r="Z707" s="72" t="s">
        <v>4</v>
      </c>
      <c r="AA707" s="146" t="s">
        <v>3408</v>
      </c>
    </row>
    <row r="708" spans="1:27" ht="18.600000000000001" customHeight="1">
      <c r="A708" s="139" t="str">
        <f>IF(priority(Main[[#This Row],[Comments]])&lt;&gt;0, priority(Main[[#This Row],[Comments]]),"")</f>
        <v/>
      </c>
      <c r="B708" s="89" t="s">
        <v>1552</v>
      </c>
      <c r="C708" s="72" t="s">
        <v>4</v>
      </c>
      <c r="D708" s="73" t="s">
        <v>632</v>
      </c>
      <c r="E708" s="74">
        <v>40371.37263888889</v>
      </c>
      <c r="F708" s="74"/>
      <c r="G708" s="75" t="str">
        <f>IF(stdProdLT(Main[[#This Row],[Comments]])=0.1,"N/A",IF(stdProdLT(Main[[#This Row],[Comments]])=0,"",stdProdLT(Main[[#This Row],[Comments]])))</f>
        <v/>
      </c>
      <c r="H708" s="76" t="str">
        <f>IF(AND(Main[[#This Row],[In Stock Date]]&lt;&gt;"",Main[[#This Row],[Revised Due Date]]&lt;&gt;""),Main[[#This Row],[In Stock Date]]-Main[[#This Row],[Revised Due Date]],"")</f>
        <v/>
      </c>
      <c r="I708" s="72" t="s">
        <v>4</v>
      </c>
      <c r="J708" s="72" t="s">
        <v>4</v>
      </c>
      <c r="K708" s="72" t="s">
        <v>4</v>
      </c>
      <c r="L708" s="74"/>
      <c r="M708" s="77" t="str">
        <f>IF(Main[[#This Row],[Tech Start Date]]&lt;1/1/1990,"",IF(Main[[#This Row],[Class]]="C",WORKDAY(Main[[#This Row],[Tech Start Date]],9),IF(Main[[#This Row],[Class]]="B", WORKDAY(Main[[#This Row],[Tech Start Date]],6),IF(Main[[#This Row],[Class]]="A",WORKDAY(Main[[#This Row],[Tech Start Date]],2),""))))</f>
        <v/>
      </c>
      <c r="N708" s="77" t="str">
        <f>IF(Main[[#This Row],[Tech Start Date]]&lt;1/1/1990,"",IF(Main[[#This Row],[Class]]="C",WORKDAY(Main[[#This Row],[Tech Start Date]],19),IF(Main[[#This Row],[Class]]="B", WORKDAY(Main[[#This Row],[Tech Start Date]],12),IF(Main[[#This Row],[Class]]="A",WORKDAY(Main[[#This Row],[Tech Start Date]],4),""))))</f>
        <v/>
      </c>
      <c r="O708" s="77" t="str">
        <f>IF(Main[[#This Row],[Tech Start Date]]&lt;1/1/1990,"",IF(Main[[#This Row],[Class]]="C",WORKDAY(Main[[#This Row],[Tech Start Date]],23),IF(Main[[#This Row],[Class]]="B", WORKDAY(Main[[#This Row],[Tech Start Date]],15),IF(Main[[#This Row],[Class]]="A",WORKDAY(Main[[#This Row],[Tech Start Date]],5),""))))</f>
        <v/>
      </c>
      <c r="P708" s="77" t="str">
        <f>IF(Main[[#This Row],[Tech Start Date]]&lt;1/1/1990,"",IF(Main[[#This Row],[Class]]="C",WORKDAY(Main[[#This Row],[Tech Start Date]],28),IF(Main[[#This Row],[Class]]="B", WORKDAY(Main[[#This Row],[Tech Start Date]],19),IF(Main[[#This Row],[Class]]="A",WORKDAY(Main[[#This Row],[Tech Start Date]],9),""))))</f>
        <v/>
      </c>
      <c r="Q708" s="74">
        <v>40385</v>
      </c>
      <c r="R708" s="74"/>
      <c r="S708" s="72" t="s">
        <v>6</v>
      </c>
      <c r="T708" s="80" t="s">
        <v>4</v>
      </c>
      <c r="U708" s="72" t="s">
        <v>7</v>
      </c>
      <c r="V708" s="72" t="s">
        <v>1917</v>
      </c>
      <c r="W708" s="72" t="s">
        <v>1919</v>
      </c>
      <c r="X708" s="72" t="s">
        <v>102</v>
      </c>
      <c r="Y708" s="72" t="s">
        <v>3038</v>
      </c>
      <c r="Z708" s="72" t="s">
        <v>4</v>
      </c>
      <c r="AA708" s="146" t="s">
        <v>3408</v>
      </c>
    </row>
    <row r="709" spans="1:27" ht="18.600000000000001" customHeight="1">
      <c r="A709" s="139" t="str">
        <f>IF(priority(Main[[#This Row],[Comments]])&lt;&gt;0, priority(Main[[#This Row],[Comments]]),"")</f>
        <v/>
      </c>
      <c r="B709" s="89" t="s">
        <v>1398</v>
      </c>
      <c r="C709" s="72" t="s">
        <v>4</v>
      </c>
      <c r="D709" s="73" t="s">
        <v>480</v>
      </c>
      <c r="E709" s="74"/>
      <c r="F709" s="74"/>
      <c r="G709" s="75" t="str">
        <f>IF(stdProdLT(Main[[#This Row],[Comments]])=0.1,"N/A",IF(stdProdLT(Main[[#This Row],[Comments]])=0,"",stdProdLT(Main[[#This Row],[Comments]])))</f>
        <v/>
      </c>
      <c r="H709" s="76" t="str">
        <f>IF(AND(Main[[#This Row],[In Stock Date]]&lt;&gt;"",Main[[#This Row],[Revised Due Date]]&lt;&gt;""),Main[[#This Row],[In Stock Date]]-Main[[#This Row],[Revised Due Date]],"")</f>
        <v/>
      </c>
      <c r="I709" s="72" t="s">
        <v>4</v>
      </c>
      <c r="J709" s="72" t="s">
        <v>4</v>
      </c>
      <c r="K709" s="72" t="s">
        <v>4</v>
      </c>
      <c r="L709" s="74"/>
      <c r="M709" s="77" t="str">
        <f>IF(Main[[#This Row],[Tech Start Date]]&lt;1/1/1990,"",IF(Main[[#This Row],[Class]]="C",WORKDAY(Main[[#This Row],[Tech Start Date]],9),IF(Main[[#This Row],[Class]]="B", WORKDAY(Main[[#This Row],[Tech Start Date]],6),IF(Main[[#This Row],[Class]]="A",WORKDAY(Main[[#This Row],[Tech Start Date]],2),""))))</f>
        <v/>
      </c>
      <c r="N709" s="77" t="str">
        <f>IF(Main[[#This Row],[Tech Start Date]]&lt;1/1/1990,"",IF(Main[[#This Row],[Class]]="C",WORKDAY(Main[[#This Row],[Tech Start Date]],19),IF(Main[[#This Row],[Class]]="B", WORKDAY(Main[[#This Row],[Tech Start Date]],12),IF(Main[[#This Row],[Class]]="A",WORKDAY(Main[[#This Row],[Tech Start Date]],4),""))))</f>
        <v/>
      </c>
      <c r="O709" s="77" t="str">
        <f>IF(Main[[#This Row],[Tech Start Date]]&lt;1/1/1990,"",IF(Main[[#This Row],[Class]]="C",WORKDAY(Main[[#This Row],[Tech Start Date]],23),IF(Main[[#This Row],[Class]]="B", WORKDAY(Main[[#This Row],[Tech Start Date]],15),IF(Main[[#This Row],[Class]]="A",WORKDAY(Main[[#This Row],[Tech Start Date]],5),""))))</f>
        <v/>
      </c>
      <c r="P709" s="77" t="str">
        <f>IF(Main[[#This Row],[Tech Start Date]]&lt;1/1/1990,"",IF(Main[[#This Row],[Class]]="C",WORKDAY(Main[[#This Row],[Tech Start Date]],28),IF(Main[[#This Row],[Class]]="B", WORKDAY(Main[[#This Row],[Tech Start Date]],19),IF(Main[[#This Row],[Class]]="A",WORKDAY(Main[[#This Row],[Tech Start Date]],9),""))))</f>
        <v/>
      </c>
      <c r="Q709" s="74"/>
      <c r="R709" s="74"/>
      <c r="S709" s="72" t="s">
        <v>4</v>
      </c>
      <c r="T709" s="80" t="s">
        <v>4</v>
      </c>
      <c r="U709" s="72" t="s">
        <v>14</v>
      </c>
      <c r="V709" s="72" t="s">
        <v>1920</v>
      </c>
      <c r="W709" s="72" t="s">
        <v>4</v>
      </c>
      <c r="X709" s="72" t="s">
        <v>2825</v>
      </c>
      <c r="Y709" s="72" t="s">
        <v>2938</v>
      </c>
      <c r="Z709" s="72" t="s">
        <v>4</v>
      </c>
      <c r="AA709" s="146" t="s">
        <v>2825</v>
      </c>
    </row>
    <row r="710" spans="1:27" ht="18.600000000000001" customHeight="1">
      <c r="A710" s="139" t="str">
        <f>IF(priority(Main[[#This Row],[Comments]])&lt;&gt;0, priority(Main[[#This Row],[Comments]]),"")</f>
        <v/>
      </c>
      <c r="B710" s="89" t="s">
        <v>1153</v>
      </c>
      <c r="C710" s="72" t="s">
        <v>4</v>
      </c>
      <c r="D710" s="73" t="s">
        <v>208</v>
      </c>
      <c r="E710" s="74"/>
      <c r="F710" s="74"/>
      <c r="G710" s="75" t="str">
        <f>IF(stdProdLT(Main[[#This Row],[Comments]])=0.1,"N/A",IF(stdProdLT(Main[[#This Row],[Comments]])=0,"",stdProdLT(Main[[#This Row],[Comments]])))</f>
        <v/>
      </c>
      <c r="H710" s="76" t="str">
        <f>IF(AND(Main[[#This Row],[In Stock Date]]&lt;&gt;"",Main[[#This Row],[Revised Due Date]]&lt;&gt;""),Main[[#This Row],[In Stock Date]]-Main[[#This Row],[Revised Due Date]],"")</f>
        <v/>
      </c>
      <c r="I710" s="72" t="s">
        <v>4</v>
      </c>
      <c r="J710" s="72" t="s">
        <v>28</v>
      </c>
      <c r="K710" s="72" t="s">
        <v>4</v>
      </c>
      <c r="L710" s="74"/>
      <c r="M710" s="77" t="str">
        <f>IF(Main[[#This Row],[Tech Start Date]]&lt;1/1/1990,"",IF(Main[[#This Row],[Class]]="C",WORKDAY(Main[[#This Row],[Tech Start Date]],9),IF(Main[[#This Row],[Class]]="B", WORKDAY(Main[[#This Row],[Tech Start Date]],6),IF(Main[[#This Row],[Class]]="A",WORKDAY(Main[[#This Row],[Tech Start Date]],2),""))))</f>
        <v/>
      </c>
      <c r="N710" s="77" t="str">
        <f>IF(Main[[#This Row],[Tech Start Date]]&lt;1/1/1990,"",IF(Main[[#This Row],[Class]]="C",WORKDAY(Main[[#This Row],[Tech Start Date]],19),IF(Main[[#This Row],[Class]]="B", WORKDAY(Main[[#This Row],[Tech Start Date]],12),IF(Main[[#This Row],[Class]]="A",WORKDAY(Main[[#This Row],[Tech Start Date]],4),""))))</f>
        <v/>
      </c>
      <c r="O710" s="77" t="str">
        <f>IF(Main[[#This Row],[Tech Start Date]]&lt;1/1/1990,"",IF(Main[[#This Row],[Class]]="C",WORKDAY(Main[[#This Row],[Tech Start Date]],23),IF(Main[[#This Row],[Class]]="B", WORKDAY(Main[[#This Row],[Tech Start Date]],15),IF(Main[[#This Row],[Class]]="A",WORKDAY(Main[[#This Row],[Tech Start Date]],5),""))))</f>
        <v/>
      </c>
      <c r="P710" s="77" t="str">
        <f>IF(Main[[#This Row],[Tech Start Date]]&lt;1/1/1990,"",IF(Main[[#This Row],[Class]]="C",WORKDAY(Main[[#This Row],[Tech Start Date]],28),IF(Main[[#This Row],[Class]]="B", WORKDAY(Main[[#This Row],[Tech Start Date]],19),IF(Main[[#This Row],[Class]]="A",WORKDAY(Main[[#This Row],[Tech Start Date]],9),""))))</f>
        <v/>
      </c>
      <c r="Q710" s="74"/>
      <c r="R710" s="74"/>
      <c r="S710" s="72" t="s">
        <v>6</v>
      </c>
      <c r="T710" s="80" t="s">
        <v>4</v>
      </c>
      <c r="U710" s="72" t="s">
        <v>14</v>
      </c>
      <c r="V710" s="72" t="s">
        <v>1927</v>
      </c>
      <c r="W710" s="72" t="s">
        <v>1923</v>
      </c>
      <c r="X710" s="72" t="s">
        <v>50</v>
      </c>
      <c r="Y710" s="72" t="s">
        <v>2969</v>
      </c>
      <c r="Z710" s="72" t="s">
        <v>30</v>
      </c>
      <c r="AA710" s="146" t="s">
        <v>885</v>
      </c>
    </row>
    <row r="711" spans="1:27" ht="18.600000000000001" customHeight="1">
      <c r="A711" s="139" t="str">
        <f>IF(priority(Main[[#This Row],[Comments]])&lt;&gt;0, priority(Main[[#This Row],[Comments]]),"")</f>
        <v/>
      </c>
      <c r="B711" s="89" t="s">
        <v>1400</v>
      </c>
      <c r="C711" s="72" t="s">
        <v>47</v>
      </c>
      <c r="D711" s="73" t="s">
        <v>482</v>
      </c>
      <c r="E711" s="74">
        <v>39937.619513888887</v>
      </c>
      <c r="F711" s="74"/>
      <c r="G711" s="75" t="str">
        <f>IF(stdProdLT(Main[[#This Row],[Comments]])=0.1,"N/A",IF(stdProdLT(Main[[#This Row],[Comments]])=0,"",stdProdLT(Main[[#This Row],[Comments]])))</f>
        <v/>
      </c>
      <c r="H711" s="76" t="str">
        <f>IF(AND(Main[[#This Row],[In Stock Date]]&lt;&gt;"",Main[[#This Row],[Revised Due Date]]&lt;&gt;""),Main[[#This Row],[In Stock Date]]-Main[[#This Row],[Revised Due Date]],"")</f>
        <v/>
      </c>
      <c r="I711" s="72" t="s">
        <v>4</v>
      </c>
      <c r="J711" s="72" t="s">
        <v>4</v>
      </c>
      <c r="K711" s="72" t="s">
        <v>4</v>
      </c>
      <c r="L711" s="74"/>
      <c r="M711" s="77" t="str">
        <f>IF(Main[[#This Row],[Tech Start Date]]&lt;1/1/1990,"",IF(Main[[#This Row],[Class]]="C",WORKDAY(Main[[#This Row],[Tech Start Date]],9),IF(Main[[#This Row],[Class]]="B", WORKDAY(Main[[#This Row],[Tech Start Date]],6),IF(Main[[#This Row],[Class]]="A",WORKDAY(Main[[#This Row],[Tech Start Date]],2),""))))</f>
        <v/>
      </c>
      <c r="N711" s="77" t="str">
        <f>IF(Main[[#This Row],[Tech Start Date]]&lt;1/1/1990,"",IF(Main[[#This Row],[Class]]="C",WORKDAY(Main[[#This Row],[Tech Start Date]],19),IF(Main[[#This Row],[Class]]="B", WORKDAY(Main[[#This Row],[Tech Start Date]],12),IF(Main[[#This Row],[Class]]="A",WORKDAY(Main[[#This Row],[Tech Start Date]],4),""))))</f>
        <v/>
      </c>
      <c r="O711" s="77" t="str">
        <f>IF(Main[[#This Row],[Tech Start Date]]&lt;1/1/1990,"",IF(Main[[#This Row],[Class]]="C",WORKDAY(Main[[#This Row],[Tech Start Date]],23),IF(Main[[#This Row],[Class]]="B", WORKDAY(Main[[#This Row],[Tech Start Date]],15),IF(Main[[#This Row],[Class]]="A",WORKDAY(Main[[#This Row],[Tech Start Date]],5),""))))</f>
        <v/>
      </c>
      <c r="P711" s="77" t="str">
        <f>IF(Main[[#This Row],[Tech Start Date]]&lt;1/1/1990,"",IF(Main[[#This Row],[Class]]="C",WORKDAY(Main[[#This Row],[Tech Start Date]],28),IF(Main[[#This Row],[Class]]="B", WORKDAY(Main[[#This Row],[Tech Start Date]],19),IF(Main[[#This Row],[Class]]="A",WORKDAY(Main[[#This Row],[Tech Start Date]],9),""))))</f>
        <v/>
      </c>
      <c r="Q711" s="74"/>
      <c r="R711" s="74"/>
      <c r="S711" s="72" t="s">
        <v>17</v>
      </c>
      <c r="T711" s="80" t="s">
        <v>4</v>
      </c>
      <c r="U711" s="72" t="s">
        <v>7</v>
      </c>
      <c r="V711" s="72" t="s">
        <v>1920</v>
      </c>
      <c r="W711" s="72" t="s">
        <v>4</v>
      </c>
      <c r="X711" s="72" t="s">
        <v>2833</v>
      </c>
      <c r="Y711" s="72" t="s">
        <v>2954</v>
      </c>
      <c r="Z711" s="72" t="s">
        <v>4</v>
      </c>
      <c r="AA711" s="146" t="s">
        <v>2833</v>
      </c>
    </row>
    <row r="712" spans="1:27" ht="18.600000000000001" customHeight="1">
      <c r="A712" s="139" t="str">
        <f>IF(priority(Main[[#This Row],[Comments]])&lt;&gt;0, priority(Main[[#This Row],[Comments]]),"")</f>
        <v/>
      </c>
      <c r="B712" s="89" t="s">
        <v>1401</v>
      </c>
      <c r="C712" s="72" t="s">
        <v>93</v>
      </c>
      <c r="D712" s="73" t="s">
        <v>563</v>
      </c>
      <c r="E712" s="74"/>
      <c r="F712" s="74">
        <v>40210</v>
      </c>
      <c r="G712" s="75" t="str">
        <f>IF(stdProdLT(Main[[#This Row],[Comments]])=0.1,"N/A",IF(stdProdLT(Main[[#This Row],[Comments]])=0,"",stdProdLT(Main[[#This Row],[Comments]])))</f>
        <v/>
      </c>
      <c r="H712" s="76" t="str">
        <f>IF(AND(Main[[#This Row],[In Stock Date]]&lt;&gt;"",Main[[#This Row],[Revised Due Date]]&lt;&gt;""),Main[[#This Row],[In Stock Date]]-Main[[#This Row],[Revised Due Date]],"")</f>
        <v/>
      </c>
      <c r="I712" s="72" t="s">
        <v>4</v>
      </c>
      <c r="J712" s="72" t="s">
        <v>4</v>
      </c>
      <c r="K712" s="81" t="s">
        <v>4</v>
      </c>
      <c r="L712" s="74"/>
      <c r="M712" s="77" t="str">
        <f>IF(Main[[#This Row],[Tech Start Date]]&lt;1/1/1990,"",IF(Main[[#This Row],[Class]]="C",WORKDAY(Main[[#This Row],[Tech Start Date]],9),IF(Main[[#This Row],[Class]]="B", WORKDAY(Main[[#This Row],[Tech Start Date]],6),IF(Main[[#This Row],[Class]]="A",WORKDAY(Main[[#This Row],[Tech Start Date]],2),""))))</f>
        <v/>
      </c>
      <c r="N712" s="77" t="str">
        <f>IF(Main[[#This Row],[Tech Start Date]]&lt;1/1/1990,"",IF(Main[[#This Row],[Class]]="C",WORKDAY(Main[[#This Row],[Tech Start Date]],19),IF(Main[[#This Row],[Class]]="B", WORKDAY(Main[[#This Row],[Tech Start Date]],12),IF(Main[[#This Row],[Class]]="A",WORKDAY(Main[[#This Row],[Tech Start Date]],4),""))))</f>
        <v/>
      </c>
      <c r="O712" s="77" t="str">
        <f>IF(Main[[#This Row],[Tech Start Date]]&lt;1/1/1990,"",IF(Main[[#This Row],[Class]]="C",WORKDAY(Main[[#This Row],[Tech Start Date]],23),IF(Main[[#This Row],[Class]]="B", WORKDAY(Main[[#This Row],[Tech Start Date]],15),IF(Main[[#This Row],[Class]]="A",WORKDAY(Main[[#This Row],[Tech Start Date]],5),""))))</f>
        <v/>
      </c>
      <c r="P712" s="77" t="str">
        <f>IF(Main[[#This Row],[Tech Start Date]]&lt;1/1/1990,"",IF(Main[[#This Row],[Class]]="C",WORKDAY(Main[[#This Row],[Tech Start Date]],28),IF(Main[[#This Row],[Class]]="B", WORKDAY(Main[[#This Row],[Tech Start Date]],19),IF(Main[[#This Row],[Class]]="A",WORKDAY(Main[[#This Row],[Tech Start Date]],9),""))))</f>
        <v/>
      </c>
      <c r="Q712" s="74">
        <v>40195</v>
      </c>
      <c r="R712" s="74"/>
      <c r="S712" s="72" t="s">
        <v>11</v>
      </c>
      <c r="T712" s="80" t="s">
        <v>4</v>
      </c>
      <c r="U712" s="72" t="s">
        <v>12</v>
      </c>
      <c r="V712" s="72" t="s">
        <v>1927</v>
      </c>
      <c r="W712" s="72" t="s">
        <v>1928</v>
      </c>
      <c r="X712" s="72" t="s">
        <v>2851</v>
      </c>
      <c r="Y712" s="72" t="s">
        <v>4</v>
      </c>
      <c r="Z712" s="72" t="s">
        <v>4</v>
      </c>
      <c r="AA712" s="146" t="s">
        <v>2851</v>
      </c>
    </row>
    <row r="713" spans="1:27" ht="18.600000000000001" customHeight="1">
      <c r="A713" s="139" t="str">
        <f>IF(priority(Main[[#This Row],[Comments]])&lt;&gt;0, priority(Main[[#This Row],[Comments]]),"")</f>
        <v/>
      </c>
      <c r="B713" s="89" t="s">
        <v>1747</v>
      </c>
      <c r="C713" s="72" t="s">
        <v>4</v>
      </c>
      <c r="D713" s="73" t="s">
        <v>795</v>
      </c>
      <c r="E713" s="74">
        <v>40584.406446759262</v>
      </c>
      <c r="F713" s="74">
        <v>40602</v>
      </c>
      <c r="G713" s="75" t="str">
        <f>IF(stdProdLT(Main[[#This Row],[Comments]])=0.1,"N/A",IF(stdProdLT(Main[[#This Row],[Comments]])=0,"",stdProdLT(Main[[#This Row],[Comments]])))</f>
        <v/>
      </c>
      <c r="H713" s="76" t="str">
        <f>IF(AND(Main[[#This Row],[In Stock Date]]&lt;&gt;"",Main[[#This Row],[Revised Due Date]]&lt;&gt;""),Main[[#This Row],[In Stock Date]]-Main[[#This Row],[Revised Due Date]],"")</f>
        <v/>
      </c>
      <c r="I713" s="72" t="s">
        <v>4</v>
      </c>
      <c r="J713" s="72" t="s">
        <v>28</v>
      </c>
      <c r="K713" s="72" t="s">
        <v>1929</v>
      </c>
      <c r="L713" s="74"/>
      <c r="M713" s="77" t="str">
        <f>IF(Main[[#This Row],[Tech Start Date]]&lt;1/1/1990,"",IF(Main[[#This Row],[Class]]="C",WORKDAY(Main[[#This Row],[Tech Start Date]],9),IF(Main[[#This Row],[Class]]="B", WORKDAY(Main[[#This Row],[Tech Start Date]],6),IF(Main[[#This Row],[Class]]="A",WORKDAY(Main[[#This Row],[Tech Start Date]],2),""))))</f>
        <v/>
      </c>
      <c r="N713" s="77" t="str">
        <f>IF(Main[[#This Row],[Tech Start Date]]&lt;1/1/1990,"",IF(Main[[#This Row],[Class]]="C",WORKDAY(Main[[#This Row],[Tech Start Date]],19),IF(Main[[#This Row],[Class]]="B", WORKDAY(Main[[#This Row],[Tech Start Date]],12),IF(Main[[#This Row],[Class]]="A",WORKDAY(Main[[#This Row],[Tech Start Date]],4),""))))</f>
        <v/>
      </c>
      <c r="O713" s="77" t="str">
        <f>IF(Main[[#This Row],[Tech Start Date]]&lt;1/1/1990,"",IF(Main[[#This Row],[Class]]="C",WORKDAY(Main[[#This Row],[Tech Start Date]],23),IF(Main[[#This Row],[Class]]="B", WORKDAY(Main[[#This Row],[Tech Start Date]],15),IF(Main[[#This Row],[Class]]="A",WORKDAY(Main[[#This Row],[Tech Start Date]],5),""))))</f>
        <v/>
      </c>
      <c r="P713" s="77" t="str">
        <f>IF(Main[[#This Row],[Tech Start Date]]&lt;1/1/1990,"",IF(Main[[#This Row],[Class]]="C",WORKDAY(Main[[#This Row],[Tech Start Date]],28),IF(Main[[#This Row],[Class]]="B", WORKDAY(Main[[#This Row],[Tech Start Date]],19),IF(Main[[#This Row],[Class]]="A",WORKDAY(Main[[#This Row],[Tech Start Date]],9),""))))</f>
        <v/>
      </c>
      <c r="Q713" s="74">
        <v>40602</v>
      </c>
      <c r="R713" s="74"/>
      <c r="S713" s="72" t="s">
        <v>17</v>
      </c>
      <c r="T713" s="80" t="s">
        <v>4</v>
      </c>
      <c r="U713" s="72" t="s">
        <v>7</v>
      </c>
      <c r="V713" s="72" t="s">
        <v>1917</v>
      </c>
      <c r="W713" s="72" t="s">
        <v>1925</v>
      </c>
      <c r="X713" s="72" t="s">
        <v>2834</v>
      </c>
      <c r="Y713" s="72" t="s">
        <v>2956</v>
      </c>
      <c r="Z713" s="72" t="s">
        <v>129</v>
      </c>
      <c r="AA713" s="146" t="s">
        <v>2834</v>
      </c>
    </row>
    <row r="714" spans="1:27" ht="18.600000000000001" customHeight="1">
      <c r="A714" s="139" t="str">
        <f>IF(priority(Main[[#This Row],[Comments]])&lt;&gt;0, priority(Main[[#This Row],[Comments]]),"")</f>
        <v/>
      </c>
      <c r="B714" s="89" t="s">
        <v>1404</v>
      </c>
      <c r="C714" s="72" t="s">
        <v>31</v>
      </c>
      <c r="D714" s="73" t="s">
        <v>484</v>
      </c>
      <c r="E714" s="74"/>
      <c r="F714" s="74"/>
      <c r="G714" s="75" t="str">
        <f>IF(stdProdLT(Main[[#This Row],[Comments]])=0.1,"N/A",IF(stdProdLT(Main[[#This Row],[Comments]])=0,"",stdProdLT(Main[[#This Row],[Comments]])))</f>
        <v/>
      </c>
      <c r="H714" s="76" t="str">
        <f>IF(AND(Main[[#This Row],[In Stock Date]]&lt;&gt;"",Main[[#This Row],[Revised Due Date]]&lt;&gt;""),Main[[#This Row],[In Stock Date]]-Main[[#This Row],[Revised Due Date]],"")</f>
        <v/>
      </c>
      <c r="I714" s="72" t="s">
        <v>4</v>
      </c>
      <c r="J714" s="72" t="s">
        <v>4</v>
      </c>
      <c r="K714" s="72" t="s">
        <v>4</v>
      </c>
      <c r="L714" s="74"/>
      <c r="M714" s="77" t="str">
        <f>IF(Main[[#This Row],[Tech Start Date]]&lt;1/1/1990,"",IF(Main[[#This Row],[Class]]="C",WORKDAY(Main[[#This Row],[Tech Start Date]],9),IF(Main[[#This Row],[Class]]="B", WORKDAY(Main[[#This Row],[Tech Start Date]],6),IF(Main[[#This Row],[Class]]="A",WORKDAY(Main[[#This Row],[Tech Start Date]],2),""))))</f>
        <v/>
      </c>
      <c r="N714" s="77" t="str">
        <f>IF(Main[[#This Row],[Tech Start Date]]&lt;1/1/1990,"",IF(Main[[#This Row],[Class]]="C",WORKDAY(Main[[#This Row],[Tech Start Date]],19),IF(Main[[#This Row],[Class]]="B", WORKDAY(Main[[#This Row],[Tech Start Date]],12),IF(Main[[#This Row],[Class]]="A",WORKDAY(Main[[#This Row],[Tech Start Date]],4),""))))</f>
        <v/>
      </c>
      <c r="O714" s="77" t="str">
        <f>IF(Main[[#This Row],[Tech Start Date]]&lt;1/1/1990,"",IF(Main[[#This Row],[Class]]="C",WORKDAY(Main[[#This Row],[Tech Start Date]],23),IF(Main[[#This Row],[Class]]="B", WORKDAY(Main[[#This Row],[Tech Start Date]],15),IF(Main[[#This Row],[Class]]="A",WORKDAY(Main[[#This Row],[Tech Start Date]],5),""))))</f>
        <v/>
      </c>
      <c r="P714" s="77" t="str">
        <f>IF(Main[[#This Row],[Tech Start Date]]&lt;1/1/1990,"",IF(Main[[#This Row],[Class]]="C",WORKDAY(Main[[#This Row],[Tech Start Date]],28),IF(Main[[#This Row],[Class]]="B", WORKDAY(Main[[#This Row],[Tech Start Date]],19),IF(Main[[#This Row],[Class]]="A",WORKDAY(Main[[#This Row],[Tech Start Date]],9),""))))</f>
        <v/>
      </c>
      <c r="Q714" s="74">
        <v>40318</v>
      </c>
      <c r="R714" s="74"/>
      <c r="S714" s="72" t="s">
        <v>11</v>
      </c>
      <c r="T714" s="80" t="s">
        <v>4</v>
      </c>
      <c r="U714" s="72" t="s">
        <v>14</v>
      </c>
      <c r="V714" s="72" t="s">
        <v>1920</v>
      </c>
      <c r="W714" s="72" t="s">
        <v>1919</v>
      </c>
      <c r="X714" s="72" t="s">
        <v>2836</v>
      </c>
      <c r="Y714" s="72" t="s">
        <v>4</v>
      </c>
      <c r="Z714" s="72" t="s">
        <v>4</v>
      </c>
      <c r="AA714" s="146" t="s">
        <v>2836</v>
      </c>
    </row>
    <row r="715" spans="1:27" ht="18.600000000000001" customHeight="1">
      <c r="A715" s="139" t="str">
        <f>IF(priority(Main[[#This Row],[Comments]])&lt;&gt;0, priority(Main[[#This Row],[Comments]]),"")</f>
        <v/>
      </c>
      <c r="B715" s="89" t="s">
        <v>2193</v>
      </c>
      <c r="C715" s="72" t="s">
        <v>4</v>
      </c>
      <c r="D715" s="73" t="s">
        <v>2194</v>
      </c>
      <c r="E715" s="74">
        <v>40784.623067129629</v>
      </c>
      <c r="F715" s="74"/>
      <c r="G715" s="75" t="str">
        <f>IF(stdProdLT(Main[[#This Row],[Comments]])=0.1,"N/A",IF(stdProdLT(Main[[#This Row],[Comments]])=0,"",stdProdLT(Main[[#This Row],[Comments]])))</f>
        <v/>
      </c>
      <c r="H715" s="76" t="str">
        <f>IF(AND(Main[[#This Row],[In Stock Date]]&lt;&gt;"",Main[[#This Row],[Revised Due Date]]&lt;&gt;""),Main[[#This Row],[In Stock Date]]-Main[[#This Row],[Revised Due Date]],"")</f>
        <v/>
      </c>
      <c r="I715" s="72" t="s">
        <v>4</v>
      </c>
      <c r="J715" s="72" t="s">
        <v>4</v>
      </c>
      <c r="K715" s="72" t="s">
        <v>4</v>
      </c>
      <c r="L715" s="74"/>
      <c r="M715" s="77" t="str">
        <f>IF(Main[[#This Row],[Tech Start Date]]&lt;1/1/1990,"",IF(Main[[#This Row],[Class]]="C",WORKDAY(Main[[#This Row],[Tech Start Date]],9),IF(Main[[#This Row],[Class]]="B", WORKDAY(Main[[#This Row],[Tech Start Date]],6),IF(Main[[#This Row],[Class]]="A",WORKDAY(Main[[#This Row],[Tech Start Date]],2),""))))</f>
        <v/>
      </c>
      <c r="N715" s="77" t="str">
        <f>IF(Main[[#This Row],[Tech Start Date]]&lt;1/1/1990,"",IF(Main[[#This Row],[Class]]="C",WORKDAY(Main[[#This Row],[Tech Start Date]],19),IF(Main[[#This Row],[Class]]="B", WORKDAY(Main[[#This Row],[Tech Start Date]],12),IF(Main[[#This Row],[Class]]="A",WORKDAY(Main[[#This Row],[Tech Start Date]],4),""))))</f>
        <v/>
      </c>
      <c r="O715" s="77" t="str">
        <f>IF(Main[[#This Row],[Tech Start Date]]&lt;1/1/1990,"",IF(Main[[#This Row],[Class]]="C",WORKDAY(Main[[#This Row],[Tech Start Date]],23),IF(Main[[#This Row],[Class]]="B", WORKDAY(Main[[#This Row],[Tech Start Date]],15),IF(Main[[#This Row],[Class]]="A",WORKDAY(Main[[#This Row],[Tech Start Date]],5),""))))</f>
        <v/>
      </c>
      <c r="P715" s="77" t="str">
        <f>IF(Main[[#This Row],[Tech Start Date]]&lt;1/1/1990,"",IF(Main[[#This Row],[Class]]="C",WORKDAY(Main[[#This Row],[Tech Start Date]],28),IF(Main[[#This Row],[Class]]="B", WORKDAY(Main[[#This Row],[Tech Start Date]],19),IF(Main[[#This Row],[Class]]="A",WORKDAY(Main[[#This Row],[Tech Start Date]],9),""))))</f>
        <v/>
      </c>
      <c r="Q715" s="74"/>
      <c r="R715" s="74"/>
      <c r="S715" s="72" t="s">
        <v>17</v>
      </c>
      <c r="T715" s="80" t="s">
        <v>4</v>
      </c>
      <c r="U715" s="72" t="s">
        <v>7</v>
      </c>
      <c r="V715" s="72" t="s">
        <v>1920</v>
      </c>
      <c r="W715" s="72" t="s">
        <v>1922</v>
      </c>
      <c r="X715" s="72" t="s">
        <v>2891</v>
      </c>
      <c r="Y715" s="72" t="s">
        <v>3047</v>
      </c>
      <c r="Z715" s="72" t="s">
        <v>4</v>
      </c>
      <c r="AA715" s="146" t="s">
        <v>2891</v>
      </c>
    </row>
    <row r="716" spans="1:27" ht="18.600000000000001" customHeight="1">
      <c r="A716" s="139" t="str">
        <f>IF(priority(Main[[#This Row],[Comments]])&lt;&gt;0, priority(Main[[#This Row],[Comments]]),"")</f>
        <v/>
      </c>
      <c r="B716" s="89" t="s">
        <v>1406</v>
      </c>
      <c r="C716" s="72" t="s">
        <v>184</v>
      </c>
      <c r="D716" s="73" t="s">
        <v>486</v>
      </c>
      <c r="E716" s="74"/>
      <c r="F716" s="74"/>
      <c r="G716" s="75" t="str">
        <f>IF(stdProdLT(Main[[#This Row],[Comments]])=0.1,"N/A",IF(stdProdLT(Main[[#This Row],[Comments]])=0,"",stdProdLT(Main[[#This Row],[Comments]])))</f>
        <v/>
      </c>
      <c r="H716" s="76" t="str">
        <f>IF(AND(Main[[#This Row],[In Stock Date]]&lt;&gt;"",Main[[#This Row],[Revised Due Date]]&lt;&gt;""),Main[[#This Row],[In Stock Date]]-Main[[#This Row],[Revised Due Date]],"")</f>
        <v/>
      </c>
      <c r="I716" s="72" t="s">
        <v>4</v>
      </c>
      <c r="J716" s="72" t="s">
        <v>4</v>
      </c>
      <c r="K716" s="72" t="s">
        <v>4</v>
      </c>
      <c r="L716" s="74"/>
      <c r="M716" s="77" t="str">
        <f>IF(Main[[#This Row],[Tech Start Date]]&lt;1/1/1990,"",IF(Main[[#This Row],[Class]]="C",WORKDAY(Main[[#This Row],[Tech Start Date]],9),IF(Main[[#This Row],[Class]]="B", WORKDAY(Main[[#This Row],[Tech Start Date]],6),IF(Main[[#This Row],[Class]]="A",WORKDAY(Main[[#This Row],[Tech Start Date]],2),""))))</f>
        <v/>
      </c>
      <c r="N716" s="77" t="str">
        <f>IF(Main[[#This Row],[Tech Start Date]]&lt;1/1/1990,"",IF(Main[[#This Row],[Class]]="C",WORKDAY(Main[[#This Row],[Tech Start Date]],19),IF(Main[[#This Row],[Class]]="B", WORKDAY(Main[[#This Row],[Tech Start Date]],12),IF(Main[[#This Row],[Class]]="A",WORKDAY(Main[[#This Row],[Tech Start Date]],4),""))))</f>
        <v/>
      </c>
      <c r="O716" s="77" t="str">
        <f>IF(Main[[#This Row],[Tech Start Date]]&lt;1/1/1990,"",IF(Main[[#This Row],[Class]]="C",WORKDAY(Main[[#This Row],[Tech Start Date]],23),IF(Main[[#This Row],[Class]]="B", WORKDAY(Main[[#This Row],[Tech Start Date]],15),IF(Main[[#This Row],[Class]]="A",WORKDAY(Main[[#This Row],[Tech Start Date]],5),""))))</f>
        <v/>
      </c>
      <c r="P716" s="77" t="str">
        <f>IF(Main[[#This Row],[Tech Start Date]]&lt;1/1/1990,"",IF(Main[[#This Row],[Class]]="C",WORKDAY(Main[[#This Row],[Tech Start Date]],28),IF(Main[[#This Row],[Class]]="B", WORKDAY(Main[[#This Row],[Tech Start Date]],19),IF(Main[[#This Row],[Class]]="A",WORKDAY(Main[[#This Row],[Tech Start Date]],9),""))))</f>
        <v/>
      </c>
      <c r="Q716" s="74">
        <v>40116</v>
      </c>
      <c r="R716" s="74"/>
      <c r="S716" s="72" t="s">
        <v>11</v>
      </c>
      <c r="T716" s="80" t="s">
        <v>4</v>
      </c>
      <c r="U716" s="72" t="s">
        <v>14</v>
      </c>
      <c r="V716" s="72" t="s">
        <v>1920</v>
      </c>
      <c r="W716" s="72" t="s">
        <v>1919</v>
      </c>
      <c r="X716" s="72" t="s">
        <v>2869</v>
      </c>
      <c r="Y716" s="72" t="s">
        <v>4</v>
      </c>
      <c r="Z716" s="72" t="s">
        <v>4</v>
      </c>
      <c r="AA716" s="146" t="s">
        <v>2869</v>
      </c>
    </row>
    <row r="717" spans="1:27" ht="18.600000000000001" customHeight="1">
      <c r="A717" s="139" t="str">
        <f>IF(priority(Main[[#This Row],[Comments]])&lt;&gt;0, priority(Main[[#This Row],[Comments]]),"")</f>
        <v/>
      </c>
      <c r="B717" s="89" t="s">
        <v>1573</v>
      </c>
      <c r="C717" s="72" t="s">
        <v>652</v>
      </c>
      <c r="D717" s="73" t="s">
        <v>653</v>
      </c>
      <c r="E717" s="74">
        <v>40350.419861111113</v>
      </c>
      <c r="F717" s="74">
        <v>40444</v>
      </c>
      <c r="G717" s="75" t="str">
        <f>IF(stdProdLT(Main[[#This Row],[Comments]])=0.1,"N/A",IF(stdProdLT(Main[[#This Row],[Comments]])=0,"",stdProdLT(Main[[#This Row],[Comments]])))</f>
        <v/>
      </c>
      <c r="H717" s="76" t="str">
        <f>IF(AND(Main[[#This Row],[In Stock Date]]&lt;&gt;"",Main[[#This Row],[Revised Due Date]]&lt;&gt;""),Main[[#This Row],[In Stock Date]]-Main[[#This Row],[Revised Due Date]],"")</f>
        <v/>
      </c>
      <c r="I717" s="72" t="s">
        <v>654</v>
      </c>
      <c r="J717" s="72" t="s">
        <v>28</v>
      </c>
      <c r="K717" s="72" t="s">
        <v>1929</v>
      </c>
      <c r="L717" s="74"/>
      <c r="M717" s="77" t="str">
        <f>IF(Main[[#This Row],[Tech Start Date]]&lt;1/1/1990,"",IF(Main[[#This Row],[Class]]="C",WORKDAY(Main[[#This Row],[Tech Start Date]],9),IF(Main[[#This Row],[Class]]="B", WORKDAY(Main[[#This Row],[Tech Start Date]],6),IF(Main[[#This Row],[Class]]="A",WORKDAY(Main[[#This Row],[Tech Start Date]],2),""))))</f>
        <v/>
      </c>
      <c r="N717" s="77" t="str">
        <f>IF(Main[[#This Row],[Tech Start Date]]&lt;1/1/1990,"",IF(Main[[#This Row],[Class]]="C",WORKDAY(Main[[#This Row],[Tech Start Date]],19),IF(Main[[#This Row],[Class]]="B", WORKDAY(Main[[#This Row],[Tech Start Date]],12),IF(Main[[#This Row],[Class]]="A",WORKDAY(Main[[#This Row],[Tech Start Date]],4),""))))</f>
        <v/>
      </c>
      <c r="O717" s="77" t="str">
        <f>IF(Main[[#This Row],[Tech Start Date]]&lt;1/1/1990,"",IF(Main[[#This Row],[Class]]="C",WORKDAY(Main[[#This Row],[Tech Start Date]],23),IF(Main[[#This Row],[Class]]="B", WORKDAY(Main[[#This Row],[Tech Start Date]],15),IF(Main[[#This Row],[Class]]="A",WORKDAY(Main[[#This Row],[Tech Start Date]],5),""))))</f>
        <v/>
      </c>
      <c r="P717" s="77" t="str">
        <f>IF(Main[[#This Row],[Tech Start Date]]&lt;1/1/1990,"",IF(Main[[#This Row],[Class]]="C",WORKDAY(Main[[#This Row],[Tech Start Date]],28),IF(Main[[#This Row],[Class]]="B", WORKDAY(Main[[#This Row],[Tech Start Date]],19),IF(Main[[#This Row],[Class]]="A",WORKDAY(Main[[#This Row],[Tech Start Date]],9),""))))</f>
        <v/>
      </c>
      <c r="Q717" s="74">
        <v>40353</v>
      </c>
      <c r="R717" s="74"/>
      <c r="S717" s="72" t="s">
        <v>17</v>
      </c>
      <c r="T717" s="80" t="s">
        <v>4</v>
      </c>
      <c r="U717" s="72" t="s">
        <v>7</v>
      </c>
      <c r="V717" s="72" t="s">
        <v>1920</v>
      </c>
      <c r="W717" s="72" t="s">
        <v>1922</v>
      </c>
      <c r="X717" s="72" t="s">
        <v>2892</v>
      </c>
      <c r="Y717" s="72" t="s">
        <v>3048</v>
      </c>
      <c r="Z717" s="72" t="s">
        <v>530</v>
      </c>
      <c r="AA717" s="146" t="s">
        <v>3425</v>
      </c>
    </row>
    <row r="718" spans="1:27" ht="18.600000000000001" customHeight="1">
      <c r="A718" s="139" t="str">
        <f>IF(priority(Main[[#This Row],[Comments]])&lt;&gt;0, priority(Main[[#This Row],[Comments]]),"")</f>
        <v/>
      </c>
      <c r="B718" s="89" t="s">
        <v>1408</v>
      </c>
      <c r="C718" s="72" t="s">
        <v>67</v>
      </c>
      <c r="D718" s="73" t="s">
        <v>488</v>
      </c>
      <c r="E718" s="74"/>
      <c r="F718" s="74">
        <v>40561</v>
      </c>
      <c r="G718" s="75" t="str">
        <f>IF(stdProdLT(Main[[#This Row],[Comments]])=0.1,"N/A",IF(stdProdLT(Main[[#This Row],[Comments]])=0,"",stdProdLT(Main[[#This Row],[Comments]])))</f>
        <v/>
      </c>
      <c r="H718" s="76" t="str">
        <f>IF(AND(Main[[#This Row],[In Stock Date]]&lt;&gt;"",Main[[#This Row],[Revised Due Date]]&lt;&gt;""),Main[[#This Row],[In Stock Date]]-Main[[#This Row],[Revised Due Date]],"")</f>
        <v/>
      </c>
      <c r="I718" s="72" t="s">
        <v>4</v>
      </c>
      <c r="J718" s="72" t="s">
        <v>4</v>
      </c>
      <c r="K718" s="72" t="s">
        <v>4</v>
      </c>
      <c r="L718" s="74"/>
      <c r="M718" s="77" t="str">
        <f>IF(Main[[#This Row],[Tech Start Date]]&lt;1/1/1990,"",IF(Main[[#This Row],[Class]]="C",WORKDAY(Main[[#This Row],[Tech Start Date]],9),IF(Main[[#This Row],[Class]]="B", WORKDAY(Main[[#This Row],[Tech Start Date]],6),IF(Main[[#This Row],[Class]]="A",WORKDAY(Main[[#This Row],[Tech Start Date]],2),""))))</f>
        <v/>
      </c>
      <c r="N718" s="77" t="str">
        <f>IF(Main[[#This Row],[Tech Start Date]]&lt;1/1/1990,"",IF(Main[[#This Row],[Class]]="C",WORKDAY(Main[[#This Row],[Tech Start Date]],19),IF(Main[[#This Row],[Class]]="B", WORKDAY(Main[[#This Row],[Tech Start Date]],12),IF(Main[[#This Row],[Class]]="A",WORKDAY(Main[[#This Row],[Tech Start Date]],4),""))))</f>
        <v/>
      </c>
      <c r="O718" s="77" t="str">
        <f>IF(Main[[#This Row],[Tech Start Date]]&lt;1/1/1990,"",IF(Main[[#This Row],[Class]]="C",WORKDAY(Main[[#This Row],[Tech Start Date]],23),IF(Main[[#This Row],[Class]]="B", WORKDAY(Main[[#This Row],[Tech Start Date]],15),IF(Main[[#This Row],[Class]]="A",WORKDAY(Main[[#This Row],[Tech Start Date]],5),""))))</f>
        <v/>
      </c>
      <c r="P718" s="77" t="str">
        <f>IF(Main[[#This Row],[Tech Start Date]]&lt;1/1/1990,"",IF(Main[[#This Row],[Class]]="C",WORKDAY(Main[[#This Row],[Tech Start Date]],28),IF(Main[[#This Row],[Class]]="B", WORKDAY(Main[[#This Row],[Tech Start Date]],19),IF(Main[[#This Row],[Class]]="A",WORKDAY(Main[[#This Row],[Tech Start Date]],9),""))))</f>
        <v/>
      </c>
      <c r="Q718" s="74"/>
      <c r="R718" s="74"/>
      <c r="S718" s="72" t="s">
        <v>11</v>
      </c>
      <c r="T718" s="80" t="s">
        <v>4</v>
      </c>
      <c r="U718" s="72" t="s">
        <v>14</v>
      </c>
      <c r="V718" s="72" t="s">
        <v>1920</v>
      </c>
      <c r="W718" s="72" t="s">
        <v>1923</v>
      </c>
      <c r="X718" s="72" t="s">
        <v>50</v>
      </c>
      <c r="Y718" s="72" t="s">
        <v>4</v>
      </c>
      <c r="Z718" s="72" t="s">
        <v>4</v>
      </c>
      <c r="AA718" s="146" t="s">
        <v>4</v>
      </c>
    </row>
    <row r="719" spans="1:27" ht="18.600000000000001" customHeight="1">
      <c r="A719" s="139" t="str">
        <f>IF(priority(Main[[#This Row],[Comments]])&lt;&gt;0, priority(Main[[#This Row],[Comments]]),"")</f>
        <v/>
      </c>
      <c r="B719" s="89" t="s">
        <v>1410</v>
      </c>
      <c r="C719" s="72" t="s">
        <v>31</v>
      </c>
      <c r="D719" s="73" t="s">
        <v>490</v>
      </c>
      <c r="E719" s="74"/>
      <c r="F719" s="74">
        <v>40203</v>
      </c>
      <c r="G719" s="75" t="str">
        <f>IF(stdProdLT(Main[[#This Row],[Comments]])=0.1,"N/A",IF(stdProdLT(Main[[#This Row],[Comments]])=0,"",stdProdLT(Main[[#This Row],[Comments]])))</f>
        <v/>
      </c>
      <c r="H719" s="76" t="str">
        <f>IF(AND(Main[[#This Row],[In Stock Date]]&lt;&gt;"",Main[[#This Row],[Revised Due Date]]&lt;&gt;""),Main[[#This Row],[In Stock Date]]-Main[[#This Row],[Revised Due Date]],"")</f>
        <v/>
      </c>
      <c r="I719" s="72" t="s">
        <v>4</v>
      </c>
      <c r="J719" s="72" t="s">
        <v>4</v>
      </c>
      <c r="K719" s="72" t="s">
        <v>4</v>
      </c>
      <c r="L719" s="74"/>
      <c r="M719" s="77" t="str">
        <f>IF(Main[[#This Row],[Tech Start Date]]&lt;1/1/1990,"",IF(Main[[#This Row],[Class]]="C",WORKDAY(Main[[#This Row],[Tech Start Date]],9),IF(Main[[#This Row],[Class]]="B", WORKDAY(Main[[#This Row],[Tech Start Date]],6),IF(Main[[#This Row],[Class]]="A",WORKDAY(Main[[#This Row],[Tech Start Date]],2),""))))</f>
        <v/>
      </c>
      <c r="N719" s="77" t="str">
        <f>IF(Main[[#This Row],[Tech Start Date]]&lt;1/1/1990,"",IF(Main[[#This Row],[Class]]="C",WORKDAY(Main[[#This Row],[Tech Start Date]],19),IF(Main[[#This Row],[Class]]="B", WORKDAY(Main[[#This Row],[Tech Start Date]],12),IF(Main[[#This Row],[Class]]="A",WORKDAY(Main[[#This Row],[Tech Start Date]],4),""))))</f>
        <v/>
      </c>
      <c r="O719" s="77" t="str">
        <f>IF(Main[[#This Row],[Tech Start Date]]&lt;1/1/1990,"",IF(Main[[#This Row],[Class]]="C",WORKDAY(Main[[#This Row],[Tech Start Date]],23),IF(Main[[#This Row],[Class]]="B", WORKDAY(Main[[#This Row],[Tech Start Date]],15),IF(Main[[#This Row],[Class]]="A",WORKDAY(Main[[#This Row],[Tech Start Date]],5),""))))</f>
        <v/>
      </c>
      <c r="P719" s="77" t="str">
        <f>IF(Main[[#This Row],[Tech Start Date]]&lt;1/1/1990,"",IF(Main[[#This Row],[Class]]="C",WORKDAY(Main[[#This Row],[Tech Start Date]],28),IF(Main[[#This Row],[Class]]="B", WORKDAY(Main[[#This Row],[Tech Start Date]],19),IF(Main[[#This Row],[Class]]="A",WORKDAY(Main[[#This Row],[Tech Start Date]],9),""))))</f>
        <v/>
      </c>
      <c r="Q719" s="74">
        <v>40063</v>
      </c>
      <c r="R719" s="74"/>
      <c r="S719" s="72" t="s">
        <v>11</v>
      </c>
      <c r="T719" s="80" t="s">
        <v>4</v>
      </c>
      <c r="U719" s="72" t="s">
        <v>14</v>
      </c>
      <c r="V719" s="72" t="s">
        <v>1927</v>
      </c>
      <c r="W719" s="72" t="s">
        <v>1923</v>
      </c>
      <c r="X719" s="72" t="s">
        <v>2877</v>
      </c>
      <c r="Y719" s="72" t="s">
        <v>4</v>
      </c>
      <c r="Z719" s="72" t="s">
        <v>4</v>
      </c>
      <c r="AA719" s="146" t="s">
        <v>2877</v>
      </c>
    </row>
    <row r="720" spans="1:27" ht="18.600000000000001" customHeight="1">
      <c r="A720" s="139" t="str">
        <f>IF(priority(Main[[#This Row],[Comments]])&lt;&gt;0, priority(Main[[#This Row],[Comments]]),"")</f>
        <v/>
      </c>
      <c r="B720" s="89" t="s">
        <v>1411</v>
      </c>
      <c r="C720" s="72" t="s">
        <v>4</v>
      </c>
      <c r="D720" s="73" t="s">
        <v>491</v>
      </c>
      <c r="E720" s="74">
        <v>40381.391886574071</v>
      </c>
      <c r="F720" s="74"/>
      <c r="G720" s="75" t="str">
        <f>IF(stdProdLT(Main[[#This Row],[Comments]])=0.1,"N/A",IF(stdProdLT(Main[[#This Row],[Comments]])=0,"",stdProdLT(Main[[#This Row],[Comments]])))</f>
        <v/>
      </c>
      <c r="H720" s="76" t="str">
        <f>IF(AND(Main[[#This Row],[In Stock Date]]&lt;&gt;"",Main[[#This Row],[Revised Due Date]]&lt;&gt;""),Main[[#This Row],[In Stock Date]]-Main[[#This Row],[Revised Due Date]],"")</f>
        <v/>
      </c>
      <c r="I720" s="72" t="s">
        <v>4</v>
      </c>
      <c r="J720" s="72" t="s">
        <v>28</v>
      </c>
      <c r="K720" s="81" t="s">
        <v>4</v>
      </c>
      <c r="L720" s="74"/>
      <c r="M720" s="77" t="str">
        <f>IF(Main[[#This Row],[Tech Start Date]]&lt;1/1/1990,"",IF(Main[[#This Row],[Class]]="C",WORKDAY(Main[[#This Row],[Tech Start Date]],9),IF(Main[[#This Row],[Class]]="B", WORKDAY(Main[[#This Row],[Tech Start Date]],6),IF(Main[[#This Row],[Class]]="A",WORKDAY(Main[[#This Row],[Tech Start Date]],2),""))))</f>
        <v/>
      </c>
      <c r="N720" s="77" t="str">
        <f>IF(Main[[#This Row],[Tech Start Date]]&lt;1/1/1990,"",IF(Main[[#This Row],[Class]]="C",WORKDAY(Main[[#This Row],[Tech Start Date]],19),IF(Main[[#This Row],[Class]]="B", WORKDAY(Main[[#This Row],[Tech Start Date]],12),IF(Main[[#This Row],[Class]]="A",WORKDAY(Main[[#This Row],[Tech Start Date]],4),""))))</f>
        <v/>
      </c>
      <c r="O720" s="77" t="str">
        <f>IF(Main[[#This Row],[Tech Start Date]]&lt;1/1/1990,"",IF(Main[[#This Row],[Class]]="C",WORKDAY(Main[[#This Row],[Tech Start Date]],23),IF(Main[[#This Row],[Class]]="B", WORKDAY(Main[[#This Row],[Tech Start Date]],15),IF(Main[[#This Row],[Class]]="A",WORKDAY(Main[[#This Row],[Tech Start Date]],5),""))))</f>
        <v/>
      </c>
      <c r="P720" s="77" t="str">
        <f>IF(Main[[#This Row],[Tech Start Date]]&lt;1/1/1990,"",IF(Main[[#This Row],[Class]]="C",WORKDAY(Main[[#This Row],[Tech Start Date]],28),IF(Main[[#This Row],[Class]]="B", WORKDAY(Main[[#This Row],[Tech Start Date]],19),IF(Main[[#This Row],[Class]]="A",WORKDAY(Main[[#This Row],[Tech Start Date]],9),""))))</f>
        <v/>
      </c>
      <c r="Q720" s="74">
        <v>40451</v>
      </c>
      <c r="R720" s="74"/>
      <c r="S720" s="72" t="s">
        <v>6</v>
      </c>
      <c r="T720" s="80" t="s">
        <v>4</v>
      </c>
      <c r="U720" s="72" t="s">
        <v>7</v>
      </c>
      <c r="V720" s="72" t="s">
        <v>1917</v>
      </c>
      <c r="W720" s="72" t="s">
        <v>1919</v>
      </c>
      <c r="X720" s="72" t="s">
        <v>2893</v>
      </c>
      <c r="Y720" s="72" t="s">
        <v>3049</v>
      </c>
      <c r="Z720" s="72" t="s">
        <v>129</v>
      </c>
      <c r="AA720" s="146" t="s">
        <v>2893</v>
      </c>
    </row>
    <row r="721" spans="1:27" ht="18.600000000000001" customHeight="1">
      <c r="A721" s="139" t="str">
        <f>IF(priority(Main[[#This Row],[Comments]])&lt;&gt;0, priority(Main[[#This Row],[Comments]]),"")</f>
        <v/>
      </c>
      <c r="B721" s="89" t="s">
        <v>1465</v>
      </c>
      <c r="C721" s="72" t="s">
        <v>93</v>
      </c>
      <c r="D721" s="73" t="s">
        <v>558</v>
      </c>
      <c r="E721" s="74"/>
      <c r="F721" s="74">
        <v>40299</v>
      </c>
      <c r="G721" s="75" t="str">
        <f>IF(stdProdLT(Main[[#This Row],[Comments]])=0.1,"N/A",IF(stdProdLT(Main[[#This Row],[Comments]])=0,"",stdProdLT(Main[[#This Row],[Comments]])))</f>
        <v/>
      </c>
      <c r="H721" s="76" t="str">
        <f>IF(AND(Main[[#This Row],[In Stock Date]]&lt;&gt;"",Main[[#This Row],[Revised Due Date]]&lt;&gt;""),Main[[#This Row],[In Stock Date]]-Main[[#This Row],[Revised Due Date]],"")</f>
        <v/>
      </c>
      <c r="I721" s="72" t="s">
        <v>4</v>
      </c>
      <c r="J721" s="72" t="s">
        <v>4</v>
      </c>
      <c r="K721" s="72" t="s">
        <v>4</v>
      </c>
      <c r="L721" s="74"/>
      <c r="M721" s="77" t="str">
        <f>IF(Main[[#This Row],[Tech Start Date]]&lt;1/1/1990,"",IF(Main[[#This Row],[Class]]="C",WORKDAY(Main[[#This Row],[Tech Start Date]],9),IF(Main[[#This Row],[Class]]="B", WORKDAY(Main[[#This Row],[Tech Start Date]],6),IF(Main[[#This Row],[Class]]="A",WORKDAY(Main[[#This Row],[Tech Start Date]],2),""))))</f>
        <v/>
      </c>
      <c r="N721" s="77" t="str">
        <f>IF(Main[[#This Row],[Tech Start Date]]&lt;1/1/1990,"",IF(Main[[#This Row],[Class]]="C",WORKDAY(Main[[#This Row],[Tech Start Date]],19),IF(Main[[#This Row],[Class]]="B", WORKDAY(Main[[#This Row],[Tech Start Date]],12),IF(Main[[#This Row],[Class]]="A",WORKDAY(Main[[#This Row],[Tech Start Date]],4),""))))</f>
        <v/>
      </c>
      <c r="O721" s="77" t="str">
        <f>IF(Main[[#This Row],[Tech Start Date]]&lt;1/1/1990,"",IF(Main[[#This Row],[Class]]="C",WORKDAY(Main[[#This Row],[Tech Start Date]],23),IF(Main[[#This Row],[Class]]="B", WORKDAY(Main[[#This Row],[Tech Start Date]],15),IF(Main[[#This Row],[Class]]="A",WORKDAY(Main[[#This Row],[Tech Start Date]],5),""))))</f>
        <v/>
      </c>
      <c r="P721" s="77" t="str">
        <f>IF(Main[[#This Row],[Tech Start Date]]&lt;1/1/1990,"",IF(Main[[#This Row],[Class]]="C",WORKDAY(Main[[#This Row],[Tech Start Date]],28),IF(Main[[#This Row],[Class]]="B", WORKDAY(Main[[#This Row],[Tech Start Date]],19),IF(Main[[#This Row],[Class]]="A",WORKDAY(Main[[#This Row],[Tech Start Date]],9),""))))</f>
        <v/>
      </c>
      <c r="Q721" s="74">
        <v>40171</v>
      </c>
      <c r="R721" s="74"/>
      <c r="S721" s="72" t="s">
        <v>11</v>
      </c>
      <c r="T721" s="80" t="s">
        <v>4</v>
      </c>
      <c r="U721" s="72" t="s">
        <v>14</v>
      </c>
      <c r="V721" s="72" t="s">
        <v>1920</v>
      </c>
      <c r="W721" s="72" t="s">
        <v>1923</v>
      </c>
      <c r="X721" s="72" t="s">
        <v>530</v>
      </c>
      <c r="Y721" s="72" t="s">
        <v>3059</v>
      </c>
      <c r="Z721" s="72" t="s">
        <v>4</v>
      </c>
      <c r="AA721" s="146" t="s">
        <v>3428</v>
      </c>
    </row>
    <row r="722" spans="1:27" ht="18.600000000000001" customHeight="1">
      <c r="A722" s="139" t="str">
        <f>IF(priority(Main[[#This Row],[Comments]])&lt;&gt;0, priority(Main[[#This Row],[Comments]]),"")</f>
        <v/>
      </c>
      <c r="B722" s="89" t="s">
        <v>1466</v>
      </c>
      <c r="C722" s="72" t="s">
        <v>47</v>
      </c>
      <c r="D722" s="73" t="s">
        <v>559</v>
      </c>
      <c r="E722" s="74">
        <v>39937.590590277781</v>
      </c>
      <c r="F722" s="74"/>
      <c r="G722" s="75" t="str">
        <f>IF(stdProdLT(Main[[#This Row],[Comments]])=0.1,"N/A",IF(stdProdLT(Main[[#This Row],[Comments]])=0,"",stdProdLT(Main[[#This Row],[Comments]])))</f>
        <v/>
      </c>
      <c r="H722" s="76" t="str">
        <f>IF(AND(Main[[#This Row],[In Stock Date]]&lt;&gt;"",Main[[#This Row],[Revised Due Date]]&lt;&gt;""),Main[[#This Row],[In Stock Date]]-Main[[#This Row],[Revised Due Date]],"")</f>
        <v/>
      </c>
      <c r="I722" s="72" t="s">
        <v>4</v>
      </c>
      <c r="J722" s="72" t="s">
        <v>4</v>
      </c>
      <c r="K722" s="72" t="s">
        <v>4</v>
      </c>
      <c r="L722" s="74"/>
      <c r="M722" s="77" t="str">
        <f>IF(Main[[#This Row],[Tech Start Date]]&lt;1/1/1990,"",IF(Main[[#This Row],[Class]]="C",WORKDAY(Main[[#This Row],[Tech Start Date]],9),IF(Main[[#This Row],[Class]]="B", WORKDAY(Main[[#This Row],[Tech Start Date]],6),IF(Main[[#This Row],[Class]]="A",WORKDAY(Main[[#This Row],[Tech Start Date]],2),""))))</f>
        <v/>
      </c>
      <c r="N722" s="77" t="str">
        <f>IF(Main[[#This Row],[Tech Start Date]]&lt;1/1/1990,"",IF(Main[[#This Row],[Class]]="C",WORKDAY(Main[[#This Row],[Tech Start Date]],19),IF(Main[[#This Row],[Class]]="B", WORKDAY(Main[[#This Row],[Tech Start Date]],12),IF(Main[[#This Row],[Class]]="A",WORKDAY(Main[[#This Row],[Tech Start Date]],4),""))))</f>
        <v/>
      </c>
      <c r="O722" s="77" t="str">
        <f>IF(Main[[#This Row],[Tech Start Date]]&lt;1/1/1990,"",IF(Main[[#This Row],[Class]]="C",WORKDAY(Main[[#This Row],[Tech Start Date]],23),IF(Main[[#This Row],[Class]]="B", WORKDAY(Main[[#This Row],[Tech Start Date]],15),IF(Main[[#This Row],[Class]]="A",WORKDAY(Main[[#This Row],[Tech Start Date]],5),""))))</f>
        <v/>
      </c>
      <c r="P722" s="77" t="str">
        <f>IF(Main[[#This Row],[Tech Start Date]]&lt;1/1/1990,"",IF(Main[[#This Row],[Class]]="C",WORKDAY(Main[[#This Row],[Tech Start Date]],28),IF(Main[[#This Row],[Class]]="B", WORKDAY(Main[[#This Row],[Tech Start Date]],19),IF(Main[[#This Row],[Class]]="A",WORKDAY(Main[[#This Row],[Tech Start Date]],9),""))))</f>
        <v/>
      </c>
      <c r="Q722" s="74"/>
      <c r="R722" s="74"/>
      <c r="S722" s="72" t="s">
        <v>17</v>
      </c>
      <c r="T722" s="80" t="s">
        <v>4</v>
      </c>
      <c r="U722" s="72" t="s">
        <v>7</v>
      </c>
      <c r="V722" s="72" t="s">
        <v>1920</v>
      </c>
      <c r="W722" s="72" t="s">
        <v>4</v>
      </c>
      <c r="X722" s="72" t="s">
        <v>2833</v>
      </c>
      <c r="Y722" s="72" t="s">
        <v>2954</v>
      </c>
      <c r="Z722" s="72" t="s">
        <v>4</v>
      </c>
      <c r="AA722" s="146" t="s">
        <v>2833</v>
      </c>
    </row>
    <row r="723" spans="1:27" ht="18.600000000000001" customHeight="1">
      <c r="A723" s="139" t="str">
        <f>IF(priority(Main[[#This Row],[Comments]])&lt;&gt;0, priority(Main[[#This Row],[Comments]]),"")</f>
        <v/>
      </c>
      <c r="B723" s="89" t="s">
        <v>1467</v>
      </c>
      <c r="C723" s="72" t="s">
        <v>277</v>
      </c>
      <c r="D723" s="73" t="s">
        <v>560</v>
      </c>
      <c r="E723" s="74"/>
      <c r="F723" s="74">
        <v>40567</v>
      </c>
      <c r="G723" s="75" t="str">
        <f>IF(stdProdLT(Main[[#This Row],[Comments]])=0.1,"N/A",IF(stdProdLT(Main[[#This Row],[Comments]])=0,"",stdProdLT(Main[[#This Row],[Comments]])))</f>
        <v/>
      </c>
      <c r="H723" s="76" t="str">
        <f>IF(AND(Main[[#This Row],[In Stock Date]]&lt;&gt;"",Main[[#This Row],[Revised Due Date]]&lt;&gt;""),Main[[#This Row],[In Stock Date]]-Main[[#This Row],[Revised Due Date]],"")</f>
        <v/>
      </c>
      <c r="I723" s="72" t="s">
        <v>4</v>
      </c>
      <c r="J723" s="72" t="s">
        <v>4</v>
      </c>
      <c r="K723" s="72" t="s">
        <v>4</v>
      </c>
      <c r="L723" s="74"/>
      <c r="M723" s="77" t="str">
        <f>IF(Main[[#This Row],[Tech Start Date]]&lt;1/1/1990,"",IF(Main[[#This Row],[Class]]="C",WORKDAY(Main[[#This Row],[Tech Start Date]],9),IF(Main[[#This Row],[Class]]="B", WORKDAY(Main[[#This Row],[Tech Start Date]],6),IF(Main[[#This Row],[Class]]="A",WORKDAY(Main[[#This Row],[Tech Start Date]],2),""))))</f>
        <v/>
      </c>
      <c r="N723" s="77" t="str">
        <f>IF(Main[[#This Row],[Tech Start Date]]&lt;1/1/1990,"",IF(Main[[#This Row],[Class]]="C",WORKDAY(Main[[#This Row],[Tech Start Date]],19),IF(Main[[#This Row],[Class]]="B", WORKDAY(Main[[#This Row],[Tech Start Date]],12),IF(Main[[#This Row],[Class]]="A",WORKDAY(Main[[#This Row],[Tech Start Date]],4),""))))</f>
        <v/>
      </c>
      <c r="O723" s="77" t="str">
        <f>IF(Main[[#This Row],[Tech Start Date]]&lt;1/1/1990,"",IF(Main[[#This Row],[Class]]="C",WORKDAY(Main[[#This Row],[Tech Start Date]],23),IF(Main[[#This Row],[Class]]="B", WORKDAY(Main[[#This Row],[Tech Start Date]],15),IF(Main[[#This Row],[Class]]="A",WORKDAY(Main[[#This Row],[Tech Start Date]],5),""))))</f>
        <v/>
      </c>
      <c r="P723" s="77" t="str">
        <f>IF(Main[[#This Row],[Tech Start Date]]&lt;1/1/1990,"",IF(Main[[#This Row],[Class]]="C",WORKDAY(Main[[#This Row],[Tech Start Date]],28),IF(Main[[#This Row],[Class]]="B", WORKDAY(Main[[#This Row],[Tech Start Date]],19),IF(Main[[#This Row],[Class]]="A",WORKDAY(Main[[#This Row],[Tech Start Date]],9),""))))</f>
        <v/>
      </c>
      <c r="Q723" s="74">
        <v>40427</v>
      </c>
      <c r="R723" s="74"/>
      <c r="S723" s="72" t="s">
        <v>11</v>
      </c>
      <c r="T723" s="80" t="s">
        <v>4</v>
      </c>
      <c r="U723" s="72" t="s">
        <v>14</v>
      </c>
      <c r="V723" s="72" t="s">
        <v>1917</v>
      </c>
      <c r="W723" s="72" t="s">
        <v>1925</v>
      </c>
      <c r="X723" s="72" t="s">
        <v>2849</v>
      </c>
      <c r="Y723" s="72" t="s">
        <v>4</v>
      </c>
      <c r="Z723" s="72" t="s">
        <v>4</v>
      </c>
      <c r="AA723" s="146" t="s">
        <v>2849</v>
      </c>
    </row>
    <row r="724" spans="1:27" ht="18.600000000000001" customHeight="1">
      <c r="A724" s="139" t="str">
        <f>IF(priority(Main[[#This Row],[Comments]])&lt;&gt;0, priority(Main[[#This Row],[Comments]]),"")</f>
        <v/>
      </c>
      <c r="B724" s="89" t="s">
        <v>1468</v>
      </c>
      <c r="C724" s="72" t="s">
        <v>4</v>
      </c>
      <c r="D724" s="73" t="s">
        <v>561</v>
      </c>
      <c r="E724" s="74">
        <v>40414.808692129627</v>
      </c>
      <c r="F724" s="74"/>
      <c r="G724" s="75" t="str">
        <f>IF(stdProdLT(Main[[#This Row],[Comments]])=0.1,"N/A",IF(stdProdLT(Main[[#This Row],[Comments]])=0,"",stdProdLT(Main[[#This Row],[Comments]])))</f>
        <v/>
      </c>
      <c r="H724" s="76" t="str">
        <f>IF(AND(Main[[#This Row],[In Stock Date]]&lt;&gt;"",Main[[#This Row],[Revised Due Date]]&lt;&gt;""),Main[[#This Row],[In Stock Date]]-Main[[#This Row],[Revised Due Date]],"")</f>
        <v/>
      </c>
      <c r="I724" s="72" t="s">
        <v>4</v>
      </c>
      <c r="J724" s="72" t="s">
        <v>28</v>
      </c>
      <c r="K724" s="72" t="s">
        <v>4</v>
      </c>
      <c r="L724" s="74"/>
      <c r="M724" s="77" t="str">
        <f>IF(Main[[#This Row],[Tech Start Date]]&lt;1/1/1990,"",IF(Main[[#This Row],[Class]]="C",WORKDAY(Main[[#This Row],[Tech Start Date]],9),IF(Main[[#This Row],[Class]]="B", WORKDAY(Main[[#This Row],[Tech Start Date]],6),IF(Main[[#This Row],[Class]]="A",WORKDAY(Main[[#This Row],[Tech Start Date]],2),""))))</f>
        <v/>
      </c>
      <c r="N724" s="77" t="str">
        <f>IF(Main[[#This Row],[Tech Start Date]]&lt;1/1/1990,"",IF(Main[[#This Row],[Class]]="C",WORKDAY(Main[[#This Row],[Tech Start Date]],19),IF(Main[[#This Row],[Class]]="B", WORKDAY(Main[[#This Row],[Tech Start Date]],12),IF(Main[[#This Row],[Class]]="A",WORKDAY(Main[[#This Row],[Tech Start Date]],4),""))))</f>
        <v/>
      </c>
      <c r="O724" s="77" t="str">
        <f>IF(Main[[#This Row],[Tech Start Date]]&lt;1/1/1990,"",IF(Main[[#This Row],[Class]]="C",WORKDAY(Main[[#This Row],[Tech Start Date]],23),IF(Main[[#This Row],[Class]]="B", WORKDAY(Main[[#This Row],[Tech Start Date]],15),IF(Main[[#This Row],[Class]]="A",WORKDAY(Main[[#This Row],[Tech Start Date]],5),""))))</f>
        <v/>
      </c>
      <c r="P724" s="77" t="str">
        <f>IF(Main[[#This Row],[Tech Start Date]]&lt;1/1/1990,"",IF(Main[[#This Row],[Class]]="C",WORKDAY(Main[[#This Row],[Tech Start Date]],28),IF(Main[[#This Row],[Class]]="B", WORKDAY(Main[[#This Row],[Tech Start Date]],19),IF(Main[[#This Row],[Class]]="A",WORKDAY(Main[[#This Row],[Tech Start Date]],9),""))))</f>
        <v/>
      </c>
      <c r="Q724" s="74">
        <v>40429</v>
      </c>
      <c r="R724" s="74"/>
      <c r="S724" s="72" t="s">
        <v>318</v>
      </c>
      <c r="T724" s="80" t="s">
        <v>4</v>
      </c>
      <c r="U724" s="72" t="s">
        <v>7</v>
      </c>
      <c r="V724" s="72" t="s">
        <v>1917</v>
      </c>
      <c r="W724" s="72" t="s">
        <v>1921</v>
      </c>
      <c r="X724" s="72" t="s">
        <v>2827</v>
      </c>
      <c r="Y724" s="72" t="s">
        <v>2942</v>
      </c>
      <c r="Z724" s="72" t="s">
        <v>129</v>
      </c>
      <c r="AA724" s="146" t="s">
        <v>2827</v>
      </c>
    </row>
    <row r="725" spans="1:27" ht="18.600000000000001" customHeight="1">
      <c r="A725" s="139" t="str">
        <f>IF(priority(Main[[#This Row],[Comments]])&lt;&gt;0, priority(Main[[#This Row],[Comments]]),"")</f>
        <v/>
      </c>
      <c r="B725" s="89" t="s">
        <v>1994</v>
      </c>
      <c r="C725" s="72" t="s">
        <v>4</v>
      </c>
      <c r="D725" s="73" t="s">
        <v>1995</v>
      </c>
      <c r="E725" s="74">
        <v>40737.450219907405</v>
      </c>
      <c r="F725" s="74"/>
      <c r="G725" s="75" t="str">
        <f>IF(stdProdLT(Main[[#This Row],[Comments]])=0.1,"N/A",IF(stdProdLT(Main[[#This Row],[Comments]])=0,"",stdProdLT(Main[[#This Row],[Comments]])))</f>
        <v/>
      </c>
      <c r="H725" s="76" t="str">
        <f>IF(AND(Main[[#This Row],[In Stock Date]]&lt;&gt;"",Main[[#This Row],[Revised Due Date]]&lt;&gt;""),Main[[#This Row],[In Stock Date]]-Main[[#This Row],[Revised Due Date]],"")</f>
        <v/>
      </c>
      <c r="I725" s="72" t="s">
        <v>4</v>
      </c>
      <c r="J725" s="72" t="s">
        <v>4</v>
      </c>
      <c r="K725" s="72" t="s">
        <v>4</v>
      </c>
      <c r="L725" s="74"/>
      <c r="M725" s="77" t="str">
        <f>IF(Main[[#This Row],[Tech Start Date]]&lt;1/1/1990,"",IF(Main[[#This Row],[Class]]="C",WORKDAY(Main[[#This Row],[Tech Start Date]],9),IF(Main[[#This Row],[Class]]="B", WORKDAY(Main[[#This Row],[Tech Start Date]],6),IF(Main[[#This Row],[Class]]="A",WORKDAY(Main[[#This Row],[Tech Start Date]],2),""))))</f>
        <v/>
      </c>
      <c r="N725" s="77" t="str">
        <f>IF(Main[[#This Row],[Tech Start Date]]&lt;1/1/1990,"",IF(Main[[#This Row],[Class]]="C",WORKDAY(Main[[#This Row],[Tech Start Date]],19),IF(Main[[#This Row],[Class]]="B", WORKDAY(Main[[#This Row],[Tech Start Date]],12),IF(Main[[#This Row],[Class]]="A",WORKDAY(Main[[#This Row],[Tech Start Date]],4),""))))</f>
        <v/>
      </c>
      <c r="O725" s="77" t="str">
        <f>IF(Main[[#This Row],[Tech Start Date]]&lt;1/1/1990,"",IF(Main[[#This Row],[Class]]="C",WORKDAY(Main[[#This Row],[Tech Start Date]],23),IF(Main[[#This Row],[Class]]="B", WORKDAY(Main[[#This Row],[Tech Start Date]],15),IF(Main[[#This Row],[Class]]="A",WORKDAY(Main[[#This Row],[Tech Start Date]],5),""))))</f>
        <v/>
      </c>
      <c r="P725" s="77" t="str">
        <f>IF(Main[[#This Row],[Tech Start Date]]&lt;1/1/1990,"",IF(Main[[#This Row],[Class]]="C",WORKDAY(Main[[#This Row],[Tech Start Date]],28),IF(Main[[#This Row],[Class]]="B", WORKDAY(Main[[#This Row],[Tech Start Date]],19),IF(Main[[#This Row],[Class]]="A",WORKDAY(Main[[#This Row],[Tech Start Date]],9),""))))</f>
        <v/>
      </c>
      <c r="Q725" s="74">
        <v>40759</v>
      </c>
      <c r="R725" s="74"/>
      <c r="S725" s="72" t="s">
        <v>6</v>
      </c>
      <c r="T725" s="80" t="s">
        <v>4</v>
      </c>
      <c r="U725" s="72" t="s">
        <v>7</v>
      </c>
      <c r="V725" s="72" t="s">
        <v>1917</v>
      </c>
      <c r="W725" s="72" t="s">
        <v>1925</v>
      </c>
      <c r="X725" s="72" t="s">
        <v>2827</v>
      </c>
      <c r="Y725" s="72" t="s">
        <v>2942</v>
      </c>
      <c r="Z725" s="72" t="s">
        <v>4</v>
      </c>
      <c r="AA725" s="146" t="s">
        <v>2827</v>
      </c>
    </row>
    <row r="726" spans="1:27" ht="18.600000000000001" customHeight="1">
      <c r="A726" s="139" t="str">
        <f>IF(priority(Main[[#This Row],[Comments]])&lt;&gt;0, priority(Main[[#This Row],[Comments]]),"")</f>
        <v/>
      </c>
      <c r="B726" s="89" t="s">
        <v>1439</v>
      </c>
      <c r="C726" s="72" t="s">
        <v>180</v>
      </c>
      <c r="D726" s="73" t="s">
        <v>515</v>
      </c>
      <c r="E726" s="74"/>
      <c r="F726" s="74">
        <v>40374</v>
      </c>
      <c r="G726" s="75" t="str">
        <f>IF(stdProdLT(Main[[#This Row],[Comments]])=0.1,"N/A",IF(stdProdLT(Main[[#This Row],[Comments]])=0,"",stdProdLT(Main[[#This Row],[Comments]])))</f>
        <v/>
      </c>
      <c r="H726" s="76" t="str">
        <f>IF(AND(Main[[#This Row],[In Stock Date]]&lt;&gt;"",Main[[#This Row],[Revised Due Date]]&lt;&gt;""),Main[[#This Row],[In Stock Date]]-Main[[#This Row],[Revised Due Date]],"")</f>
        <v/>
      </c>
      <c r="I726" s="72" t="s">
        <v>4</v>
      </c>
      <c r="J726" s="72" t="s">
        <v>4</v>
      </c>
      <c r="K726" s="72" t="s">
        <v>4</v>
      </c>
      <c r="L726" s="74"/>
      <c r="M726" s="77" t="str">
        <f>IF(Main[[#This Row],[Tech Start Date]]&lt;1/1/1990,"",IF(Main[[#This Row],[Class]]="C",WORKDAY(Main[[#This Row],[Tech Start Date]],9),IF(Main[[#This Row],[Class]]="B", WORKDAY(Main[[#This Row],[Tech Start Date]],6),IF(Main[[#This Row],[Class]]="A",WORKDAY(Main[[#This Row],[Tech Start Date]],2),""))))</f>
        <v/>
      </c>
      <c r="N726" s="77" t="str">
        <f>IF(Main[[#This Row],[Tech Start Date]]&lt;1/1/1990,"",IF(Main[[#This Row],[Class]]="C",WORKDAY(Main[[#This Row],[Tech Start Date]],19),IF(Main[[#This Row],[Class]]="B", WORKDAY(Main[[#This Row],[Tech Start Date]],12),IF(Main[[#This Row],[Class]]="A",WORKDAY(Main[[#This Row],[Tech Start Date]],4),""))))</f>
        <v/>
      </c>
      <c r="O726" s="77" t="str">
        <f>IF(Main[[#This Row],[Tech Start Date]]&lt;1/1/1990,"",IF(Main[[#This Row],[Class]]="C",WORKDAY(Main[[#This Row],[Tech Start Date]],23),IF(Main[[#This Row],[Class]]="B", WORKDAY(Main[[#This Row],[Tech Start Date]],15),IF(Main[[#This Row],[Class]]="A",WORKDAY(Main[[#This Row],[Tech Start Date]],5),""))))</f>
        <v/>
      </c>
      <c r="P726" s="77" t="str">
        <f>IF(Main[[#This Row],[Tech Start Date]]&lt;1/1/1990,"",IF(Main[[#This Row],[Class]]="C",WORKDAY(Main[[#This Row],[Tech Start Date]],28),IF(Main[[#This Row],[Class]]="B", WORKDAY(Main[[#This Row],[Tech Start Date]],19),IF(Main[[#This Row],[Class]]="A",WORKDAY(Main[[#This Row],[Tech Start Date]],9),""))))</f>
        <v/>
      </c>
      <c r="Q726" s="74">
        <v>40298</v>
      </c>
      <c r="R726" s="74"/>
      <c r="S726" s="72" t="s">
        <v>11</v>
      </c>
      <c r="T726" s="80" t="s">
        <v>4</v>
      </c>
      <c r="U726" s="72" t="s">
        <v>14</v>
      </c>
      <c r="V726" s="72" t="s">
        <v>1917</v>
      </c>
      <c r="W726" s="72" t="s">
        <v>1923</v>
      </c>
      <c r="X726" s="72" t="s">
        <v>2830</v>
      </c>
      <c r="Y726" s="72" t="s">
        <v>2949</v>
      </c>
      <c r="Z726" s="72" t="s">
        <v>4</v>
      </c>
      <c r="AA726" s="146" t="s">
        <v>2830</v>
      </c>
    </row>
    <row r="727" spans="1:27" ht="18.600000000000001" customHeight="1">
      <c r="A727" s="139" t="str">
        <f>IF(priority(Main[[#This Row],[Comments]])&lt;&gt;0, priority(Main[[#This Row],[Comments]]),"")</f>
        <v/>
      </c>
      <c r="B727" s="89" t="s">
        <v>1504</v>
      </c>
      <c r="C727" s="72" t="s">
        <v>58</v>
      </c>
      <c r="D727" s="73" t="s">
        <v>577</v>
      </c>
      <c r="E727" s="74"/>
      <c r="F727" s="74">
        <v>40697</v>
      </c>
      <c r="G727" s="75" t="str">
        <f>IF(stdProdLT(Main[[#This Row],[Comments]])=0.1,"N/A",IF(stdProdLT(Main[[#This Row],[Comments]])=0,"",stdProdLT(Main[[#This Row],[Comments]])))</f>
        <v/>
      </c>
      <c r="H727" s="76" t="str">
        <f>IF(AND(Main[[#This Row],[In Stock Date]]&lt;&gt;"",Main[[#This Row],[Revised Due Date]]&lt;&gt;""),Main[[#This Row],[In Stock Date]]-Main[[#This Row],[Revised Due Date]],"")</f>
        <v/>
      </c>
      <c r="I727" s="72" t="s">
        <v>417</v>
      </c>
      <c r="J727" s="72" t="s">
        <v>75</v>
      </c>
      <c r="K727" s="81" t="s">
        <v>1924</v>
      </c>
      <c r="L727" s="74"/>
      <c r="M727" s="77" t="str">
        <f>IF(Main[[#This Row],[Tech Start Date]]&lt;1/1/1990,"",IF(Main[[#This Row],[Class]]="C",WORKDAY(Main[[#This Row],[Tech Start Date]],9),IF(Main[[#This Row],[Class]]="B", WORKDAY(Main[[#This Row],[Tech Start Date]],6),IF(Main[[#This Row],[Class]]="A",WORKDAY(Main[[#This Row],[Tech Start Date]],2),""))))</f>
        <v/>
      </c>
      <c r="N727" s="77" t="str">
        <f>IF(Main[[#This Row],[Tech Start Date]]&lt;1/1/1990,"",IF(Main[[#This Row],[Class]]="C",WORKDAY(Main[[#This Row],[Tech Start Date]],19),IF(Main[[#This Row],[Class]]="B", WORKDAY(Main[[#This Row],[Tech Start Date]],12),IF(Main[[#This Row],[Class]]="A",WORKDAY(Main[[#This Row],[Tech Start Date]],4),""))))</f>
        <v/>
      </c>
      <c r="O727" s="77" t="str">
        <f>IF(Main[[#This Row],[Tech Start Date]]&lt;1/1/1990,"",IF(Main[[#This Row],[Class]]="C",WORKDAY(Main[[#This Row],[Tech Start Date]],23),IF(Main[[#This Row],[Class]]="B", WORKDAY(Main[[#This Row],[Tech Start Date]],15),IF(Main[[#This Row],[Class]]="A",WORKDAY(Main[[#This Row],[Tech Start Date]],5),""))))</f>
        <v/>
      </c>
      <c r="P727" s="77" t="str">
        <f>IF(Main[[#This Row],[Tech Start Date]]&lt;1/1/1990,"",IF(Main[[#This Row],[Class]]="C",WORKDAY(Main[[#This Row],[Tech Start Date]],28),IF(Main[[#This Row],[Class]]="B", WORKDAY(Main[[#This Row],[Tech Start Date]],19),IF(Main[[#This Row],[Class]]="A",WORKDAY(Main[[#This Row],[Tech Start Date]],9),""))))</f>
        <v/>
      </c>
      <c r="Q727" s="74">
        <v>40539</v>
      </c>
      <c r="R727" s="74"/>
      <c r="S727" s="72" t="s">
        <v>11</v>
      </c>
      <c r="T727" s="80" t="s">
        <v>4</v>
      </c>
      <c r="U727" s="72" t="s">
        <v>14</v>
      </c>
      <c r="V727" s="72" t="s">
        <v>1927</v>
      </c>
      <c r="W727" s="72" t="s">
        <v>1923</v>
      </c>
      <c r="X727" s="72" t="s">
        <v>2835</v>
      </c>
      <c r="Y727" s="72" t="s">
        <v>2957</v>
      </c>
      <c r="Z727" s="72" t="s">
        <v>306</v>
      </c>
      <c r="AA727" s="146" t="s">
        <v>2835</v>
      </c>
    </row>
    <row r="728" spans="1:27" ht="18.600000000000001" customHeight="1">
      <c r="A728" s="139" t="str">
        <f>IF(priority(Main[[#This Row],[Comments]])&lt;&gt;0, priority(Main[[#This Row],[Comments]]),"")</f>
        <v/>
      </c>
      <c r="B728" s="89" t="s">
        <v>1506</v>
      </c>
      <c r="C728" s="72" t="s">
        <v>579</v>
      </c>
      <c r="D728" s="73" t="s">
        <v>580</v>
      </c>
      <c r="E728" s="74"/>
      <c r="F728" s="74">
        <v>40596</v>
      </c>
      <c r="G728" s="75" t="str">
        <f>IF(stdProdLT(Main[[#This Row],[Comments]])=0.1,"N/A",IF(stdProdLT(Main[[#This Row],[Comments]])=0,"",stdProdLT(Main[[#This Row],[Comments]])))</f>
        <v/>
      </c>
      <c r="H728" s="76" t="str">
        <f>IF(AND(Main[[#This Row],[In Stock Date]]&lt;&gt;"",Main[[#This Row],[Revised Due Date]]&lt;&gt;""),Main[[#This Row],[In Stock Date]]-Main[[#This Row],[Revised Due Date]],"")</f>
        <v/>
      </c>
      <c r="I728" s="72" t="s">
        <v>4</v>
      </c>
      <c r="J728" s="72" t="s">
        <v>28</v>
      </c>
      <c r="K728" s="72" t="s">
        <v>4</v>
      </c>
      <c r="L728" s="74"/>
      <c r="M728" s="77" t="str">
        <f>IF(Main[[#This Row],[Tech Start Date]]&lt;1/1/1990,"",IF(Main[[#This Row],[Class]]="C",WORKDAY(Main[[#This Row],[Tech Start Date]],9),IF(Main[[#This Row],[Class]]="B", WORKDAY(Main[[#This Row],[Tech Start Date]],6),IF(Main[[#This Row],[Class]]="A",WORKDAY(Main[[#This Row],[Tech Start Date]],2),""))))</f>
        <v/>
      </c>
      <c r="N728" s="77" t="str">
        <f>IF(Main[[#This Row],[Tech Start Date]]&lt;1/1/1990,"",IF(Main[[#This Row],[Class]]="C",WORKDAY(Main[[#This Row],[Tech Start Date]],19),IF(Main[[#This Row],[Class]]="B", WORKDAY(Main[[#This Row],[Tech Start Date]],12),IF(Main[[#This Row],[Class]]="A",WORKDAY(Main[[#This Row],[Tech Start Date]],4),""))))</f>
        <v/>
      </c>
      <c r="O728" s="77" t="str">
        <f>IF(Main[[#This Row],[Tech Start Date]]&lt;1/1/1990,"",IF(Main[[#This Row],[Class]]="C",WORKDAY(Main[[#This Row],[Tech Start Date]],23),IF(Main[[#This Row],[Class]]="B", WORKDAY(Main[[#This Row],[Tech Start Date]],15),IF(Main[[#This Row],[Class]]="A",WORKDAY(Main[[#This Row],[Tech Start Date]],5),""))))</f>
        <v/>
      </c>
      <c r="P728" s="77" t="str">
        <f>IF(Main[[#This Row],[Tech Start Date]]&lt;1/1/1990,"",IF(Main[[#This Row],[Class]]="C",WORKDAY(Main[[#This Row],[Tech Start Date]],28),IF(Main[[#This Row],[Class]]="B", WORKDAY(Main[[#This Row],[Tech Start Date]],19),IF(Main[[#This Row],[Class]]="A",WORKDAY(Main[[#This Row],[Tech Start Date]],9),""))))</f>
        <v/>
      </c>
      <c r="Q728" s="74">
        <v>40414</v>
      </c>
      <c r="R728" s="74"/>
      <c r="S728" s="72" t="s">
        <v>11</v>
      </c>
      <c r="T728" s="80" t="s">
        <v>4</v>
      </c>
      <c r="U728" s="72" t="s">
        <v>14</v>
      </c>
      <c r="V728" s="72" t="s">
        <v>1920</v>
      </c>
      <c r="W728" s="72" t="s">
        <v>1922</v>
      </c>
      <c r="X728" s="72" t="s">
        <v>2832</v>
      </c>
      <c r="Y728" s="72" t="s">
        <v>2952</v>
      </c>
      <c r="Z728" s="72" t="s">
        <v>530</v>
      </c>
      <c r="AA728" s="146" t="s">
        <v>2832</v>
      </c>
    </row>
    <row r="729" spans="1:27" ht="18.600000000000001" customHeight="1">
      <c r="A729" s="139" t="str">
        <f>IF(priority(Main[[#This Row],[Comments]])&lt;&gt;0, priority(Main[[#This Row],[Comments]]),"")</f>
        <v/>
      </c>
      <c r="B729" s="89" t="s">
        <v>1507</v>
      </c>
      <c r="C729" s="72" t="s">
        <v>581</v>
      </c>
      <c r="D729" s="73" t="s">
        <v>582</v>
      </c>
      <c r="E729" s="74"/>
      <c r="F729" s="74"/>
      <c r="G729" s="75" t="str">
        <f>IF(stdProdLT(Main[[#This Row],[Comments]])=0.1,"N/A",IF(stdProdLT(Main[[#This Row],[Comments]])=0,"",stdProdLT(Main[[#This Row],[Comments]])))</f>
        <v/>
      </c>
      <c r="H729" s="76" t="str">
        <f>IF(AND(Main[[#This Row],[In Stock Date]]&lt;&gt;"",Main[[#This Row],[Revised Due Date]]&lt;&gt;""),Main[[#This Row],[In Stock Date]]-Main[[#This Row],[Revised Due Date]],"")</f>
        <v/>
      </c>
      <c r="I729" s="72" t="s">
        <v>4</v>
      </c>
      <c r="J729" s="72" t="s">
        <v>4</v>
      </c>
      <c r="K729" s="72" t="s">
        <v>4</v>
      </c>
      <c r="L729" s="74"/>
      <c r="M729" s="77" t="str">
        <f>IF(Main[[#This Row],[Tech Start Date]]&lt;1/1/1990,"",IF(Main[[#This Row],[Class]]="C",WORKDAY(Main[[#This Row],[Tech Start Date]],9),IF(Main[[#This Row],[Class]]="B", WORKDAY(Main[[#This Row],[Tech Start Date]],6),IF(Main[[#This Row],[Class]]="A",WORKDAY(Main[[#This Row],[Tech Start Date]],2),""))))</f>
        <v/>
      </c>
      <c r="N729" s="77" t="str">
        <f>IF(Main[[#This Row],[Tech Start Date]]&lt;1/1/1990,"",IF(Main[[#This Row],[Class]]="C",WORKDAY(Main[[#This Row],[Tech Start Date]],19),IF(Main[[#This Row],[Class]]="B", WORKDAY(Main[[#This Row],[Tech Start Date]],12),IF(Main[[#This Row],[Class]]="A",WORKDAY(Main[[#This Row],[Tech Start Date]],4),""))))</f>
        <v/>
      </c>
      <c r="O729" s="77" t="str">
        <f>IF(Main[[#This Row],[Tech Start Date]]&lt;1/1/1990,"",IF(Main[[#This Row],[Class]]="C",WORKDAY(Main[[#This Row],[Tech Start Date]],23),IF(Main[[#This Row],[Class]]="B", WORKDAY(Main[[#This Row],[Tech Start Date]],15),IF(Main[[#This Row],[Class]]="A",WORKDAY(Main[[#This Row],[Tech Start Date]],5),""))))</f>
        <v/>
      </c>
      <c r="P729" s="77" t="str">
        <f>IF(Main[[#This Row],[Tech Start Date]]&lt;1/1/1990,"",IF(Main[[#This Row],[Class]]="C",WORKDAY(Main[[#This Row],[Tech Start Date]],28),IF(Main[[#This Row],[Class]]="B", WORKDAY(Main[[#This Row],[Tech Start Date]],19),IF(Main[[#This Row],[Class]]="A",WORKDAY(Main[[#This Row],[Tech Start Date]],9),""))))</f>
        <v/>
      </c>
      <c r="Q729" s="74">
        <v>40476</v>
      </c>
      <c r="R729" s="74"/>
      <c r="S729" s="72" t="s">
        <v>11</v>
      </c>
      <c r="T729" s="80" t="s">
        <v>4</v>
      </c>
      <c r="U729" s="72" t="s">
        <v>14</v>
      </c>
      <c r="V729" s="72" t="s">
        <v>1917</v>
      </c>
      <c r="W729" s="72" t="s">
        <v>1925</v>
      </c>
      <c r="X729" s="72" t="s">
        <v>2885</v>
      </c>
      <c r="Y729" s="72" t="s">
        <v>3033</v>
      </c>
      <c r="Z729" s="72" t="s">
        <v>4</v>
      </c>
      <c r="AA729" s="146" t="s">
        <v>2885</v>
      </c>
    </row>
    <row r="730" spans="1:27" ht="18.600000000000001" customHeight="1">
      <c r="A730" s="139" t="str">
        <f>IF(priority(Main[[#This Row],[Comments]])&lt;&gt;0, priority(Main[[#This Row],[Comments]]),"")</f>
        <v/>
      </c>
      <c r="B730" s="89" t="s">
        <v>1508</v>
      </c>
      <c r="C730" s="72" t="s">
        <v>31</v>
      </c>
      <c r="D730" s="73" t="s">
        <v>583</v>
      </c>
      <c r="E730" s="74"/>
      <c r="F730" s="74">
        <v>40330</v>
      </c>
      <c r="G730" s="75" t="str">
        <f>IF(stdProdLT(Main[[#This Row],[Comments]])=0.1,"N/A",IF(stdProdLT(Main[[#This Row],[Comments]])=0,"",stdProdLT(Main[[#This Row],[Comments]])))</f>
        <v/>
      </c>
      <c r="H730" s="76" t="str">
        <f>IF(AND(Main[[#This Row],[In Stock Date]]&lt;&gt;"",Main[[#This Row],[Revised Due Date]]&lt;&gt;""),Main[[#This Row],[In Stock Date]]-Main[[#This Row],[Revised Due Date]],"")</f>
        <v/>
      </c>
      <c r="I730" s="72" t="s">
        <v>4</v>
      </c>
      <c r="J730" s="72" t="s">
        <v>4</v>
      </c>
      <c r="K730" s="72" t="s">
        <v>4</v>
      </c>
      <c r="L730" s="74"/>
      <c r="M730" s="77" t="str">
        <f>IF(Main[[#This Row],[Tech Start Date]]&lt;1/1/1990,"",IF(Main[[#This Row],[Class]]="C",WORKDAY(Main[[#This Row],[Tech Start Date]],9),IF(Main[[#This Row],[Class]]="B", WORKDAY(Main[[#This Row],[Tech Start Date]],6),IF(Main[[#This Row],[Class]]="A",WORKDAY(Main[[#This Row],[Tech Start Date]],2),""))))</f>
        <v/>
      </c>
      <c r="N730" s="77" t="str">
        <f>IF(Main[[#This Row],[Tech Start Date]]&lt;1/1/1990,"",IF(Main[[#This Row],[Class]]="C",WORKDAY(Main[[#This Row],[Tech Start Date]],19),IF(Main[[#This Row],[Class]]="B", WORKDAY(Main[[#This Row],[Tech Start Date]],12),IF(Main[[#This Row],[Class]]="A",WORKDAY(Main[[#This Row],[Tech Start Date]],4),""))))</f>
        <v/>
      </c>
      <c r="O730" s="77" t="str">
        <f>IF(Main[[#This Row],[Tech Start Date]]&lt;1/1/1990,"",IF(Main[[#This Row],[Class]]="C",WORKDAY(Main[[#This Row],[Tech Start Date]],23),IF(Main[[#This Row],[Class]]="B", WORKDAY(Main[[#This Row],[Tech Start Date]],15),IF(Main[[#This Row],[Class]]="A",WORKDAY(Main[[#This Row],[Tech Start Date]],5),""))))</f>
        <v/>
      </c>
      <c r="P730" s="77" t="str">
        <f>IF(Main[[#This Row],[Tech Start Date]]&lt;1/1/1990,"",IF(Main[[#This Row],[Class]]="C",WORKDAY(Main[[#This Row],[Tech Start Date]],28),IF(Main[[#This Row],[Class]]="B", WORKDAY(Main[[#This Row],[Tech Start Date]],19),IF(Main[[#This Row],[Class]]="A",WORKDAY(Main[[#This Row],[Tech Start Date]],9),""))))</f>
        <v/>
      </c>
      <c r="Q730" s="74">
        <v>40210</v>
      </c>
      <c r="R730" s="74"/>
      <c r="S730" s="72" t="s">
        <v>11</v>
      </c>
      <c r="T730" s="80" t="s">
        <v>4</v>
      </c>
      <c r="U730" s="72" t="s">
        <v>14</v>
      </c>
      <c r="V730" s="72" t="s">
        <v>1918</v>
      </c>
      <c r="W730" s="72" t="s">
        <v>1923</v>
      </c>
      <c r="X730" s="72" t="s">
        <v>2830</v>
      </c>
      <c r="Y730" s="72" t="s">
        <v>2949</v>
      </c>
      <c r="Z730" s="72" t="s">
        <v>4</v>
      </c>
      <c r="AA730" s="146" t="s">
        <v>2830</v>
      </c>
    </row>
    <row r="731" spans="1:27" ht="18.600000000000001" customHeight="1">
      <c r="A731" s="139" t="str">
        <f>IF(priority(Main[[#This Row],[Comments]])&lt;&gt;0, priority(Main[[#This Row],[Comments]]),"")</f>
        <v/>
      </c>
      <c r="B731" s="89" t="s">
        <v>1509</v>
      </c>
      <c r="C731" s="72" t="s">
        <v>4</v>
      </c>
      <c r="D731" s="73" t="s">
        <v>584</v>
      </c>
      <c r="E731" s="74"/>
      <c r="F731" s="74"/>
      <c r="G731" s="75" t="str">
        <f>IF(stdProdLT(Main[[#This Row],[Comments]])=0.1,"N/A",IF(stdProdLT(Main[[#This Row],[Comments]])=0,"",stdProdLT(Main[[#This Row],[Comments]])))</f>
        <v/>
      </c>
      <c r="H731" s="76" t="str">
        <f>IF(AND(Main[[#This Row],[In Stock Date]]&lt;&gt;"",Main[[#This Row],[Revised Due Date]]&lt;&gt;""),Main[[#This Row],[In Stock Date]]-Main[[#This Row],[Revised Due Date]],"")</f>
        <v/>
      </c>
      <c r="I731" s="72" t="s">
        <v>4</v>
      </c>
      <c r="J731" s="72" t="s">
        <v>4</v>
      </c>
      <c r="K731" s="72" t="s">
        <v>4</v>
      </c>
      <c r="L731" s="74"/>
      <c r="M731" s="77" t="str">
        <f>IF(Main[[#This Row],[Tech Start Date]]&lt;1/1/1990,"",IF(Main[[#This Row],[Class]]="C",WORKDAY(Main[[#This Row],[Tech Start Date]],9),IF(Main[[#This Row],[Class]]="B", WORKDAY(Main[[#This Row],[Tech Start Date]],6),IF(Main[[#This Row],[Class]]="A",WORKDAY(Main[[#This Row],[Tech Start Date]],2),""))))</f>
        <v/>
      </c>
      <c r="N731" s="77" t="str">
        <f>IF(Main[[#This Row],[Tech Start Date]]&lt;1/1/1990,"",IF(Main[[#This Row],[Class]]="C",WORKDAY(Main[[#This Row],[Tech Start Date]],19),IF(Main[[#This Row],[Class]]="B", WORKDAY(Main[[#This Row],[Tech Start Date]],12),IF(Main[[#This Row],[Class]]="A",WORKDAY(Main[[#This Row],[Tech Start Date]],4),""))))</f>
        <v/>
      </c>
      <c r="O731" s="77" t="str">
        <f>IF(Main[[#This Row],[Tech Start Date]]&lt;1/1/1990,"",IF(Main[[#This Row],[Class]]="C",WORKDAY(Main[[#This Row],[Tech Start Date]],23),IF(Main[[#This Row],[Class]]="B", WORKDAY(Main[[#This Row],[Tech Start Date]],15),IF(Main[[#This Row],[Class]]="A",WORKDAY(Main[[#This Row],[Tech Start Date]],5),""))))</f>
        <v/>
      </c>
      <c r="P731" s="77" t="str">
        <f>IF(Main[[#This Row],[Tech Start Date]]&lt;1/1/1990,"",IF(Main[[#This Row],[Class]]="C",WORKDAY(Main[[#This Row],[Tech Start Date]],28),IF(Main[[#This Row],[Class]]="B", WORKDAY(Main[[#This Row],[Tech Start Date]],19),IF(Main[[#This Row],[Class]]="A",WORKDAY(Main[[#This Row],[Tech Start Date]],9),""))))</f>
        <v/>
      </c>
      <c r="Q731" s="74">
        <v>40543</v>
      </c>
      <c r="R731" s="74"/>
      <c r="S731" s="72" t="s">
        <v>17</v>
      </c>
      <c r="T731" s="80" t="s">
        <v>4</v>
      </c>
      <c r="U731" s="72" t="s">
        <v>14</v>
      </c>
      <c r="V731" s="72" t="s">
        <v>1932</v>
      </c>
      <c r="W731" s="72" t="s">
        <v>1919</v>
      </c>
      <c r="X731" s="72" t="s">
        <v>129</v>
      </c>
      <c r="Y731" s="72" t="s">
        <v>2939</v>
      </c>
      <c r="Z731" s="72" t="s">
        <v>4</v>
      </c>
      <c r="AA731" s="146" t="s">
        <v>129</v>
      </c>
    </row>
    <row r="732" spans="1:27" ht="18.600000000000001" customHeight="1">
      <c r="A732" s="139" t="str">
        <f>IF(priority(Main[[#This Row],[Comments]])&lt;&gt;0, priority(Main[[#This Row],[Comments]]),"")</f>
        <v/>
      </c>
      <c r="B732" s="89" t="s">
        <v>1510</v>
      </c>
      <c r="C732" s="72" t="s">
        <v>378</v>
      </c>
      <c r="D732" s="73" t="s">
        <v>585</v>
      </c>
      <c r="E732" s="74"/>
      <c r="F732" s="74">
        <v>40228</v>
      </c>
      <c r="G732" s="75" t="str">
        <f>IF(stdProdLT(Main[[#This Row],[Comments]])=0.1,"N/A",IF(stdProdLT(Main[[#This Row],[Comments]])=0,"",stdProdLT(Main[[#This Row],[Comments]])))</f>
        <v/>
      </c>
      <c r="H732" s="76" t="str">
        <f>IF(AND(Main[[#This Row],[In Stock Date]]&lt;&gt;"",Main[[#This Row],[Revised Due Date]]&lt;&gt;""),Main[[#This Row],[In Stock Date]]-Main[[#This Row],[Revised Due Date]],"")</f>
        <v/>
      </c>
      <c r="I732" s="72" t="s">
        <v>4</v>
      </c>
      <c r="J732" s="72" t="s">
        <v>4</v>
      </c>
      <c r="K732" s="72" t="s">
        <v>4</v>
      </c>
      <c r="L732" s="74"/>
      <c r="M732" s="77" t="str">
        <f>IF(Main[[#This Row],[Tech Start Date]]&lt;1/1/1990,"",IF(Main[[#This Row],[Class]]="C",WORKDAY(Main[[#This Row],[Tech Start Date]],9),IF(Main[[#This Row],[Class]]="B", WORKDAY(Main[[#This Row],[Tech Start Date]],6),IF(Main[[#This Row],[Class]]="A",WORKDAY(Main[[#This Row],[Tech Start Date]],2),""))))</f>
        <v/>
      </c>
      <c r="N732" s="77" t="str">
        <f>IF(Main[[#This Row],[Tech Start Date]]&lt;1/1/1990,"",IF(Main[[#This Row],[Class]]="C",WORKDAY(Main[[#This Row],[Tech Start Date]],19),IF(Main[[#This Row],[Class]]="B", WORKDAY(Main[[#This Row],[Tech Start Date]],12),IF(Main[[#This Row],[Class]]="A",WORKDAY(Main[[#This Row],[Tech Start Date]],4),""))))</f>
        <v/>
      </c>
      <c r="O732" s="77" t="str">
        <f>IF(Main[[#This Row],[Tech Start Date]]&lt;1/1/1990,"",IF(Main[[#This Row],[Class]]="C",WORKDAY(Main[[#This Row],[Tech Start Date]],23),IF(Main[[#This Row],[Class]]="B", WORKDAY(Main[[#This Row],[Tech Start Date]],15),IF(Main[[#This Row],[Class]]="A",WORKDAY(Main[[#This Row],[Tech Start Date]],5),""))))</f>
        <v/>
      </c>
      <c r="P732" s="77" t="str">
        <f>IF(Main[[#This Row],[Tech Start Date]]&lt;1/1/1990,"",IF(Main[[#This Row],[Class]]="C",WORKDAY(Main[[#This Row],[Tech Start Date]],28),IF(Main[[#This Row],[Class]]="B", WORKDAY(Main[[#This Row],[Tech Start Date]],19),IF(Main[[#This Row],[Class]]="A",WORKDAY(Main[[#This Row],[Tech Start Date]],9),""))))</f>
        <v/>
      </c>
      <c r="Q732" s="74">
        <v>40153</v>
      </c>
      <c r="R732" s="74"/>
      <c r="S732" s="72" t="s">
        <v>11</v>
      </c>
      <c r="T732" s="80" t="s">
        <v>4</v>
      </c>
      <c r="U732" s="72" t="s">
        <v>14</v>
      </c>
      <c r="V732" s="72" t="s">
        <v>1920</v>
      </c>
      <c r="W732" s="72" t="s">
        <v>1925</v>
      </c>
      <c r="X732" s="72" t="s">
        <v>2869</v>
      </c>
      <c r="Y732" s="72" t="s">
        <v>4</v>
      </c>
      <c r="Z732" s="72" t="s">
        <v>4</v>
      </c>
      <c r="AA732" s="146" t="s">
        <v>2869</v>
      </c>
    </row>
    <row r="733" spans="1:27" ht="18.600000000000001" customHeight="1">
      <c r="A733" s="139" t="str">
        <f>IF(priority(Main[[#This Row],[Comments]])&lt;&gt;0, priority(Main[[#This Row],[Comments]]),"")</f>
        <v/>
      </c>
      <c r="B733" s="89" t="s">
        <v>1511</v>
      </c>
      <c r="C733" s="72" t="s">
        <v>275</v>
      </c>
      <c r="D733" s="73" t="s">
        <v>586</v>
      </c>
      <c r="E733" s="74"/>
      <c r="F733" s="74">
        <v>40186</v>
      </c>
      <c r="G733" s="75" t="str">
        <f>IF(stdProdLT(Main[[#This Row],[Comments]])=0.1,"N/A",IF(stdProdLT(Main[[#This Row],[Comments]])=0,"",stdProdLT(Main[[#This Row],[Comments]])))</f>
        <v/>
      </c>
      <c r="H733" s="76" t="str">
        <f>IF(AND(Main[[#This Row],[In Stock Date]]&lt;&gt;"",Main[[#This Row],[Revised Due Date]]&lt;&gt;""),Main[[#This Row],[In Stock Date]]-Main[[#This Row],[Revised Due Date]],"")</f>
        <v/>
      </c>
      <c r="I733" s="72" t="s">
        <v>4</v>
      </c>
      <c r="J733" s="72" t="s">
        <v>4</v>
      </c>
      <c r="K733" s="72" t="s">
        <v>4</v>
      </c>
      <c r="L733" s="74"/>
      <c r="M733" s="77" t="str">
        <f>IF(Main[[#This Row],[Tech Start Date]]&lt;1/1/1990,"",IF(Main[[#This Row],[Class]]="C",WORKDAY(Main[[#This Row],[Tech Start Date]],9),IF(Main[[#This Row],[Class]]="B", WORKDAY(Main[[#This Row],[Tech Start Date]],6),IF(Main[[#This Row],[Class]]="A",WORKDAY(Main[[#This Row],[Tech Start Date]],2),""))))</f>
        <v/>
      </c>
      <c r="N733" s="77" t="str">
        <f>IF(Main[[#This Row],[Tech Start Date]]&lt;1/1/1990,"",IF(Main[[#This Row],[Class]]="C",WORKDAY(Main[[#This Row],[Tech Start Date]],19),IF(Main[[#This Row],[Class]]="B", WORKDAY(Main[[#This Row],[Tech Start Date]],12),IF(Main[[#This Row],[Class]]="A",WORKDAY(Main[[#This Row],[Tech Start Date]],4),""))))</f>
        <v/>
      </c>
      <c r="O733" s="77" t="str">
        <f>IF(Main[[#This Row],[Tech Start Date]]&lt;1/1/1990,"",IF(Main[[#This Row],[Class]]="C",WORKDAY(Main[[#This Row],[Tech Start Date]],23),IF(Main[[#This Row],[Class]]="B", WORKDAY(Main[[#This Row],[Tech Start Date]],15),IF(Main[[#This Row],[Class]]="A",WORKDAY(Main[[#This Row],[Tech Start Date]],5),""))))</f>
        <v/>
      </c>
      <c r="P733" s="77" t="str">
        <f>IF(Main[[#This Row],[Tech Start Date]]&lt;1/1/1990,"",IF(Main[[#This Row],[Class]]="C",WORKDAY(Main[[#This Row],[Tech Start Date]],28),IF(Main[[#This Row],[Class]]="B", WORKDAY(Main[[#This Row],[Tech Start Date]],19),IF(Main[[#This Row],[Class]]="A",WORKDAY(Main[[#This Row],[Tech Start Date]],9),""))))</f>
        <v/>
      </c>
      <c r="Q733" s="74">
        <v>40186</v>
      </c>
      <c r="R733" s="74"/>
      <c r="S733" s="72" t="s">
        <v>11</v>
      </c>
      <c r="T733" s="80" t="s">
        <v>4</v>
      </c>
      <c r="U733" s="72" t="s">
        <v>14</v>
      </c>
      <c r="V733" s="72" t="s">
        <v>1920</v>
      </c>
      <c r="W733" s="72" t="s">
        <v>1925</v>
      </c>
      <c r="X733" s="72" t="s">
        <v>2848</v>
      </c>
      <c r="Y733" s="72" t="s">
        <v>4</v>
      </c>
      <c r="Z733" s="72" t="s">
        <v>4</v>
      </c>
      <c r="AA733" s="146" t="s">
        <v>2848</v>
      </c>
    </row>
    <row r="734" spans="1:27" ht="18.600000000000001" customHeight="1">
      <c r="A734" s="139" t="str">
        <f>IF(priority(Main[[#This Row],[Comments]])&lt;&gt;0, priority(Main[[#This Row],[Comments]]),"")</f>
        <v/>
      </c>
      <c r="B734" s="89" t="s">
        <v>2263</v>
      </c>
      <c r="C734" s="72" t="s">
        <v>2259</v>
      </c>
      <c r="D734" s="73" t="s">
        <v>2260</v>
      </c>
      <c r="E734" s="74"/>
      <c r="F734" s="74"/>
      <c r="G734" s="75" t="str">
        <f>IF(stdProdLT(Main[[#This Row],[Comments]])=0.1,"N/A",IF(stdProdLT(Main[[#This Row],[Comments]])=0,"",stdProdLT(Main[[#This Row],[Comments]])))</f>
        <v/>
      </c>
      <c r="H734" s="76" t="str">
        <f>IF(AND(Main[[#This Row],[In Stock Date]]&lt;&gt;"",Main[[#This Row],[Revised Due Date]]&lt;&gt;""),Main[[#This Row],[In Stock Date]]-Main[[#This Row],[Revised Due Date]],"")</f>
        <v/>
      </c>
      <c r="I734" s="72" t="s">
        <v>4</v>
      </c>
      <c r="J734" s="72" t="s">
        <v>4</v>
      </c>
      <c r="K734" s="81" t="s">
        <v>4</v>
      </c>
      <c r="L734" s="74"/>
      <c r="M734" s="77" t="str">
        <f>IF(Main[[#This Row],[Tech Start Date]]&lt;1/1/1990,"",IF(Main[[#This Row],[Class]]="C",WORKDAY(Main[[#This Row],[Tech Start Date]],9),IF(Main[[#This Row],[Class]]="B", WORKDAY(Main[[#This Row],[Tech Start Date]],6),IF(Main[[#This Row],[Class]]="A",WORKDAY(Main[[#This Row],[Tech Start Date]],2),""))))</f>
        <v/>
      </c>
      <c r="N734" s="77" t="str">
        <f>IF(Main[[#This Row],[Tech Start Date]]&lt;1/1/1990,"",IF(Main[[#This Row],[Class]]="C",WORKDAY(Main[[#This Row],[Tech Start Date]],19),IF(Main[[#This Row],[Class]]="B", WORKDAY(Main[[#This Row],[Tech Start Date]],12),IF(Main[[#This Row],[Class]]="A",WORKDAY(Main[[#This Row],[Tech Start Date]],4),""))))</f>
        <v/>
      </c>
      <c r="O734" s="77" t="str">
        <f>IF(Main[[#This Row],[Tech Start Date]]&lt;1/1/1990,"",IF(Main[[#This Row],[Class]]="C",WORKDAY(Main[[#This Row],[Tech Start Date]],23),IF(Main[[#This Row],[Class]]="B", WORKDAY(Main[[#This Row],[Tech Start Date]],15),IF(Main[[#This Row],[Class]]="A",WORKDAY(Main[[#This Row],[Tech Start Date]],5),""))))</f>
        <v/>
      </c>
      <c r="P734" s="77" t="str">
        <f>IF(Main[[#This Row],[Tech Start Date]]&lt;1/1/1990,"",IF(Main[[#This Row],[Class]]="C",WORKDAY(Main[[#This Row],[Tech Start Date]],28),IF(Main[[#This Row],[Class]]="B", WORKDAY(Main[[#This Row],[Tech Start Date]],19),IF(Main[[#This Row],[Class]]="A",WORKDAY(Main[[#This Row],[Tech Start Date]],9),""))))</f>
        <v/>
      </c>
      <c r="Q734" s="74">
        <v>40806</v>
      </c>
      <c r="R734" s="74"/>
      <c r="S734" s="72" t="s">
        <v>6</v>
      </c>
      <c r="T734" s="80" t="s">
        <v>4</v>
      </c>
      <c r="U734" s="72" t="s">
        <v>12</v>
      </c>
      <c r="V734" s="72" t="s">
        <v>1918</v>
      </c>
      <c r="W734" s="72" t="s">
        <v>1925</v>
      </c>
      <c r="X734" s="72" t="s">
        <v>2885</v>
      </c>
      <c r="Y734" s="72" t="s">
        <v>3033</v>
      </c>
      <c r="Z734" s="72" t="s">
        <v>4</v>
      </c>
      <c r="AA734" s="146" t="s">
        <v>2885</v>
      </c>
    </row>
    <row r="735" spans="1:27" ht="18.600000000000001" customHeight="1">
      <c r="A735" s="139" t="str">
        <f>IF(priority(Main[[#This Row],[Comments]])&lt;&gt;0, priority(Main[[#This Row],[Comments]]),"")</f>
        <v/>
      </c>
      <c r="B735" s="89" t="s">
        <v>1554</v>
      </c>
      <c r="C735" s="72" t="s">
        <v>95</v>
      </c>
      <c r="D735" s="73" t="s">
        <v>636</v>
      </c>
      <c r="E735" s="74"/>
      <c r="F735" s="74">
        <v>40195</v>
      </c>
      <c r="G735" s="75" t="str">
        <f>IF(stdProdLT(Main[[#This Row],[Comments]])=0.1,"N/A",IF(stdProdLT(Main[[#This Row],[Comments]])=0,"",stdProdLT(Main[[#This Row],[Comments]])))</f>
        <v/>
      </c>
      <c r="H735" s="76" t="str">
        <f>IF(AND(Main[[#This Row],[In Stock Date]]&lt;&gt;"",Main[[#This Row],[Revised Due Date]]&lt;&gt;""),Main[[#This Row],[In Stock Date]]-Main[[#This Row],[Revised Due Date]],"")</f>
        <v/>
      </c>
      <c r="I735" s="72" t="s">
        <v>4</v>
      </c>
      <c r="J735" s="72" t="s">
        <v>4</v>
      </c>
      <c r="K735" s="72" t="s">
        <v>4</v>
      </c>
      <c r="L735" s="74"/>
      <c r="M735" s="77" t="str">
        <f>IF(Main[[#This Row],[Tech Start Date]]&lt;1/1/1990,"",IF(Main[[#This Row],[Class]]="C",WORKDAY(Main[[#This Row],[Tech Start Date]],9),IF(Main[[#This Row],[Class]]="B", WORKDAY(Main[[#This Row],[Tech Start Date]],6),IF(Main[[#This Row],[Class]]="A",WORKDAY(Main[[#This Row],[Tech Start Date]],2),""))))</f>
        <v/>
      </c>
      <c r="N735" s="77" t="str">
        <f>IF(Main[[#This Row],[Tech Start Date]]&lt;1/1/1990,"",IF(Main[[#This Row],[Class]]="C",WORKDAY(Main[[#This Row],[Tech Start Date]],19),IF(Main[[#This Row],[Class]]="B", WORKDAY(Main[[#This Row],[Tech Start Date]],12),IF(Main[[#This Row],[Class]]="A",WORKDAY(Main[[#This Row],[Tech Start Date]],4),""))))</f>
        <v/>
      </c>
      <c r="O735" s="77" t="str">
        <f>IF(Main[[#This Row],[Tech Start Date]]&lt;1/1/1990,"",IF(Main[[#This Row],[Class]]="C",WORKDAY(Main[[#This Row],[Tech Start Date]],23),IF(Main[[#This Row],[Class]]="B", WORKDAY(Main[[#This Row],[Tech Start Date]],15),IF(Main[[#This Row],[Class]]="A",WORKDAY(Main[[#This Row],[Tech Start Date]],5),""))))</f>
        <v/>
      </c>
      <c r="P735" s="77" t="str">
        <f>IF(Main[[#This Row],[Tech Start Date]]&lt;1/1/1990,"",IF(Main[[#This Row],[Class]]="C",WORKDAY(Main[[#This Row],[Tech Start Date]],28),IF(Main[[#This Row],[Class]]="B", WORKDAY(Main[[#This Row],[Tech Start Date]],19),IF(Main[[#This Row],[Class]]="A",WORKDAY(Main[[#This Row],[Tech Start Date]],9),""))))</f>
        <v/>
      </c>
      <c r="Q735" s="74">
        <v>40070</v>
      </c>
      <c r="R735" s="74"/>
      <c r="S735" s="72" t="s">
        <v>11</v>
      </c>
      <c r="T735" s="80" t="s">
        <v>4</v>
      </c>
      <c r="U735" s="72" t="s">
        <v>14</v>
      </c>
      <c r="V735" s="72" t="s">
        <v>1920</v>
      </c>
      <c r="W735" s="72" t="s">
        <v>1923</v>
      </c>
      <c r="X735" s="72" t="s">
        <v>2882</v>
      </c>
      <c r="Y735" s="72" t="s">
        <v>4</v>
      </c>
      <c r="Z735" s="72" t="s">
        <v>4</v>
      </c>
      <c r="AA735" s="146" t="s">
        <v>3418</v>
      </c>
    </row>
    <row r="736" spans="1:27" ht="18.600000000000001" customHeight="1">
      <c r="A736" s="139" t="str">
        <f>IF(priority(Main[[#This Row],[Comments]])&lt;&gt;0, priority(Main[[#This Row],[Comments]]),"")</f>
        <v/>
      </c>
      <c r="B736" s="89" t="s">
        <v>1555</v>
      </c>
      <c r="C736" s="72" t="s">
        <v>4</v>
      </c>
      <c r="D736" s="73" t="s">
        <v>633</v>
      </c>
      <c r="E736" s="74"/>
      <c r="F736" s="74"/>
      <c r="G736" s="75" t="str">
        <f>IF(stdProdLT(Main[[#This Row],[Comments]])=0.1,"N/A",IF(stdProdLT(Main[[#This Row],[Comments]])=0,"",stdProdLT(Main[[#This Row],[Comments]])))</f>
        <v/>
      </c>
      <c r="H736" s="76" t="str">
        <f>IF(AND(Main[[#This Row],[In Stock Date]]&lt;&gt;"",Main[[#This Row],[Revised Due Date]]&lt;&gt;""),Main[[#This Row],[In Stock Date]]-Main[[#This Row],[Revised Due Date]],"")</f>
        <v/>
      </c>
      <c r="I736" s="72" t="s">
        <v>399</v>
      </c>
      <c r="J736" s="72" t="s">
        <v>75</v>
      </c>
      <c r="K736" s="72" t="s">
        <v>4</v>
      </c>
      <c r="L736" s="74"/>
      <c r="M736" s="77" t="str">
        <f>IF(Main[[#This Row],[Tech Start Date]]&lt;1/1/1990,"",IF(Main[[#This Row],[Class]]="C",WORKDAY(Main[[#This Row],[Tech Start Date]],9),IF(Main[[#This Row],[Class]]="B", WORKDAY(Main[[#This Row],[Tech Start Date]],6),IF(Main[[#This Row],[Class]]="A",WORKDAY(Main[[#This Row],[Tech Start Date]],2),""))))</f>
        <v/>
      </c>
      <c r="N736" s="77" t="str">
        <f>IF(Main[[#This Row],[Tech Start Date]]&lt;1/1/1990,"",IF(Main[[#This Row],[Class]]="C",WORKDAY(Main[[#This Row],[Tech Start Date]],19),IF(Main[[#This Row],[Class]]="B", WORKDAY(Main[[#This Row],[Tech Start Date]],12),IF(Main[[#This Row],[Class]]="A",WORKDAY(Main[[#This Row],[Tech Start Date]],4),""))))</f>
        <v/>
      </c>
      <c r="O736" s="77" t="str">
        <f>IF(Main[[#This Row],[Tech Start Date]]&lt;1/1/1990,"",IF(Main[[#This Row],[Class]]="C",WORKDAY(Main[[#This Row],[Tech Start Date]],23),IF(Main[[#This Row],[Class]]="B", WORKDAY(Main[[#This Row],[Tech Start Date]],15),IF(Main[[#This Row],[Class]]="A",WORKDAY(Main[[#This Row],[Tech Start Date]],5),""))))</f>
        <v/>
      </c>
      <c r="P736" s="77" t="str">
        <f>IF(Main[[#This Row],[Tech Start Date]]&lt;1/1/1990,"",IF(Main[[#This Row],[Class]]="C",WORKDAY(Main[[#This Row],[Tech Start Date]],28),IF(Main[[#This Row],[Class]]="B", WORKDAY(Main[[#This Row],[Tech Start Date]],19),IF(Main[[#This Row],[Class]]="A",WORKDAY(Main[[#This Row],[Tech Start Date]],9),""))))</f>
        <v/>
      </c>
      <c r="Q736" s="74">
        <v>40186</v>
      </c>
      <c r="R736" s="74"/>
      <c r="S736" s="72" t="s">
        <v>6</v>
      </c>
      <c r="T736" s="80" t="s">
        <v>4</v>
      </c>
      <c r="U736" s="72" t="s">
        <v>14</v>
      </c>
      <c r="V736" s="72" t="s">
        <v>1920</v>
      </c>
      <c r="W736" s="72" t="s">
        <v>1928</v>
      </c>
      <c r="X736" s="72" t="s">
        <v>885</v>
      </c>
      <c r="Y736" s="72" t="s">
        <v>2969</v>
      </c>
      <c r="Z736" s="72" t="s">
        <v>306</v>
      </c>
      <c r="AA736" s="146" t="s">
        <v>885</v>
      </c>
    </row>
    <row r="737" spans="1:27" ht="18.600000000000001" customHeight="1">
      <c r="A737" s="139" t="str">
        <f>IF(priority(Main[[#This Row],[Comments]])&lt;&gt;0, priority(Main[[#This Row],[Comments]]),"")</f>
        <v/>
      </c>
      <c r="B737" s="89" t="s">
        <v>1556</v>
      </c>
      <c r="C737" s="72" t="s">
        <v>4</v>
      </c>
      <c r="D737" s="73" t="s">
        <v>634</v>
      </c>
      <c r="E737" s="74"/>
      <c r="F737" s="74"/>
      <c r="G737" s="75" t="str">
        <f>IF(stdProdLT(Main[[#This Row],[Comments]])=0.1,"N/A",IF(stdProdLT(Main[[#This Row],[Comments]])=0,"",stdProdLT(Main[[#This Row],[Comments]])))</f>
        <v/>
      </c>
      <c r="H737" s="76" t="str">
        <f>IF(AND(Main[[#This Row],[In Stock Date]]&lt;&gt;"",Main[[#This Row],[Revised Due Date]]&lt;&gt;""),Main[[#This Row],[In Stock Date]]-Main[[#This Row],[Revised Due Date]],"")</f>
        <v/>
      </c>
      <c r="I737" s="72" t="s">
        <v>4</v>
      </c>
      <c r="J737" s="72" t="s">
        <v>4</v>
      </c>
      <c r="K737" s="72" t="s">
        <v>4</v>
      </c>
      <c r="L737" s="74"/>
      <c r="M737" s="77" t="str">
        <f>IF(Main[[#This Row],[Tech Start Date]]&lt;1/1/1990,"",IF(Main[[#This Row],[Class]]="C",WORKDAY(Main[[#This Row],[Tech Start Date]],9),IF(Main[[#This Row],[Class]]="B", WORKDAY(Main[[#This Row],[Tech Start Date]],6),IF(Main[[#This Row],[Class]]="A",WORKDAY(Main[[#This Row],[Tech Start Date]],2),""))))</f>
        <v/>
      </c>
      <c r="N737" s="77" t="str">
        <f>IF(Main[[#This Row],[Tech Start Date]]&lt;1/1/1990,"",IF(Main[[#This Row],[Class]]="C",WORKDAY(Main[[#This Row],[Tech Start Date]],19),IF(Main[[#This Row],[Class]]="B", WORKDAY(Main[[#This Row],[Tech Start Date]],12),IF(Main[[#This Row],[Class]]="A",WORKDAY(Main[[#This Row],[Tech Start Date]],4),""))))</f>
        <v/>
      </c>
      <c r="O737" s="77" t="str">
        <f>IF(Main[[#This Row],[Tech Start Date]]&lt;1/1/1990,"",IF(Main[[#This Row],[Class]]="C",WORKDAY(Main[[#This Row],[Tech Start Date]],23),IF(Main[[#This Row],[Class]]="B", WORKDAY(Main[[#This Row],[Tech Start Date]],15),IF(Main[[#This Row],[Class]]="A",WORKDAY(Main[[#This Row],[Tech Start Date]],5),""))))</f>
        <v/>
      </c>
      <c r="P737" s="77" t="str">
        <f>IF(Main[[#This Row],[Tech Start Date]]&lt;1/1/1990,"",IF(Main[[#This Row],[Class]]="C",WORKDAY(Main[[#This Row],[Tech Start Date]],28),IF(Main[[#This Row],[Class]]="B", WORKDAY(Main[[#This Row],[Tech Start Date]],19),IF(Main[[#This Row],[Class]]="A",WORKDAY(Main[[#This Row],[Tech Start Date]],9),""))))</f>
        <v/>
      </c>
      <c r="Q737" s="74">
        <v>40389</v>
      </c>
      <c r="R737" s="74"/>
      <c r="S737" s="72" t="s">
        <v>6</v>
      </c>
      <c r="T737" s="80" t="s">
        <v>4</v>
      </c>
      <c r="U737" s="72" t="s">
        <v>12</v>
      </c>
      <c r="V737" s="72" t="s">
        <v>1917</v>
      </c>
      <c r="W737" s="72" t="s">
        <v>4</v>
      </c>
      <c r="X737" s="72" t="s">
        <v>909</v>
      </c>
      <c r="Y737" s="72" t="s">
        <v>3023</v>
      </c>
      <c r="Z737" s="72" t="s">
        <v>4</v>
      </c>
      <c r="AA737" s="146" t="s">
        <v>909</v>
      </c>
    </row>
    <row r="738" spans="1:27" ht="18.600000000000001" customHeight="1">
      <c r="A738" s="139" t="str">
        <f>IF(priority(Main[[#This Row],[Comments]])&lt;&gt;0, priority(Main[[#This Row],[Comments]]),"")</f>
        <v/>
      </c>
      <c r="B738" s="89" t="s">
        <v>1581</v>
      </c>
      <c r="C738" s="72" t="s">
        <v>79</v>
      </c>
      <c r="D738" s="73" t="s">
        <v>659</v>
      </c>
      <c r="E738" s="74"/>
      <c r="F738" s="74"/>
      <c r="G738" s="75" t="str">
        <f>IF(stdProdLT(Main[[#This Row],[Comments]])=0.1,"N/A",IF(stdProdLT(Main[[#This Row],[Comments]])=0,"",stdProdLT(Main[[#This Row],[Comments]])))</f>
        <v/>
      </c>
      <c r="H738" s="76" t="str">
        <f>IF(AND(Main[[#This Row],[In Stock Date]]&lt;&gt;"",Main[[#This Row],[Revised Due Date]]&lt;&gt;""),Main[[#This Row],[In Stock Date]]-Main[[#This Row],[Revised Due Date]],"")</f>
        <v/>
      </c>
      <c r="I738" s="72" t="s">
        <v>4</v>
      </c>
      <c r="J738" s="72" t="s">
        <v>28</v>
      </c>
      <c r="K738" s="72" t="s">
        <v>4</v>
      </c>
      <c r="L738" s="74"/>
      <c r="M738" s="77" t="str">
        <f>IF(Main[[#This Row],[Tech Start Date]]&lt;1/1/1990,"",IF(Main[[#This Row],[Class]]="C",WORKDAY(Main[[#This Row],[Tech Start Date]],9),IF(Main[[#This Row],[Class]]="B", WORKDAY(Main[[#This Row],[Tech Start Date]],6),IF(Main[[#This Row],[Class]]="A",WORKDAY(Main[[#This Row],[Tech Start Date]],2),""))))</f>
        <v/>
      </c>
      <c r="N738" s="77" t="str">
        <f>IF(Main[[#This Row],[Tech Start Date]]&lt;1/1/1990,"",IF(Main[[#This Row],[Class]]="C",WORKDAY(Main[[#This Row],[Tech Start Date]],19),IF(Main[[#This Row],[Class]]="B", WORKDAY(Main[[#This Row],[Tech Start Date]],12),IF(Main[[#This Row],[Class]]="A",WORKDAY(Main[[#This Row],[Tech Start Date]],4),""))))</f>
        <v/>
      </c>
      <c r="O738" s="77" t="str">
        <f>IF(Main[[#This Row],[Tech Start Date]]&lt;1/1/1990,"",IF(Main[[#This Row],[Class]]="C",WORKDAY(Main[[#This Row],[Tech Start Date]],23),IF(Main[[#This Row],[Class]]="B", WORKDAY(Main[[#This Row],[Tech Start Date]],15),IF(Main[[#This Row],[Class]]="A",WORKDAY(Main[[#This Row],[Tech Start Date]],5),""))))</f>
        <v/>
      </c>
      <c r="P738" s="77" t="str">
        <f>IF(Main[[#This Row],[Tech Start Date]]&lt;1/1/1990,"",IF(Main[[#This Row],[Class]]="C",WORKDAY(Main[[#This Row],[Tech Start Date]],28),IF(Main[[#This Row],[Class]]="B", WORKDAY(Main[[#This Row],[Tech Start Date]],19),IF(Main[[#This Row],[Class]]="A",WORKDAY(Main[[#This Row],[Tech Start Date]],9),""))))</f>
        <v/>
      </c>
      <c r="Q738" s="74"/>
      <c r="R738" s="74"/>
      <c r="S738" s="72" t="s">
        <v>6</v>
      </c>
      <c r="T738" s="80" t="s">
        <v>660</v>
      </c>
      <c r="U738" s="72" t="s">
        <v>14</v>
      </c>
      <c r="V738" s="72" t="s">
        <v>1918</v>
      </c>
      <c r="W738" s="72" t="s">
        <v>1919</v>
      </c>
      <c r="X738" s="72" t="s">
        <v>2867</v>
      </c>
      <c r="Y738" s="72" t="s">
        <v>3011</v>
      </c>
      <c r="Z738" s="72" t="s">
        <v>108</v>
      </c>
      <c r="AA738" s="146" t="s">
        <v>2867</v>
      </c>
    </row>
    <row r="739" spans="1:27" ht="18.600000000000001" customHeight="1">
      <c r="A739" s="139" t="str">
        <f>IF(priority(Main[[#This Row],[Comments]])&lt;&gt;0, priority(Main[[#This Row],[Comments]]),"")</f>
        <v/>
      </c>
      <c r="B739" s="89" t="s">
        <v>1177</v>
      </c>
      <c r="C739" s="72" t="s">
        <v>4</v>
      </c>
      <c r="D739" s="73" t="s">
        <v>1002</v>
      </c>
      <c r="E739" s="74">
        <v>40718.691643518519</v>
      </c>
      <c r="F739" s="74"/>
      <c r="G739" s="75" t="str">
        <f>IF(stdProdLT(Main[[#This Row],[Comments]])=0.1,"N/A",IF(stdProdLT(Main[[#This Row],[Comments]])=0,"",stdProdLT(Main[[#This Row],[Comments]])))</f>
        <v/>
      </c>
      <c r="H739" s="76" t="str">
        <f>IF(AND(Main[[#This Row],[In Stock Date]]&lt;&gt;"",Main[[#This Row],[Revised Due Date]]&lt;&gt;""),Main[[#This Row],[In Stock Date]]-Main[[#This Row],[Revised Due Date]],"")</f>
        <v/>
      </c>
      <c r="I739" s="72" t="s">
        <v>130</v>
      </c>
      <c r="J739" s="72" t="s">
        <v>70</v>
      </c>
      <c r="K739" s="72" t="s">
        <v>1926</v>
      </c>
      <c r="L739" s="74"/>
      <c r="M739" s="77" t="str">
        <f>IF(Main[[#This Row],[Tech Start Date]]&lt;1/1/1990,"",IF(Main[[#This Row],[Class]]="C",WORKDAY(Main[[#This Row],[Tech Start Date]],9),IF(Main[[#This Row],[Class]]="B", WORKDAY(Main[[#This Row],[Tech Start Date]],6),IF(Main[[#This Row],[Class]]="A",WORKDAY(Main[[#This Row],[Tech Start Date]],2),""))))</f>
        <v/>
      </c>
      <c r="N739" s="77" t="str">
        <f>IF(Main[[#This Row],[Tech Start Date]]&lt;1/1/1990,"",IF(Main[[#This Row],[Class]]="C",WORKDAY(Main[[#This Row],[Tech Start Date]],19),IF(Main[[#This Row],[Class]]="B", WORKDAY(Main[[#This Row],[Tech Start Date]],12),IF(Main[[#This Row],[Class]]="A",WORKDAY(Main[[#This Row],[Tech Start Date]],4),""))))</f>
        <v/>
      </c>
      <c r="O739" s="77" t="str">
        <f>IF(Main[[#This Row],[Tech Start Date]]&lt;1/1/1990,"",IF(Main[[#This Row],[Class]]="C",WORKDAY(Main[[#This Row],[Tech Start Date]],23),IF(Main[[#This Row],[Class]]="B", WORKDAY(Main[[#This Row],[Tech Start Date]],15),IF(Main[[#This Row],[Class]]="A",WORKDAY(Main[[#This Row],[Tech Start Date]],5),""))))</f>
        <v/>
      </c>
      <c r="P739" s="77" t="str">
        <f>IF(Main[[#This Row],[Tech Start Date]]&lt;1/1/1990,"",IF(Main[[#This Row],[Class]]="C",WORKDAY(Main[[#This Row],[Tech Start Date]],28),IF(Main[[#This Row],[Class]]="B", WORKDAY(Main[[#This Row],[Tech Start Date]],19),IF(Main[[#This Row],[Class]]="A",WORKDAY(Main[[#This Row],[Tech Start Date]],9),""))))</f>
        <v/>
      </c>
      <c r="Q739" s="74">
        <v>40753</v>
      </c>
      <c r="R739" s="74"/>
      <c r="S739" s="72" t="s">
        <v>6</v>
      </c>
      <c r="T739" s="80" t="s">
        <v>4</v>
      </c>
      <c r="U739" s="72" t="s">
        <v>29</v>
      </c>
      <c r="V739" s="72" t="s">
        <v>1920</v>
      </c>
      <c r="W739" s="72" t="s">
        <v>1921</v>
      </c>
      <c r="X739" s="72" t="s">
        <v>2825</v>
      </c>
      <c r="Y739" s="72" t="s">
        <v>2938</v>
      </c>
      <c r="Z739" s="72" t="s">
        <v>44</v>
      </c>
      <c r="AA739" s="146" t="s">
        <v>2825</v>
      </c>
    </row>
    <row r="740" spans="1:27" ht="18.600000000000001" customHeight="1">
      <c r="A740" s="139" t="str">
        <f>IF(priority(Main[[#This Row],[Comments]])&lt;&gt;0, priority(Main[[#This Row],[Comments]]),"")</f>
        <v/>
      </c>
      <c r="B740" s="89" t="s">
        <v>1557</v>
      </c>
      <c r="C740" s="72" t="s">
        <v>211</v>
      </c>
      <c r="D740" s="73" t="s">
        <v>413</v>
      </c>
      <c r="E740" s="74"/>
      <c r="F740" s="74">
        <v>40452</v>
      </c>
      <c r="G740" s="75" t="str">
        <f>IF(stdProdLT(Main[[#This Row],[Comments]])=0.1,"N/A",IF(stdProdLT(Main[[#This Row],[Comments]])=0,"",stdProdLT(Main[[#This Row],[Comments]])))</f>
        <v/>
      </c>
      <c r="H740" s="76" t="str">
        <f>IF(AND(Main[[#This Row],[In Stock Date]]&lt;&gt;"",Main[[#This Row],[Revised Due Date]]&lt;&gt;""),Main[[#This Row],[In Stock Date]]-Main[[#This Row],[Revised Due Date]],"")</f>
        <v/>
      </c>
      <c r="I740" s="72" t="s">
        <v>4</v>
      </c>
      <c r="J740" s="72" t="s">
        <v>4</v>
      </c>
      <c r="K740" s="72" t="s">
        <v>4</v>
      </c>
      <c r="L740" s="74"/>
      <c r="M740" s="77" t="str">
        <f>IF(Main[[#This Row],[Tech Start Date]]&lt;1/1/1990,"",IF(Main[[#This Row],[Class]]="C",WORKDAY(Main[[#This Row],[Tech Start Date]],9),IF(Main[[#This Row],[Class]]="B", WORKDAY(Main[[#This Row],[Tech Start Date]],6),IF(Main[[#This Row],[Class]]="A",WORKDAY(Main[[#This Row],[Tech Start Date]],2),""))))</f>
        <v/>
      </c>
      <c r="N740" s="77" t="str">
        <f>IF(Main[[#This Row],[Tech Start Date]]&lt;1/1/1990,"",IF(Main[[#This Row],[Class]]="C",WORKDAY(Main[[#This Row],[Tech Start Date]],19),IF(Main[[#This Row],[Class]]="B", WORKDAY(Main[[#This Row],[Tech Start Date]],12),IF(Main[[#This Row],[Class]]="A",WORKDAY(Main[[#This Row],[Tech Start Date]],4),""))))</f>
        <v/>
      </c>
      <c r="O740" s="77" t="str">
        <f>IF(Main[[#This Row],[Tech Start Date]]&lt;1/1/1990,"",IF(Main[[#This Row],[Class]]="C",WORKDAY(Main[[#This Row],[Tech Start Date]],23),IF(Main[[#This Row],[Class]]="B", WORKDAY(Main[[#This Row],[Tech Start Date]],15),IF(Main[[#This Row],[Class]]="A",WORKDAY(Main[[#This Row],[Tech Start Date]],5),""))))</f>
        <v/>
      </c>
      <c r="P740" s="77" t="str">
        <f>IF(Main[[#This Row],[Tech Start Date]]&lt;1/1/1990,"",IF(Main[[#This Row],[Class]]="C",WORKDAY(Main[[#This Row],[Tech Start Date]],28),IF(Main[[#This Row],[Class]]="B", WORKDAY(Main[[#This Row],[Tech Start Date]],19),IF(Main[[#This Row],[Class]]="A",WORKDAY(Main[[#This Row],[Tech Start Date]],9),""))))</f>
        <v/>
      </c>
      <c r="Q740" s="74">
        <v>40357</v>
      </c>
      <c r="R740" s="74"/>
      <c r="S740" s="72" t="s">
        <v>11</v>
      </c>
      <c r="T740" s="80" t="s">
        <v>4</v>
      </c>
      <c r="U740" s="72" t="s">
        <v>12</v>
      </c>
      <c r="V740" s="72" t="s">
        <v>1917</v>
      </c>
      <c r="W740" s="72" t="s">
        <v>1925</v>
      </c>
      <c r="X740" s="72" t="s">
        <v>2839</v>
      </c>
      <c r="Y740" s="72" t="s">
        <v>4</v>
      </c>
      <c r="Z740" s="72" t="s">
        <v>4</v>
      </c>
      <c r="AA740" s="146" t="s">
        <v>2839</v>
      </c>
    </row>
    <row r="741" spans="1:27" ht="18.600000000000001" customHeight="1">
      <c r="A741" s="139" t="str">
        <f>IF(priority(Main[[#This Row],[Comments]])&lt;&gt;0, priority(Main[[#This Row],[Comments]]),"")</f>
        <v/>
      </c>
      <c r="B741" s="89" t="s">
        <v>1989</v>
      </c>
      <c r="C741" s="72" t="s">
        <v>4</v>
      </c>
      <c r="D741" s="73" t="s">
        <v>2384</v>
      </c>
      <c r="E741" s="74"/>
      <c r="F741" s="74"/>
      <c r="G741" s="75" t="str">
        <f>IF(stdProdLT(Main[[#This Row],[Comments]])=0.1,"N/A",IF(stdProdLT(Main[[#This Row],[Comments]])=0,"",stdProdLT(Main[[#This Row],[Comments]])))</f>
        <v/>
      </c>
      <c r="H741" s="76" t="str">
        <f>IF(AND(Main[[#This Row],[In Stock Date]]&lt;&gt;"",Main[[#This Row],[Revised Due Date]]&lt;&gt;""),Main[[#This Row],[In Stock Date]]-Main[[#This Row],[Revised Due Date]],"")</f>
        <v/>
      </c>
      <c r="I741" s="72" t="s">
        <v>4</v>
      </c>
      <c r="J741" s="72" t="s">
        <v>4</v>
      </c>
      <c r="K741" s="72" t="s">
        <v>4</v>
      </c>
      <c r="L741" s="74"/>
      <c r="M741" s="77" t="str">
        <f>IF(Main[[#This Row],[Tech Start Date]]&lt;1/1/1990,"",IF(Main[[#This Row],[Class]]="C",WORKDAY(Main[[#This Row],[Tech Start Date]],9),IF(Main[[#This Row],[Class]]="B", WORKDAY(Main[[#This Row],[Tech Start Date]],6),IF(Main[[#This Row],[Class]]="A",WORKDAY(Main[[#This Row],[Tech Start Date]],2),""))))</f>
        <v/>
      </c>
      <c r="N741" s="77" t="str">
        <f>IF(Main[[#This Row],[Tech Start Date]]&lt;1/1/1990,"",IF(Main[[#This Row],[Class]]="C",WORKDAY(Main[[#This Row],[Tech Start Date]],19),IF(Main[[#This Row],[Class]]="B", WORKDAY(Main[[#This Row],[Tech Start Date]],12),IF(Main[[#This Row],[Class]]="A",WORKDAY(Main[[#This Row],[Tech Start Date]],4),""))))</f>
        <v/>
      </c>
      <c r="O741" s="77" t="str">
        <f>IF(Main[[#This Row],[Tech Start Date]]&lt;1/1/1990,"",IF(Main[[#This Row],[Class]]="C",WORKDAY(Main[[#This Row],[Tech Start Date]],23),IF(Main[[#This Row],[Class]]="B", WORKDAY(Main[[#This Row],[Tech Start Date]],15),IF(Main[[#This Row],[Class]]="A",WORKDAY(Main[[#This Row],[Tech Start Date]],5),""))))</f>
        <v/>
      </c>
      <c r="P741" s="77" t="str">
        <f>IF(Main[[#This Row],[Tech Start Date]]&lt;1/1/1990,"",IF(Main[[#This Row],[Class]]="C",WORKDAY(Main[[#This Row],[Tech Start Date]],28),IF(Main[[#This Row],[Class]]="B", WORKDAY(Main[[#This Row],[Tech Start Date]],19),IF(Main[[#This Row],[Class]]="A",WORKDAY(Main[[#This Row],[Tech Start Date]],9),""))))</f>
        <v/>
      </c>
      <c r="Q741" s="74"/>
      <c r="R741" s="74"/>
      <c r="S741" s="72" t="s">
        <v>6</v>
      </c>
      <c r="T741" s="80" t="s">
        <v>4</v>
      </c>
      <c r="U741" s="72" t="s">
        <v>14</v>
      </c>
      <c r="V741" s="72" t="s">
        <v>1917</v>
      </c>
      <c r="W741" s="72" t="s">
        <v>1921</v>
      </c>
      <c r="X741" s="72" t="s">
        <v>924</v>
      </c>
      <c r="Y741" s="72" t="s">
        <v>2988</v>
      </c>
      <c r="Z741" s="72" t="s">
        <v>4</v>
      </c>
      <c r="AA741" s="146" t="s">
        <v>924</v>
      </c>
    </row>
    <row r="742" spans="1:27" ht="18.600000000000001" customHeight="1">
      <c r="A742" s="139" t="str">
        <f>IF(priority(Main[[#This Row],[Comments]])&lt;&gt;0, priority(Main[[#This Row],[Comments]]),"")</f>
        <v/>
      </c>
      <c r="B742" s="89" t="s">
        <v>1558</v>
      </c>
      <c r="C742" s="72" t="s">
        <v>4</v>
      </c>
      <c r="D742" s="73" t="s">
        <v>637</v>
      </c>
      <c r="E742" s="74">
        <v>40413.550520833334</v>
      </c>
      <c r="F742" s="74"/>
      <c r="G742" s="75" t="str">
        <f>IF(stdProdLT(Main[[#This Row],[Comments]])=0.1,"N/A",IF(stdProdLT(Main[[#This Row],[Comments]])=0,"",stdProdLT(Main[[#This Row],[Comments]])))</f>
        <v/>
      </c>
      <c r="H742" s="76" t="str">
        <f>IF(AND(Main[[#This Row],[In Stock Date]]&lt;&gt;"",Main[[#This Row],[Revised Due Date]]&lt;&gt;""),Main[[#This Row],[In Stock Date]]-Main[[#This Row],[Revised Due Date]],"")</f>
        <v/>
      </c>
      <c r="I742" s="72" t="s">
        <v>4</v>
      </c>
      <c r="J742" s="72" t="s">
        <v>28</v>
      </c>
      <c r="K742" s="72" t="s">
        <v>4</v>
      </c>
      <c r="L742" s="74"/>
      <c r="M742" s="77" t="str">
        <f>IF(Main[[#This Row],[Tech Start Date]]&lt;1/1/1990,"",IF(Main[[#This Row],[Class]]="C",WORKDAY(Main[[#This Row],[Tech Start Date]],9),IF(Main[[#This Row],[Class]]="B", WORKDAY(Main[[#This Row],[Tech Start Date]],6),IF(Main[[#This Row],[Class]]="A",WORKDAY(Main[[#This Row],[Tech Start Date]],2),""))))</f>
        <v/>
      </c>
      <c r="N742" s="77" t="str">
        <f>IF(Main[[#This Row],[Tech Start Date]]&lt;1/1/1990,"",IF(Main[[#This Row],[Class]]="C",WORKDAY(Main[[#This Row],[Tech Start Date]],19),IF(Main[[#This Row],[Class]]="B", WORKDAY(Main[[#This Row],[Tech Start Date]],12),IF(Main[[#This Row],[Class]]="A",WORKDAY(Main[[#This Row],[Tech Start Date]],4),""))))</f>
        <v/>
      </c>
      <c r="O742" s="77" t="str">
        <f>IF(Main[[#This Row],[Tech Start Date]]&lt;1/1/1990,"",IF(Main[[#This Row],[Class]]="C",WORKDAY(Main[[#This Row],[Tech Start Date]],23),IF(Main[[#This Row],[Class]]="B", WORKDAY(Main[[#This Row],[Tech Start Date]],15),IF(Main[[#This Row],[Class]]="A",WORKDAY(Main[[#This Row],[Tech Start Date]],5),""))))</f>
        <v/>
      </c>
      <c r="P742" s="77" t="str">
        <f>IF(Main[[#This Row],[Tech Start Date]]&lt;1/1/1990,"",IF(Main[[#This Row],[Class]]="C",WORKDAY(Main[[#This Row],[Tech Start Date]],28),IF(Main[[#This Row],[Class]]="B", WORKDAY(Main[[#This Row],[Tech Start Date]],19),IF(Main[[#This Row],[Class]]="A",WORKDAY(Main[[#This Row],[Tech Start Date]],9),""))))</f>
        <v/>
      </c>
      <c r="Q742" s="74">
        <v>40451</v>
      </c>
      <c r="R742" s="74"/>
      <c r="S742" s="72" t="s">
        <v>6</v>
      </c>
      <c r="T742" s="80" t="s">
        <v>4</v>
      </c>
      <c r="U742" s="72" t="s">
        <v>7</v>
      </c>
      <c r="V742" s="72" t="s">
        <v>1917</v>
      </c>
      <c r="W742" s="72" t="s">
        <v>1919</v>
      </c>
      <c r="X742" s="72" t="s">
        <v>2893</v>
      </c>
      <c r="Y742" s="72" t="s">
        <v>3049</v>
      </c>
      <c r="Z742" s="72" t="s">
        <v>129</v>
      </c>
      <c r="AA742" s="146" t="s">
        <v>2893</v>
      </c>
    </row>
    <row r="743" spans="1:27" ht="18.600000000000001" customHeight="1">
      <c r="A743" s="139" t="str">
        <f>IF(priority(Main[[#This Row],[Comments]])&lt;&gt;0, priority(Main[[#This Row],[Comments]]),"")</f>
        <v/>
      </c>
      <c r="B743" s="89" t="s">
        <v>1345</v>
      </c>
      <c r="C743" s="72" t="s">
        <v>4</v>
      </c>
      <c r="D743" s="73" t="s">
        <v>2020</v>
      </c>
      <c r="E743" s="74"/>
      <c r="F743" s="74"/>
      <c r="G743" s="75" t="str">
        <f>IF(stdProdLT(Main[[#This Row],[Comments]])=0.1,"N/A",IF(stdProdLT(Main[[#This Row],[Comments]])=0,"",stdProdLT(Main[[#This Row],[Comments]])))</f>
        <v/>
      </c>
      <c r="H743" s="76" t="str">
        <f>IF(AND(Main[[#This Row],[In Stock Date]]&lt;&gt;"",Main[[#This Row],[Revised Due Date]]&lt;&gt;""),Main[[#This Row],[In Stock Date]]-Main[[#This Row],[Revised Due Date]],"")</f>
        <v/>
      </c>
      <c r="I743" s="72" t="s">
        <v>429</v>
      </c>
      <c r="J743" s="72" t="s">
        <v>70</v>
      </c>
      <c r="K743" s="72" t="s">
        <v>1926</v>
      </c>
      <c r="L743" s="74"/>
      <c r="M743" s="77" t="str">
        <f>IF(Main[[#This Row],[Tech Start Date]]&lt;1/1/1990,"",IF(Main[[#This Row],[Class]]="C",WORKDAY(Main[[#This Row],[Tech Start Date]],9),IF(Main[[#This Row],[Class]]="B", WORKDAY(Main[[#This Row],[Tech Start Date]],6),IF(Main[[#This Row],[Class]]="A",WORKDAY(Main[[#This Row],[Tech Start Date]],2),""))))</f>
        <v/>
      </c>
      <c r="N743" s="77" t="str">
        <f>IF(Main[[#This Row],[Tech Start Date]]&lt;1/1/1990,"",IF(Main[[#This Row],[Class]]="C",WORKDAY(Main[[#This Row],[Tech Start Date]],19),IF(Main[[#This Row],[Class]]="B", WORKDAY(Main[[#This Row],[Tech Start Date]],12),IF(Main[[#This Row],[Class]]="A",WORKDAY(Main[[#This Row],[Tech Start Date]],4),""))))</f>
        <v/>
      </c>
      <c r="O743" s="77" t="str">
        <f>IF(Main[[#This Row],[Tech Start Date]]&lt;1/1/1990,"",IF(Main[[#This Row],[Class]]="C",WORKDAY(Main[[#This Row],[Tech Start Date]],23),IF(Main[[#This Row],[Class]]="B", WORKDAY(Main[[#This Row],[Tech Start Date]],15),IF(Main[[#This Row],[Class]]="A",WORKDAY(Main[[#This Row],[Tech Start Date]],5),""))))</f>
        <v/>
      </c>
      <c r="P743" s="77" t="str">
        <f>IF(Main[[#This Row],[Tech Start Date]]&lt;1/1/1990,"",IF(Main[[#This Row],[Class]]="C",WORKDAY(Main[[#This Row],[Tech Start Date]],28),IF(Main[[#This Row],[Class]]="B", WORKDAY(Main[[#This Row],[Tech Start Date]],19),IF(Main[[#This Row],[Class]]="A",WORKDAY(Main[[#This Row],[Tech Start Date]],9),""))))</f>
        <v/>
      </c>
      <c r="Q743" s="74">
        <v>40717</v>
      </c>
      <c r="R743" s="74"/>
      <c r="S743" s="72" t="s">
        <v>6</v>
      </c>
      <c r="T743" s="80" t="s">
        <v>4</v>
      </c>
      <c r="U743" s="72" t="s">
        <v>14</v>
      </c>
      <c r="V743" s="72" t="s">
        <v>1920</v>
      </c>
      <c r="W743" s="72" t="s">
        <v>1921</v>
      </c>
      <c r="X743" s="72" t="s">
        <v>2828</v>
      </c>
      <c r="Y743" s="72" t="s">
        <v>2944</v>
      </c>
      <c r="Z743" s="72" t="s">
        <v>30</v>
      </c>
      <c r="AA743" s="146" t="s">
        <v>2828</v>
      </c>
    </row>
    <row r="744" spans="1:27" ht="18.600000000000001" customHeight="1">
      <c r="A744" s="139" t="str">
        <f>IF(priority(Main[[#This Row],[Comments]])&lt;&gt;0, priority(Main[[#This Row],[Comments]]),"")</f>
        <v/>
      </c>
      <c r="B744" s="89" t="s">
        <v>1560</v>
      </c>
      <c r="C744" s="72" t="s">
        <v>180</v>
      </c>
      <c r="D744" s="73" t="s">
        <v>638</v>
      </c>
      <c r="E744" s="74"/>
      <c r="F744" s="74">
        <v>40389</v>
      </c>
      <c r="G744" s="75" t="str">
        <f>IF(stdProdLT(Main[[#This Row],[Comments]])=0.1,"N/A",IF(stdProdLT(Main[[#This Row],[Comments]])=0,"",stdProdLT(Main[[#This Row],[Comments]])))</f>
        <v/>
      </c>
      <c r="H744" s="76" t="str">
        <f>IF(AND(Main[[#This Row],[In Stock Date]]&lt;&gt;"",Main[[#This Row],[Revised Due Date]]&lt;&gt;""),Main[[#This Row],[In Stock Date]]-Main[[#This Row],[Revised Due Date]],"")</f>
        <v/>
      </c>
      <c r="I744" s="72" t="s">
        <v>4</v>
      </c>
      <c r="J744" s="72" t="s">
        <v>4</v>
      </c>
      <c r="K744" s="72" t="s">
        <v>4</v>
      </c>
      <c r="L744" s="74"/>
      <c r="M744" s="77" t="str">
        <f>IF(Main[[#This Row],[Tech Start Date]]&lt;1/1/1990,"",IF(Main[[#This Row],[Class]]="C",WORKDAY(Main[[#This Row],[Tech Start Date]],9),IF(Main[[#This Row],[Class]]="B", WORKDAY(Main[[#This Row],[Tech Start Date]],6),IF(Main[[#This Row],[Class]]="A",WORKDAY(Main[[#This Row],[Tech Start Date]],2),""))))</f>
        <v/>
      </c>
      <c r="N744" s="77" t="str">
        <f>IF(Main[[#This Row],[Tech Start Date]]&lt;1/1/1990,"",IF(Main[[#This Row],[Class]]="C",WORKDAY(Main[[#This Row],[Tech Start Date]],19),IF(Main[[#This Row],[Class]]="B", WORKDAY(Main[[#This Row],[Tech Start Date]],12),IF(Main[[#This Row],[Class]]="A",WORKDAY(Main[[#This Row],[Tech Start Date]],4),""))))</f>
        <v/>
      </c>
      <c r="O744" s="77" t="str">
        <f>IF(Main[[#This Row],[Tech Start Date]]&lt;1/1/1990,"",IF(Main[[#This Row],[Class]]="C",WORKDAY(Main[[#This Row],[Tech Start Date]],23),IF(Main[[#This Row],[Class]]="B", WORKDAY(Main[[#This Row],[Tech Start Date]],15),IF(Main[[#This Row],[Class]]="A",WORKDAY(Main[[#This Row],[Tech Start Date]],5),""))))</f>
        <v/>
      </c>
      <c r="P744" s="77" t="str">
        <f>IF(Main[[#This Row],[Tech Start Date]]&lt;1/1/1990,"",IF(Main[[#This Row],[Class]]="C",WORKDAY(Main[[#This Row],[Tech Start Date]],28),IF(Main[[#This Row],[Class]]="B", WORKDAY(Main[[#This Row],[Tech Start Date]],19),IF(Main[[#This Row],[Class]]="A",WORKDAY(Main[[#This Row],[Tech Start Date]],9),""))))</f>
        <v/>
      </c>
      <c r="Q744" s="74">
        <v>40298</v>
      </c>
      <c r="R744" s="74"/>
      <c r="S744" s="72" t="s">
        <v>11</v>
      </c>
      <c r="T744" s="80" t="s">
        <v>4</v>
      </c>
      <c r="U744" s="72" t="s">
        <v>12</v>
      </c>
      <c r="V744" s="72" t="s">
        <v>1917</v>
      </c>
      <c r="W744" s="72" t="s">
        <v>1923</v>
      </c>
      <c r="X744" s="72" t="s">
        <v>2830</v>
      </c>
      <c r="Y744" s="72" t="s">
        <v>2949</v>
      </c>
      <c r="Z744" s="72" t="s">
        <v>4</v>
      </c>
      <c r="AA744" s="146" t="s">
        <v>2830</v>
      </c>
    </row>
    <row r="745" spans="1:27" ht="18.600000000000001" customHeight="1">
      <c r="A745" s="139" t="str">
        <f>IF(priority(Main[[#This Row],[Comments]])&lt;&gt;0, priority(Main[[#This Row],[Comments]]),"")</f>
        <v/>
      </c>
      <c r="B745" s="89" t="s">
        <v>1561</v>
      </c>
      <c r="C745" s="72" t="s">
        <v>290</v>
      </c>
      <c r="D745" s="73" t="s">
        <v>639</v>
      </c>
      <c r="E745" s="74"/>
      <c r="F745" s="74"/>
      <c r="G745" s="75" t="str">
        <f>IF(stdProdLT(Main[[#This Row],[Comments]])=0.1,"N/A",IF(stdProdLT(Main[[#This Row],[Comments]])=0,"",stdProdLT(Main[[#This Row],[Comments]])))</f>
        <v/>
      </c>
      <c r="H745" s="76" t="str">
        <f>IF(AND(Main[[#This Row],[In Stock Date]]&lt;&gt;"",Main[[#This Row],[Revised Due Date]]&lt;&gt;""),Main[[#This Row],[In Stock Date]]-Main[[#This Row],[Revised Due Date]],"")</f>
        <v/>
      </c>
      <c r="I745" s="72" t="s">
        <v>4</v>
      </c>
      <c r="J745" s="72" t="s">
        <v>4</v>
      </c>
      <c r="K745" s="81" t="s">
        <v>4</v>
      </c>
      <c r="L745" s="74"/>
      <c r="M745" s="77" t="str">
        <f>IF(Main[[#This Row],[Tech Start Date]]&lt;1/1/1990,"",IF(Main[[#This Row],[Class]]="C",WORKDAY(Main[[#This Row],[Tech Start Date]],9),IF(Main[[#This Row],[Class]]="B", WORKDAY(Main[[#This Row],[Tech Start Date]],6),IF(Main[[#This Row],[Class]]="A",WORKDAY(Main[[#This Row],[Tech Start Date]],2),""))))</f>
        <v/>
      </c>
      <c r="N745" s="77" t="str">
        <f>IF(Main[[#This Row],[Tech Start Date]]&lt;1/1/1990,"",IF(Main[[#This Row],[Class]]="C",WORKDAY(Main[[#This Row],[Tech Start Date]],19),IF(Main[[#This Row],[Class]]="B", WORKDAY(Main[[#This Row],[Tech Start Date]],12),IF(Main[[#This Row],[Class]]="A",WORKDAY(Main[[#This Row],[Tech Start Date]],4),""))))</f>
        <v/>
      </c>
      <c r="O745" s="77" t="str">
        <f>IF(Main[[#This Row],[Tech Start Date]]&lt;1/1/1990,"",IF(Main[[#This Row],[Class]]="C",WORKDAY(Main[[#This Row],[Tech Start Date]],23),IF(Main[[#This Row],[Class]]="B", WORKDAY(Main[[#This Row],[Tech Start Date]],15),IF(Main[[#This Row],[Class]]="A",WORKDAY(Main[[#This Row],[Tech Start Date]],5),""))))</f>
        <v/>
      </c>
      <c r="P745" s="77" t="str">
        <f>IF(Main[[#This Row],[Tech Start Date]]&lt;1/1/1990,"",IF(Main[[#This Row],[Class]]="C",WORKDAY(Main[[#This Row],[Tech Start Date]],28),IF(Main[[#This Row],[Class]]="B", WORKDAY(Main[[#This Row],[Tech Start Date]],19),IF(Main[[#This Row],[Class]]="A",WORKDAY(Main[[#This Row],[Tech Start Date]],9),""))))</f>
        <v/>
      </c>
      <c r="Q745" s="74">
        <v>40052</v>
      </c>
      <c r="R745" s="74"/>
      <c r="S745" s="72" t="s">
        <v>11</v>
      </c>
      <c r="T745" s="80" t="s">
        <v>4</v>
      </c>
      <c r="U745" s="72" t="s">
        <v>14</v>
      </c>
      <c r="V745" s="72" t="s">
        <v>1920</v>
      </c>
      <c r="W745" s="72" t="s">
        <v>1919</v>
      </c>
      <c r="X745" s="72" t="s">
        <v>2840</v>
      </c>
      <c r="Y745" s="72" t="s">
        <v>4</v>
      </c>
      <c r="Z745" s="72" t="s">
        <v>4</v>
      </c>
      <c r="AA745" s="146" t="s">
        <v>2840</v>
      </c>
    </row>
    <row r="746" spans="1:27" ht="18.600000000000001" customHeight="1">
      <c r="A746" s="139" t="str">
        <f>IF(priority(Main[[#This Row],[Comments]])&lt;&gt;0, priority(Main[[#This Row],[Comments]]),"")</f>
        <v/>
      </c>
      <c r="B746" s="89" t="s">
        <v>1723</v>
      </c>
      <c r="C746" s="72" t="s">
        <v>4</v>
      </c>
      <c r="D746" s="73" t="s">
        <v>777</v>
      </c>
      <c r="E746" s="74"/>
      <c r="F746" s="74"/>
      <c r="G746" s="75" t="str">
        <f>IF(stdProdLT(Main[[#This Row],[Comments]])=0.1,"N/A",IF(stdProdLT(Main[[#This Row],[Comments]])=0,"",stdProdLT(Main[[#This Row],[Comments]])))</f>
        <v/>
      </c>
      <c r="H746" s="76" t="str">
        <f>IF(AND(Main[[#This Row],[In Stock Date]]&lt;&gt;"",Main[[#This Row],[Revised Due Date]]&lt;&gt;""),Main[[#This Row],[In Stock Date]]-Main[[#This Row],[Revised Due Date]],"")</f>
        <v/>
      </c>
      <c r="I746" s="72" t="s">
        <v>4</v>
      </c>
      <c r="J746" s="72" t="s">
        <v>4</v>
      </c>
      <c r="K746" s="72" t="s">
        <v>4</v>
      </c>
      <c r="L746" s="74"/>
      <c r="M746" s="77" t="str">
        <f>IF(Main[[#This Row],[Tech Start Date]]&lt;1/1/1990,"",IF(Main[[#This Row],[Class]]="C",WORKDAY(Main[[#This Row],[Tech Start Date]],9),IF(Main[[#This Row],[Class]]="B", WORKDAY(Main[[#This Row],[Tech Start Date]],6),IF(Main[[#This Row],[Class]]="A",WORKDAY(Main[[#This Row],[Tech Start Date]],2),""))))</f>
        <v/>
      </c>
      <c r="N746" s="77" t="str">
        <f>IF(Main[[#This Row],[Tech Start Date]]&lt;1/1/1990,"",IF(Main[[#This Row],[Class]]="C",WORKDAY(Main[[#This Row],[Tech Start Date]],19),IF(Main[[#This Row],[Class]]="B", WORKDAY(Main[[#This Row],[Tech Start Date]],12),IF(Main[[#This Row],[Class]]="A",WORKDAY(Main[[#This Row],[Tech Start Date]],4),""))))</f>
        <v/>
      </c>
      <c r="O746" s="77" t="str">
        <f>IF(Main[[#This Row],[Tech Start Date]]&lt;1/1/1990,"",IF(Main[[#This Row],[Class]]="C",WORKDAY(Main[[#This Row],[Tech Start Date]],23),IF(Main[[#This Row],[Class]]="B", WORKDAY(Main[[#This Row],[Tech Start Date]],15),IF(Main[[#This Row],[Class]]="A",WORKDAY(Main[[#This Row],[Tech Start Date]],5),""))))</f>
        <v/>
      </c>
      <c r="P746" s="77" t="str">
        <f>IF(Main[[#This Row],[Tech Start Date]]&lt;1/1/1990,"",IF(Main[[#This Row],[Class]]="C",WORKDAY(Main[[#This Row],[Tech Start Date]],28),IF(Main[[#This Row],[Class]]="B", WORKDAY(Main[[#This Row],[Tech Start Date]],19),IF(Main[[#This Row],[Class]]="A",WORKDAY(Main[[#This Row],[Tech Start Date]],9),""))))</f>
        <v/>
      </c>
      <c r="Q746" s="74"/>
      <c r="R746" s="74"/>
      <c r="S746" s="72" t="s">
        <v>4</v>
      </c>
      <c r="T746" s="80" t="s">
        <v>4</v>
      </c>
      <c r="U746" s="72" t="s">
        <v>14</v>
      </c>
      <c r="V746" s="72" t="s">
        <v>1920</v>
      </c>
      <c r="W746" s="72" t="s">
        <v>4</v>
      </c>
      <c r="X746" s="72" t="s">
        <v>50</v>
      </c>
      <c r="Y746" s="72" t="s">
        <v>4</v>
      </c>
      <c r="Z746" s="72" t="s">
        <v>4</v>
      </c>
      <c r="AA746" s="146" t="s">
        <v>4</v>
      </c>
    </row>
    <row r="747" spans="1:27" ht="18.600000000000001" customHeight="1">
      <c r="A747" s="139" t="str">
        <f>IF(priority(Main[[#This Row],[Comments]])&lt;&gt;0, priority(Main[[#This Row],[Comments]]),"")</f>
        <v/>
      </c>
      <c r="B747" s="89" t="s">
        <v>1568</v>
      </c>
      <c r="C747" s="72" t="s">
        <v>72</v>
      </c>
      <c r="D747" s="73" t="s">
        <v>647</v>
      </c>
      <c r="E747" s="74"/>
      <c r="F747" s="74"/>
      <c r="G747" s="75" t="str">
        <f>IF(stdProdLT(Main[[#This Row],[Comments]])=0.1,"N/A",IF(stdProdLT(Main[[#This Row],[Comments]])=0,"",stdProdLT(Main[[#This Row],[Comments]])))</f>
        <v/>
      </c>
      <c r="H747" s="76" t="str">
        <f>IF(AND(Main[[#This Row],[In Stock Date]]&lt;&gt;"",Main[[#This Row],[Revised Due Date]]&lt;&gt;""),Main[[#This Row],[In Stock Date]]-Main[[#This Row],[Revised Due Date]],"")</f>
        <v/>
      </c>
      <c r="I747" s="72" t="s">
        <v>4</v>
      </c>
      <c r="J747" s="72" t="s">
        <v>4</v>
      </c>
      <c r="K747" s="72" t="s">
        <v>4</v>
      </c>
      <c r="L747" s="74"/>
      <c r="M747" s="77" t="str">
        <f>IF(Main[[#This Row],[Tech Start Date]]&lt;1/1/1990,"",IF(Main[[#This Row],[Class]]="C",WORKDAY(Main[[#This Row],[Tech Start Date]],9),IF(Main[[#This Row],[Class]]="B", WORKDAY(Main[[#This Row],[Tech Start Date]],6),IF(Main[[#This Row],[Class]]="A",WORKDAY(Main[[#This Row],[Tech Start Date]],2),""))))</f>
        <v/>
      </c>
      <c r="N747" s="77" t="str">
        <f>IF(Main[[#This Row],[Tech Start Date]]&lt;1/1/1990,"",IF(Main[[#This Row],[Class]]="C",WORKDAY(Main[[#This Row],[Tech Start Date]],19),IF(Main[[#This Row],[Class]]="B", WORKDAY(Main[[#This Row],[Tech Start Date]],12),IF(Main[[#This Row],[Class]]="A",WORKDAY(Main[[#This Row],[Tech Start Date]],4),""))))</f>
        <v/>
      </c>
      <c r="O747" s="77" t="str">
        <f>IF(Main[[#This Row],[Tech Start Date]]&lt;1/1/1990,"",IF(Main[[#This Row],[Class]]="C",WORKDAY(Main[[#This Row],[Tech Start Date]],23),IF(Main[[#This Row],[Class]]="B", WORKDAY(Main[[#This Row],[Tech Start Date]],15),IF(Main[[#This Row],[Class]]="A",WORKDAY(Main[[#This Row],[Tech Start Date]],5),""))))</f>
        <v/>
      </c>
      <c r="P747" s="77" t="str">
        <f>IF(Main[[#This Row],[Tech Start Date]]&lt;1/1/1990,"",IF(Main[[#This Row],[Class]]="C",WORKDAY(Main[[#This Row],[Tech Start Date]],28),IF(Main[[#This Row],[Class]]="B", WORKDAY(Main[[#This Row],[Tech Start Date]],19),IF(Main[[#This Row],[Class]]="A",WORKDAY(Main[[#This Row],[Tech Start Date]],9),""))))</f>
        <v/>
      </c>
      <c r="Q747" s="74"/>
      <c r="R747" s="74"/>
      <c r="S747" s="72" t="s">
        <v>49</v>
      </c>
      <c r="T747" s="80" t="s">
        <v>4</v>
      </c>
      <c r="U747" s="72" t="s">
        <v>12</v>
      </c>
      <c r="V747" s="72" t="s">
        <v>1918</v>
      </c>
      <c r="W747" s="72" t="s">
        <v>1919</v>
      </c>
      <c r="X747" s="72" t="s">
        <v>2907</v>
      </c>
      <c r="Y747" s="72" t="s">
        <v>3085</v>
      </c>
      <c r="Z747" s="72" t="s">
        <v>4</v>
      </c>
      <c r="AA747" s="146" t="s">
        <v>2907</v>
      </c>
    </row>
    <row r="748" spans="1:27" ht="18.600000000000001" customHeight="1">
      <c r="A748" s="139" t="str">
        <f>IF(priority(Main[[#This Row],[Comments]])&lt;&gt;0, priority(Main[[#This Row],[Comments]]),"")</f>
        <v/>
      </c>
      <c r="B748" s="89" t="s">
        <v>1569</v>
      </c>
      <c r="C748" s="72" t="s">
        <v>72</v>
      </c>
      <c r="D748" s="73" t="s">
        <v>648</v>
      </c>
      <c r="E748" s="74"/>
      <c r="F748" s="74">
        <v>40313</v>
      </c>
      <c r="G748" s="75" t="str">
        <f>IF(stdProdLT(Main[[#This Row],[Comments]])=0.1,"N/A",IF(stdProdLT(Main[[#This Row],[Comments]])=0,"",stdProdLT(Main[[#This Row],[Comments]])))</f>
        <v/>
      </c>
      <c r="H748" s="76" t="str">
        <f>IF(AND(Main[[#This Row],[In Stock Date]]&lt;&gt;"",Main[[#This Row],[Revised Due Date]]&lt;&gt;""),Main[[#This Row],[In Stock Date]]-Main[[#This Row],[Revised Due Date]],"")</f>
        <v/>
      </c>
      <c r="I748" s="72" t="s">
        <v>4</v>
      </c>
      <c r="J748" s="72" t="s">
        <v>4</v>
      </c>
      <c r="K748" s="72" t="s">
        <v>4</v>
      </c>
      <c r="L748" s="74"/>
      <c r="M748" s="77" t="str">
        <f>IF(Main[[#This Row],[Tech Start Date]]&lt;1/1/1990,"",IF(Main[[#This Row],[Class]]="C",WORKDAY(Main[[#This Row],[Tech Start Date]],9),IF(Main[[#This Row],[Class]]="B", WORKDAY(Main[[#This Row],[Tech Start Date]],6),IF(Main[[#This Row],[Class]]="A",WORKDAY(Main[[#This Row],[Tech Start Date]],2),""))))</f>
        <v/>
      </c>
      <c r="N748" s="77" t="str">
        <f>IF(Main[[#This Row],[Tech Start Date]]&lt;1/1/1990,"",IF(Main[[#This Row],[Class]]="C",WORKDAY(Main[[#This Row],[Tech Start Date]],19),IF(Main[[#This Row],[Class]]="B", WORKDAY(Main[[#This Row],[Tech Start Date]],12),IF(Main[[#This Row],[Class]]="A",WORKDAY(Main[[#This Row],[Tech Start Date]],4),""))))</f>
        <v/>
      </c>
      <c r="O748" s="77" t="str">
        <f>IF(Main[[#This Row],[Tech Start Date]]&lt;1/1/1990,"",IF(Main[[#This Row],[Class]]="C",WORKDAY(Main[[#This Row],[Tech Start Date]],23),IF(Main[[#This Row],[Class]]="B", WORKDAY(Main[[#This Row],[Tech Start Date]],15),IF(Main[[#This Row],[Class]]="A",WORKDAY(Main[[#This Row],[Tech Start Date]],5),""))))</f>
        <v/>
      </c>
      <c r="P748" s="77" t="str">
        <f>IF(Main[[#This Row],[Tech Start Date]]&lt;1/1/1990,"",IF(Main[[#This Row],[Class]]="C",WORKDAY(Main[[#This Row],[Tech Start Date]],28),IF(Main[[#This Row],[Class]]="B", WORKDAY(Main[[#This Row],[Tech Start Date]],19),IF(Main[[#This Row],[Class]]="A",WORKDAY(Main[[#This Row],[Tech Start Date]],9),""))))</f>
        <v/>
      </c>
      <c r="Q748" s="74">
        <v>40233</v>
      </c>
      <c r="R748" s="74"/>
      <c r="S748" s="72" t="s">
        <v>11</v>
      </c>
      <c r="T748" s="80" t="s">
        <v>4</v>
      </c>
      <c r="U748" s="72" t="s">
        <v>14</v>
      </c>
      <c r="V748" s="72" t="s">
        <v>1920</v>
      </c>
      <c r="W748" s="72" t="s">
        <v>1925</v>
      </c>
      <c r="X748" s="72" t="s">
        <v>2830</v>
      </c>
      <c r="Y748" s="72" t="s">
        <v>2949</v>
      </c>
      <c r="Z748" s="72" t="s">
        <v>4</v>
      </c>
      <c r="AA748" s="146" t="s">
        <v>2830</v>
      </c>
    </row>
    <row r="749" spans="1:27" ht="18.600000000000001" customHeight="1">
      <c r="A749" s="139" t="str">
        <f>IF(priority(Main[[#This Row],[Comments]])&lt;&gt;0, priority(Main[[#This Row],[Comments]]),"")</f>
        <v/>
      </c>
      <c r="B749" s="89" t="s">
        <v>1570</v>
      </c>
      <c r="C749" s="72" t="s">
        <v>159</v>
      </c>
      <c r="D749" s="73" t="s">
        <v>649</v>
      </c>
      <c r="E749" s="74"/>
      <c r="F749" s="74">
        <v>40513</v>
      </c>
      <c r="G749" s="75" t="str">
        <f>IF(stdProdLT(Main[[#This Row],[Comments]])=0.1,"N/A",IF(stdProdLT(Main[[#This Row],[Comments]])=0,"",stdProdLT(Main[[#This Row],[Comments]])))</f>
        <v/>
      </c>
      <c r="H749" s="76" t="str">
        <f>IF(AND(Main[[#This Row],[In Stock Date]]&lt;&gt;"",Main[[#This Row],[Revised Due Date]]&lt;&gt;""),Main[[#This Row],[In Stock Date]]-Main[[#This Row],[Revised Due Date]],"")</f>
        <v/>
      </c>
      <c r="I749" s="72" t="s">
        <v>4</v>
      </c>
      <c r="J749" s="72" t="s">
        <v>28</v>
      </c>
      <c r="K749" s="81" t="s">
        <v>4</v>
      </c>
      <c r="L749" s="74"/>
      <c r="M749" s="77" t="str">
        <f>IF(Main[[#This Row],[Tech Start Date]]&lt;1/1/1990,"",IF(Main[[#This Row],[Class]]="C",WORKDAY(Main[[#This Row],[Tech Start Date]],9),IF(Main[[#This Row],[Class]]="B", WORKDAY(Main[[#This Row],[Tech Start Date]],6),IF(Main[[#This Row],[Class]]="A",WORKDAY(Main[[#This Row],[Tech Start Date]],2),""))))</f>
        <v/>
      </c>
      <c r="N749" s="77" t="str">
        <f>IF(Main[[#This Row],[Tech Start Date]]&lt;1/1/1990,"",IF(Main[[#This Row],[Class]]="C",WORKDAY(Main[[#This Row],[Tech Start Date]],19),IF(Main[[#This Row],[Class]]="B", WORKDAY(Main[[#This Row],[Tech Start Date]],12),IF(Main[[#This Row],[Class]]="A",WORKDAY(Main[[#This Row],[Tech Start Date]],4),""))))</f>
        <v/>
      </c>
      <c r="O749" s="77" t="str">
        <f>IF(Main[[#This Row],[Tech Start Date]]&lt;1/1/1990,"",IF(Main[[#This Row],[Class]]="C",WORKDAY(Main[[#This Row],[Tech Start Date]],23),IF(Main[[#This Row],[Class]]="B", WORKDAY(Main[[#This Row],[Tech Start Date]],15),IF(Main[[#This Row],[Class]]="A",WORKDAY(Main[[#This Row],[Tech Start Date]],5),""))))</f>
        <v/>
      </c>
      <c r="P749" s="77" t="str">
        <f>IF(Main[[#This Row],[Tech Start Date]]&lt;1/1/1990,"",IF(Main[[#This Row],[Class]]="C",WORKDAY(Main[[#This Row],[Tech Start Date]],28),IF(Main[[#This Row],[Class]]="B", WORKDAY(Main[[#This Row],[Tech Start Date]],19),IF(Main[[#This Row],[Class]]="A",WORKDAY(Main[[#This Row],[Tech Start Date]],9),""))))</f>
        <v/>
      </c>
      <c r="Q749" s="74">
        <v>40382</v>
      </c>
      <c r="R749" s="74"/>
      <c r="S749" s="72" t="s">
        <v>11</v>
      </c>
      <c r="T749" s="80" t="s">
        <v>4</v>
      </c>
      <c r="U749" s="72" t="s">
        <v>14</v>
      </c>
      <c r="V749" s="72" t="s">
        <v>1917</v>
      </c>
      <c r="W749" s="72" t="s">
        <v>1925</v>
      </c>
      <c r="X749" s="72" t="s">
        <v>2861</v>
      </c>
      <c r="Y749" s="72" t="s">
        <v>3000</v>
      </c>
      <c r="Z749" s="72" t="s">
        <v>129</v>
      </c>
      <c r="AA749" s="146" t="s">
        <v>2861</v>
      </c>
    </row>
    <row r="750" spans="1:27" ht="18.600000000000001" customHeight="1">
      <c r="A750" s="139" t="str">
        <f>IF(priority(Main[[#This Row],[Comments]])&lt;&gt;0, priority(Main[[#This Row],[Comments]]),"")</f>
        <v/>
      </c>
      <c r="B750" s="89" t="s">
        <v>1571</v>
      </c>
      <c r="C750" s="72" t="s">
        <v>4</v>
      </c>
      <c r="D750" s="73" t="s">
        <v>650</v>
      </c>
      <c r="E750" s="74">
        <v>40477.486574074072</v>
      </c>
      <c r="F750" s="74"/>
      <c r="G750" s="75" t="str">
        <f>IF(stdProdLT(Main[[#This Row],[Comments]])=0.1,"N/A",IF(stdProdLT(Main[[#This Row],[Comments]])=0,"",stdProdLT(Main[[#This Row],[Comments]])))</f>
        <v/>
      </c>
      <c r="H750" s="76" t="str">
        <f>IF(AND(Main[[#This Row],[In Stock Date]]&lt;&gt;"",Main[[#This Row],[Revised Due Date]]&lt;&gt;""),Main[[#This Row],[In Stock Date]]-Main[[#This Row],[Revised Due Date]],"")</f>
        <v/>
      </c>
      <c r="I750" s="72" t="s">
        <v>4</v>
      </c>
      <c r="J750" s="72" t="s">
        <v>4</v>
      </c>
      <c r="K750" s="72" t="s">
        <v>4</v>
      </c>
      <c r="L750" s="74"/>
      <c r="M750" s="77" t="str">
        <f>IF(Main[[#This Row],[Tech Start Date]]&lt;1/1/1990,"",IF(Main[[#This Row],[Class]]="C",WORKDAY(Main[[#This Row],[Tech Start Date]],9),IF(Main[[#This Row],[Class]]="B", WORKDAY(Main[[#This Row],[Tech Start Date]],6),IF(Main[[#This Row],[Class]]="A",WORKDAY(Main[[#This Row],[Tech Start Date]],2),""))))</f>
        <v/>
      </c>
      <c r="N750" s="77" t="str">
        <f>IF(Main[[#This Row],[Tech Start Date]]&lt;1/1/1990,"",IF(Main[[#This Row],[Class]]="C",WORKDAY(Main[[#This Row],[Tech Start Date]],19),IF(Main[[#This Row],[Class]]="B", WORKDAY(Main[[#This Row],[Tech Start Date]],12),IF(Main[[#This Row],[Class]]="A",WORKDAY(Main[[#This Row],[Tech Start Date]],4),""))))</f>
        <v/>
      </c>
      <c r="O750" s="77" t="str">
        <f>IF(Main[[#This Row],[Tech Start Date]]&lt;1/1/1990,"",IF(Main[[#This Row],[Class]]="C",WORKDAY(Main[[#This Row],[Tech Start Date]],23),IF(Main[[#This Row],[Class]]="B", WORKDAY(Main[[#This Row],[Tech Start Date]],15),IF(Main[[#This Row],[Class]]="A",WORKDAY(Main[[#This Row],[Tech Start Date]],5),""))))</f>
        <v/>
      </c>
      <c r="P750" s="77" t="str">
        <f>IF(Main[[#This Row],[Tech Start Date]]&lt;1/1/1990,"",IF(Main[[#This Row],[Class]]="C",WORKDAY(Main[[#This Row],[Tech Start Date]],28),IF(Main[[#This Row],[Class]]="B", WORKDAY(Main[[#This Row],[Tech Start Date]],19),IF(Main[[#This Row],[Class]]="A",WORKDAY(Main[[#This Row],[Tech Start Date]],9),""))))</f>
        <v/>
      </c>
      <c r="Q750" s="74">
        <v>40511</v>
      </c>
      <c r="R750" s="74"/>
      <c r="S750" s="72" t="s">
        <v>6</v>
      </c>
      <c r="T750" s="80" t="s">
        <v>4</v>
      </c>
      <c r="U750" s="72" t="s">
        <v>7</v>
      </c>
      <c r="V750" s="72" t="s">
        <v>1917</v>
      </c>
      <c r="W750" s="72" t="s">
        <v>4</v>
      </c>
      <c r="X750" s="72" t="s">
        <v>2824</v>
      </c>
      <c r="Y750" s="72" t="s">
        <v>2935</v>
      </c>
      <c r="Z750" s="72" t="s">
        <v>4</v>
      </c>
      <c r="AA750" s="146" t="s">
        <v>2824</v>
      </c>
    </row>
    <row r="751" spans="1:27" ht="18.600000000000001" customHeight="1">
      <c r="A751" s="139" t="str">
        <f>IF(priority(Main[[#This Row],[Comments]])&lt;&gt;0, priority(Main[[#This Row],[Comments]]),"")</f>
        <v/>
      </c>
      <c r="B751" s="89" t="s">
        <v>1572</v>
      </c>
      <c r="C751" s="72" t="s">
        <v>4</v>
      </c>
      <c r="D751" s="73" t="s">
        <v>651</v>
      </c>
      <c r="E751" s="74"/>
      <c r="F751" s="74"/>
      <c r="G751" s="75" t="str">
        <f>IF(stdProdLT(Main[[#This Row],[Comments]])=0.1,"N/A",IF(stdProdLT(Main[[#This Row],[Comments]])=0,"",stdProdLT(Main[[#This Row],[Comments]])))</f>
        <v/>
      </c>
      <c r="H751" s="76" t="str">
        <f>IF(AND(Main[[#This Row],[In Stock Date]]&lt;&gt;"",Main[[#This Row],[Revised Due Date]]&lt;&gt;""),Main[[#This Row],[In Stock Date]]-Main[[#This Row],[Revised Due Date]],"")</f>
        <v/>
      </c>
      <c r="I751" s="72" t="s">
        <v>4</v>
      </c>
      <c r="J751" s="72" t="s">
        <v>4</v>
      </c>
      <c r="K751" s="72" t="s">
        <v>4</v>
      </c>
      <c r="L751" s="74"/>
      <c r="M751" s="77" t="str">
        <f>IF(Main[[#This Row],[Tech Start Date]]&lt;1/1/1990,"",IF(Main[[#This Row],[Class]]="C",WORKDAY(Main[[#This Row],[Tech Start Date]],9),IF(Main[[#This Row],[Class]]="B", WORKDAY(Main[[#This Row],[Tech Start Date]],6),IF(Main[[#This Row],[Class]]="A",WORKDAY(Main[[#This Row],[Tech Start Date]],2),""))))</f>
        <v/>
      </c>
      <c r="N751" s="77" t="str">
        <f>IF(Main[[#This Row],[Tech Start Date]]&lt;1/1/1990,"",IF(Main[[#This Row],[Class]]="C",WORKDAY(Main[[#This Row],[Tech Start Date]],19),IF(Main[[#This Row],[Class]]="B", WORKDAY(Main[[#This Row],[Tech Start Date]],12),IF(Main[[#This Row],[Class]]="A",WORKDAY(Main[[#This Row],[Tech Start Date]],4),""))))</f>
        <v/>
      </c>
      <c r="O751" s="77" t="str">
        <f>IF(Main[[#This Row],[Tech Start Date]]&lt;1/1/1990,"",IF(Main[[#This Row],[Class]]="C",WORKDAY(Main[[#This Row],[Tech Start Date]],23),IF(Main[[#This Row],[Class]]="B", WORKDAY(Main[[#This Row],[Tech Start Date]],15),IF(Main[[#This Row],[Class]]="A",WORKDAY(Main[[#This Row],[Tech Start Date]],5),""))))</f>
        <v/>
      </c>
      <c r="P751" s="77" t="str">
        <f>IF(Main[[#This Row],[Tech Start Date]]&lt;1/1/1990,"",IF(Main[[#This Row],[Class]]="C",WORKDAY(Main[[#This Row],[Tech Start Date]],28),IF(Main[[#This Row],[Class]]="B", WORKDAY(Main[[#This Row],[Tech Start Date]],19),IF(Main[[#This Row],[Class]]="A",WORKDAY(Main[[#This Row],[Tech Start Date]],9),""))))</f>
        <v/>
      </c>
      <c r="Q751" s="74">
        <v>40619</v>
      </c>
      <c r="R751" s="74"/>
      <c r="S751" s="72" t="s">
        <v>6</v>
      </c>
      <c r="T751" s="80" t="s">
        <v>4</v>
      </c>
      <c r="U751" s="72" t="s">
        <v>14</v>
      </c>
      <c r="V751" s="72" t="s">
        <v>1927</v>
      </c>
      <c r="W751" s="72" t="s">
        <v>4</v>
      </c>
      <c r="X751" s="72" t="s">
        <v>2909</v>
      </c>
      <c r="Y751" s="72" t="s">
        <v>3089</v>
      </c>
      <c r="Z751" s="72" t="s">
        <v>4</v>
      </c>
      <c r="AA751" s="146" t="s">
        <v>2909</v>
      </c>
    </row>
    <row r="752" spans="1:27" ht="18.600000000000001" customHeight="1">
      <c r="A752" s="139" t="str">
        <f>IF(priority(Main[[#This Row],[Comments]])&lt;&gt;0, priority(Main[[#This Row],[Comments]]),"")</f>
        <v/>
      </c>
      <c r="B752" s="89" t="s">
        <v>2109</v>
      </c>
      <c r="C752" s="72" t="s">
        <v>4</v>
      </c>
      <c r="D752" s="73" t="s">
        <v>2110</v>
      </c>
      <c r="E752" s="74">
        <v>40772.421967592592</v>
      </c>
      <c r="F752" s="74"/>
      <c r="G752" s="75" t="str">
        <f>IF(stdProdLT(Main[[#This Row],[Comments]])=0.1,"N/A",IF(stdProdLT(Main[[#This Row],[Comments]])=0,"",stdProdLT(Main[[#This Row],[Comments]])))</f>
        <v/>
      </c>
      <c r="H752" s="76" t="str">
        <f>IF(AND(Main[[#This Row],[In Stock Date]]&lt;&gt;"",Main[[#This Row],[Revised Due Date]]&lt;&gt;""),Main[[#This Row],[In Stock Date]]-Main[[#This Row],[Revised Due Date]],"")</f>
        <v/>
      </c>
      <c r="I752" s="72" t="s">
        <v>914</v>
      </c>
      <c r="J752" s="72" t="s">
        <v>52</v>
      </c>
      <c r="K752" s="72" t="s">
        <v>4</v>
      </c>
      <c r="L752" s="74"/>
      <c r="M752" s="77" t="str">
        <f>IF(Main[[#This Row],[Tech Start Date]]&lt;1/1/1990,"",IF(Main[[#This Row],[Class]]="C",WORKDAY(Main[[#This Row],[Tech Start Date]],9),IF(Main[[#This Row],[Class]]="B", WORKDAY(Main[[#This Row],[Tech Start Date]],6),IF(Main[[#This Row],[Class]]="A",WORKDAY(Main[[#This Row],[Tech Start Date]],2),""))))</f>
        <v/>
      </c>
      <c r="N752" s="77" t="str">
        <f>IF(Main[[#This Row],[Tech Start Date]]&lt;1/1/1990,"",IF(Main[[#This Row],[Class]]="C",WORKDAY(Main[[#This Row],[Tech Start Date]],19),IF(Main[[#This Row],[Class]]="B", WORKDAY(Main[[#This Row],[Tech Start Date]],12),IF(Main[[#This Row],[Class]]="A",WORKDAY(Main[[#This Row],[Tech Start Date]],4),""))))</f>
        <v/>
      </c>
      <c r="O752" s="77" t="str">
        <f>IF(Main[[#This Row],[Tech Start Date]]&lt;1/1/1990,"",IF(Main[[#This Row],[Class]]="C",WORKDAY(Main[[#This Row],[Tech Start Date]],23),IF(Main[[#This Row],[Class]]="B", WORKDAY(Main[[#This Row],[Tech Start Date]],15),IF(Main[[#This Row],[Class]]="A",WORKDAY(Main[[#This Row],[Tech Start Date]],5),""))))</f>
        <v/>
      </c>
      <c r="P752" s="77" t="str">
        <f>IF(Main[[#This Row],[Tech Start Date]]&lt;1/1/1990,"",IF(Main[[#This Row],[Class]]="C",WORKDAY(Main[[#This Row],[Tech Start Date]],28),IF(Main[[#This Row],[Class]]="B", WORKDAY(Main[[#This Row],[Tech Start Date]],19),IF(Main[[#This Row],[Class]]="A",WORKDAY(Main[[#This Row],[Tech Start Date]],9),""))))</f>
        <v/>
      </c>
      <c r="Q752" s="74"/>
      <c r="R752" s="74"/>
      <c r="S752" s="72" t="s">
        <v>6</v>
      </c>
      <c r="T752" s="80" t="s">
        <v>4</v>
      </c>
      <c r="U752" s="72" t="s">
        <v>29</v>
      </c>
      <c r="V752" s="72" t="s">
        <v>1917</v>
      </c>
      <c r="W752" s="72" t="s">
        <v>1921</v>
      </c>
      <c r="X752" s="72" t="s">
        <v>939</v>
      </c>
      <c r="Y752" s="72" t="s">
        <v>2990</v>
      </c>
      <c r="Z752" s="72" t="s">
        <v>129</v>
      </c>
      <c r="AA752" s="146" t="s">
        <v>939</v>
      </c>
    </row>
    <row r="753" spans="1:27" ht="18.600000000000001" customHeight="1">
      <c r="A753" s="139" t="str">
        <f>IF(priority(Main[[#This Row],[Comments]])&lt;&gt;0, priority(Main[[#This Row],[Comments]]),"")</f>
        <v/>
      </c>
      <c r="B753" s="89" t="s">
        <v>2389</v>
      </c>
      <c r="C753" s="72" t="s">
        <v>47</v>
      </c>
      <c r="D753" s="73" t="s">
        <v>2390</v>
      </c>
      <c r="E753" s="74">
        <v>40847.703090277777</v>
      </c>
      <c r="F753" s="74"/>
      <c r="G753" s="75" t="str">
        <f>IF(stdProdLT(Main[[#This Row],[Comments]])=0.1,"N/A",IF(stdProdLT(Main[[#This Row],[Comments]])=0,"",stdProdLT(Main[[#This Row],[Comments]])))</f>
        <v/>
      </c>
      <c r="H753" s="76" t="str">
        <f>IF(AND(Main[[#This Row],[In Stock Date]]&lt;&gt;"",Main[[#This Row],[Revised Due Date]]&lt;&gt;""),Main[[#This Row],[In Stock Date]]-Main[[#This Row],[Revised Due Date]],"")</f>
        <v/>
      </c>
      <c r="I753" s="72" t="s">
        <v>69</v>
      </c>
      <c r="J753" s="72" t="s">
        <v>28</v>
      </c>
      <c r="K753" s="72" t="s">
        <v>1926</v>
      </c>
      <c r="L753" s="74"/>
      <c r="M753" s="77" t="str">
        <f>IF(Main[[#This Row],[Tech Start Date]]&lt;1/1/1990,"",IF(Main[[#This Row],[Class]]="C",WORKDAY(Main[[#This Row],[Tech Start Date]],9),IF(Main[[#This Row],[Class]]="B", WORKDAY(Main[[#This Row],[Tech Start Date]],6),IF(Main[[#This Row],[Class]]="A",WORKDAY(Main[[#This Row],[Tech Start Date]],2),""))))</f>
        <v/>
      </c>
      <c r="N753" s="77" t="str">
        <f>IF(Main[[#This Row],[Tech Start Date]]&lt;1/1/1990,"",IF(Main[[#This Row],[Class]]="C",WORKDAY(Main[[#This Row],[Tech Start Date]],19),IF(Main[[#This Row],[Class]]="B", WORKDAY(Main[[#This Row],[Tech Start Date]],12),IF(Main[[#This Row],[Class]]="A",WORKDAY(Main[[#This Row],[Tech Start Date]],4),""))))</f>
        <v/>
      </c>
      <c r="O753" s="77" t="str">
        <f>IF(Main[[#This Row],[Tech Start Date]]&lt;1/1/1990,"",IF(Main[[#This Row],[Class]]="C",WORKDAY(Main[[#This Row],[Tech Start Date]],23),IF(Main[[#This Row],[Class]]="B", WORKDAY(Main[[#This Row],[Tech Start Date]],15),IF(Main[[#This Row],[Class]]="A",WORKDAY(Main[[#This Row],[Tech Start Date]],5),""))))</f>
        <v/>
      </c>
      <c r="P753" s="77" t="str">
        <f>IF(Main[[#This Row],[Tech Start Date]]&lt;1/1/1990,"",IF(Main[[#This Row],[Class]]="C",WORKDAY(Main[[#This Row],[Tech Start Date]],28),IF(Main[[#This Row],[Class]]="B", WORKDAY(Main[[#This Row],[Tech Start Date]],19),IF(Main[[#This Row],[Class]]="A",WORKDAY(Main[[#This Row],[Tech Start Date]],9),""))))</f>
        <v/>
      </c>
      <c r="Q753" s="74">
        <v>40862</v>
      </c>
      <c r="R753" s="74"/>
      <c r="S753" s="72" t="s">
        <v>6</v>
      </c>
      <c r="T753" s="80" t="s">
        <v>4</v>
      </c>
      <c r="U753" s="72" t="s">
        <v>29</v>
      </c>
      <c r="V753" s="72" t="s">
        <v>1920</v>
      </c>
      <c r="W753" s="72" t="s">
        <v>1921</v>
      </c>
      <c r="X753" s="72" t="s">
        <v>2871</v>
      </c>
      <c r="Y753" s="72" t="s">
        <v>3016</v>
      </c>
      <c r="Z753" s="72" t="s">
        <v>30</v>
      </c>
      <c r="AA753" s="146" t="s">
        <v>2871</v>
      </c>
    </row>
    <row r="754" spans="1:27" ht="18.600000000000001" customHeight="1">
      <c r="A754" s="139" t="str">
        <f>IF(priority(Main[[#This Row],[Comments]])&lt;&gt;0, priority(Main[[#This Row],[Comments]]),"")</f>
        <v/>
      </c>
      <c r="B754" s="89" t="s">
        <v>1638</v>
      </c>
      <c r="C754" s="72" t="s">
        <v>4</v>
      </c>
      <c r="D754" s="73" t="s">
        <v>2117</v>
      </c>
      <c r="E754" s="74">
        <v>40696.439942129633</v>
      </c>
      <c r="F754" s="74"/>
      <c r="G754" s="75" t="str">
        <f>IF(stdProdLT(Main[[#This Row],[Comments]])=0.1,"N/A",IF(stdProdLT(Main[[#This Row],[Comments]])=0,"",stdProdLT(Main[[#This Row],[Comments]])))</f>
        <v/>
      </c>
      <c r="H754" s="76" t="str">
        <f>IF(AND(Main[[#This Row],[In Stock Date]]&lt;&gt;"",Main[[#This Row],[Revised Due Date]]&lt;&gt;""),Main[[#This Row],[In Stock Date]]-Main[[#This Row],[Revised Due Date]],"")</f>
        <v/>
      </c>
      <c r="I754" s="72" t="s">
        <v>943</v>
      </c>
      <c r="J754" s="72" t="s">
        <v>4</v>
      </c>
      <c r="K754" s="81" t="s">
        <v>4</v>
      </c>
      <c r="L754" s="74"/>
      <c r="M754" s="77" t="str">
        <f>IF(Main[[#This Row],[Tech Start Date]]&lt;1/1/1990,"",IF(Main[[#This Row],[Class]]="C",WORKDAY(Main[[#This Row],[Tech Start Date]],9),IF(Main[[#This Row],[Class]]="B", WORKDAY(Main[[#This Row],[Tech Start Date]],6),IF(Main[[#This Row],[Class]]="A",WORKDAY(Main[[#This Row],[Tech Start Date]],2),""))))</f>
        <v/>
      </c>
      <c r="N754" s="77" t="str">
        <f>IF(Main[[#This Row],[Tech Start Date]]&lt;1/1/1990,"",IF(Main[[#This Row],[Class]]="C",WORKDAY(Main[[#This Row],[Tech Start Date]],19),IF(Main[[#This Row],[Class]]="B", WORKDAY(Main[[#This Row],[Tech Start Date]],12),IF(Main[[#This Row],[Class]]="A",WORKDAY(Main[[#This Row],[Tech Start Date]],4),""))))</f>
        <v/>
      </c>
      <c r="O754" s="77" t="str">
        <f>IF(Main[[#This Row],[Tech Start Date]]&lt;1/1/1990,"",IF(Main[[#This Row],[Class]]="C",WORKDAY(Main[[#This Row],[Tech Start Date]],23),IF(Main[[#This Row],[Class]]="B", WORKDAY(Main[[#This Row],[Tech Start Date]],15),IF(Main[[#This Row],[Class]]="A",WORKDAY(Main[[#This Row],[Tech Start Date]],5),""))))</f>
        <v/>
      </c>
      <c r="P754" s="77" t="str">
        <f>IF(Main[[#This Row],[Tech Start Date]]&lt;1/1/1990,"",IF(Main[[#This Row],[Class]]="C",WORKDAY(Main[[#This Row],[Tech Start Date]],28),IF(Main[[#This Row],[Class]]="B", WORKDAY(Main[[#This Row],[Tech Start Date]],19),IF(Main[[#This Row],[Class]]="A",WORKDAY(Main[[#This Row],[Tech Start Date]],9),""))))</f>
        <v/>
      </c>
      <c r="Q754" s="74"/>
      <c r="R754" s="74">
        <v>40815</v>
      </c>
      <c r="S754" s="72" t="s">
        <v>6</v>
      </c>
      <c r="T754" s="80" t="s">
        <v>4</v>
      </c>
      <c r="U754" s="72" t="s">
        <v>29</v>
      </c>
      <c r="V754" s="72" t="s">
        <v>1918</v>
      </c>
      <c r="W754" s="72" t="s">
        <v>1925</v>
      </c>
      <c r="X754" s="72" t="s">
        <v>943</v>
      </c>
      <c r="Y754" s="72" t="s">
        <v>3001</v>
      </c>
      <c r="Z754" s="72" t="s">
        <v>2056</v>
      </c>
      <c r="AA754" s="146" t="s">
        <v>943</v>
      </c>
    </row>
    <row r="755" spans="1:27" ht="18.600000000000001" customHeight="1">
      <c r="A755" s="139" t="str">
        <f>IF(priority(Main[[#This Row],[Comments]])&lt;&gt;0, priority(Main[[#This Row],[Comments]]),"")</f>
        <v/>
      </c>
      <c r="B755" s="89" t="s">
        <v>1427</v>
      </c>
      <c r="C755" s="72" t="s">
        <v>4</v>
      </c>
      <c r="D755" s="73" t="s">
        <v>2391</v>
      </c>
      <c r="E755" s="74">
        <v>40561.285520833335</v>
      </c>
      <c r="F755" s="74"/>
      <c r="G755" s="75" t="str">
        <f>IF(stdProdLT(Main[[#This Row],[Comments]])=0.1,"N/A",IF(stdProdLT(Main[[#This Row],[Comments]])=0,"",stdProdLT(Main[[#This Row],[Comments]])))</f>
        <v/>
      </c>
      <c r="H755" s="76" t="str">
        <f>IF(AND(Main[[#This Row],[In Stock Date]]&lt;&gt;"",Main[[#This Row],[Revised Due Date]]&lt;&gt;""),Main[[#This Row],[In Stock Date]]-Main[[#This Row],[Revised Due Date]],"")</f>
        <v/>
      </c>
      <c r="I755" s="72" t="s">
        <v>914</v>
      </c>
      <c r="J755" s="72" t="s">
        <v>52</v>
      </c>
      <c r="K755" s="72" t="s">
        <v>1924</v>
      </c>
      <c r="L755" s="74"/>
      <c r="M755" s="77" t="str">
        <f>IF(Main[[#This Row],[Tech Start Date]]&lt;1/1/1990,"",IF(Main[[#This Row],[Class]]="C",WORKDAY(Main[[#This Row],[Tech Start Date]],9),IF(Main[[#This Row],[Class]]="B", WORKDAY(Main[[#This Row],[Tech Start Date]],6),IF(Main[[#This Row],[Class]]="A",WORKDAY(Main[[#This Row],[Tech Start Date]],2),""))))</f>
        <v/>
      </c>
      <c r="N755" s="77" t="str">
        <f>IF(Main[[#This Row],[Tech Start Date]]&lt;1/1/1990,"",IF(Main[[#This Row],[Class]]="C",WORKDAY(Main[[#This Row],[Tech Start Date]],19),IF(Main[[#This Row],[Class]]="B", WORKDAY(Main[[#This Row],[Tech Start Date]],12),IF(Main[[#This Row],[Class]]="A",WORKDAY(Main[[#This Row],[Tech Start Date]],4),""))))</f>
        <v/>
      </c>
      <c r="O755" s="77" t="str">
        <f>IF(Main[[#This Row],[Tech Start Date]]&lt;1/1/1990,"",IF(Main[[#This Row],[Class]]="C",WORKDAY(Main[[#This Row],[Tech Start Date]],23),IF(Main[[#This Row],[Class]]="B", WORKDAY(Main[[#This Row],[Tech Start Date]],15),IF(Main[[#This Row],[Class]]="A",WORKDAY(Main[[#This Row],[Tech Start Date]],5),""))))</f>
        <v/>
      </c>
      <c r="P755" s="77" t="str">
        <f>IF(Main[[#This Row],[Tech Start Date]]&lt;1/1/1990,"",IF(Main[[#This Row],[Class]]="C",WORKDAY(Main[[#This Row],[Tech Start Date]],28),IF(Main[[#This Row],[Class]]="B", WORKDAY(Main[[#This Row],[Tech Start Date]],19),IF(Main[[#This Row],[Class]]="A",WORKDAY(Main[[#This Row],[Tech Start Date]],9),""))))</f>
        <v/>
      </c>
      <c r="Q755" s="74">
        <v>40595</v>
      </c>
      <c r="R755" s="74"/>
      <c r="S755" s="72" t="s">
        <v>6</v>
      </c>
      <c r="T755" s="80" t="s">
        <v>4</v>
      </c>
      <c r="U755" s="72" t="s">
        <v>29</v>
      </c>
      <c r="V755" s="72" t="s">
        <v>1917</v>
      </c>
      <c r="W755" s="72" t="s">
        <v>1919</v>
      </c>
      <c r="X755" s="72" t="s">
        <v>2828</v>
      </c>
      <c r="Y755" s="72" t="s">
        <v>2944</v>
      </c>
      <c r="Z755" s="72" t="s">
        <v>129</v>
      </c>
      <c r="AA755" s="146" t="s">
        <v>2828</v>
      </c>
    </row>
    <row r="756" spans="1:27" ht="18.600000000000001" customHeight="1">
      <c r="A756" s="139" t="str">
        <f>IF(priority(Main[[#This Row],[Comments]])&lt;&gt;0, priority(Main[[#This Row],[Comments]]),"")</f>
        <v/>
      </c>
      <c r="B756" s="89" t="s">
        <v>1577</v>
      </c>
      <c r="C756" s="72" t="s">
        <v>4</v>
      </c>
      <c r="D756" s="73" t="s">
        <v>656</v>
      </c>
      <c r="E756" s="74"/>
      <c r="F756" s="74"/>
      <c r="G756" s="75" t="str">
        <f>IF(stdProdLT(Main[[#This Row],[Comments]])=0.1,"N/A",IF(stdProdLT(Main[[#This Row],[Comments]])=0,"",stdProdLT(Main[[#This Row],[Comments]])))</f>
        <v/>
      </c>
      <c r="H756" s="76" t="str">
        <f>IF(AND(Main[[#This Row],[In Stock Date]]&lt;&gt;"",Main[[#This Row],[Revised Due Date]]&lt;&gt;""),Main[[#This Row],[In Stock Date]]-Main[[#This Row],[Revised Due Date]],"")</f>
        <v/>
      </c>
      <c r="I756" s="72" t="s">
        <v>4</v>
      </c>
      <c r="J756" s="72" t="s">
        <v>4</v>
      </c>
      <c r="K756" s="81" t="s">
        <v>4</v>
      </c>
      <c r="L756" s="74"/>
      <c r="M756" s="77" t="str">
        <f>IF(Main[[#This Row],[Tech Start Date]]&lt;1/1/1990,"",IF(Main[[#This Row],[Class]]="C",WORKDAY(Main[[#This Row],[Tech Start Date]],9),IF(Main[[#This Row],[Class]]="B", WORKDAY(Main[[#This Row],[Tech Start Date]],6),IF(Main[[#This Row],[Class]]="A",WORKDAY(Main[[#This Row],[Tech Start Date]],2),""))))</f>
        <v/>
      </c>
      <c r="N756" s="77" t="str">
        <f>IF(Main[[#This Row],[Tech Start Date]]&lt;1/1/1990,"",IF(Main[[#This Row],[Class]]="C",WORKDAY(Main[[#This Row],[Tech Start Date]],19),IF(Main[[#This Row],[Class]]="B", WORKDAY(Main[[#This Row],[Tech Start Date]],12),IF(Main[[#This Row],[Class]]="A",WORKDAY(Main[[#This Row],[Tech Start Date]],4),""))))</f>
        <v/>
      </c>
      <c r="O756" s="77" t="str">
        <f>IF(Main[[#This Row],[Tech Start Date]]&lt;1/1/1990,"",IF(Main[[#This Row],[Class]]="C",WORKDAY(Main[[#This Row],[Tech Start Date]],23),IF(Main[[#This Row],[Class]]="B", WORKDAY(Main[[#This Row],[Tech Start Date]],15),IF(Main[[#This Row],[Class]]="A",WORKDAY(Main[[#This Row],[Tech Start Date]],5),""))))</f>
        <v/>
      </c>
      <c r="P756" s="77" t="str">
        <f>IF(Main[[#This Row],[Tech Start Date]]&lt;1/1/1990,"",IF(Main[[#This Row],[Class]]="C",WORKDAY(Main[[#This Row],[Tech Start Date]],28),IF(Main[[#This Row],[Class]]="B", WORKDAY(Main[[#This Row],[Tech Start Date]],19),IF(Main[[#This Row],[Class]]="A",WORKDAY(Main[[#This Row],[Tech Start Date]],9),""))))</f>
        <v/>
      </c>
      <c r="Q756" s="74"/>
      <c r="R756" s="74"/>
      <c r="S756" s="72" t="s">
        <v>6</v>
      </c>
      <c r="T756" s="80" t="s">
        <v>4</v>
      </c>
      <c r="U756" s="72" t="s">
        <v>12</v>
      </c>
      <c r="V756" s="72" t="s">
        <v>1917</v>
      </c>
      <c r="W756" s="72" t="s">
        <v>4</v>
      </c>
      <c r="X756" s="72" t="s">
        <v>710</v>
      </c>
      <c r="Y756" s="72" t="s">
        <v>3076</v>
      </c>
      <c r="Z756" s="72" t="s">
        <v>4</v>
      </c>
      <c r="AA756" s="146" t="s">
        <v>710</v>
      </c>
    </row>
    <row r="757" spans="1:27" ht="18.600000000000001" customHeight="1">
      <c r="A757" s="139" t="str">
        <f>IF(priority(Main[[#This Row],[Comments]])&lt;&gt;0, priority(Main[[#This Row],[Comments]]),"")</f>
        <v/>
      </c>
      <c r="B757" s="89" t="s">
        <v>1578</v>
      </c>
      <c r="C757" s="72" t="s">
        <v>4</v>
      </c>
      <c r="D757" s="73" t="s">
        <v>657</v>
      </c>
      <c r="E757" s="74"/>
      <c r="F757" s="74"/>
      <c r="G757" s="75" t="str">
        <f>IF(stdProdLT(Main[[#This Row],[Comments]])=0.1,"N/A",IF(stdProdLT(Main[[#This Row],[Comments]])=0,"",stdProdLT(Main[[#This Row],[Comments]])))</f>
        <v/>
      </c>
      <c r="H757" s="76" t="str">
        <f>IF(AND(Main[[#This Row],[In Stock Date]]&lt;&gt;"",Main[[#This Row],[Revised Due Date]]&lt;&gt;""),Main[[#This Row],[In Stock Date]]-Main[[#This Row],[Revised Due Date]],"")</f>
        <v/>
      </c>
      <c r="I757" s="72" t="s">
        <v>4</v>
      </c>
      <c r="J757" s="72" t="s">
        <v>4</v>
      </c>
      <c r="K757" s="81" t="s">
        <v>4</v>
      </c>
      <c r="L757" s="74"/>
      <c r="M757" s="77" t="str">
        <f>IF(Main[[#This Row],[Tech Start Date]]&lt;1/1/1990,"",IF(Main[[#This Row],[Class]]="C",WORKDAY(Main[[#This Row],[Tech Start Date]],9),IF(Main[[#This Row],[Class]]="B", WORKDAY(Main[[#This Row],[Tech Start Date]],6),IF(Main[[#This Row],[Class]]="A",WORKDAY(Main[[#This Row],[Tech Start Date]],2),""))))</f>
        <v/>
      </c>
      <c r="N757" s="77" t="str">
        <f>IF(Main[[#This Row],[Tech Start Date]]&lt;1/1/1990,"",IF(Main[[#This Row],[Class]]="C",WORKDAY(Main[[#This Row],[Tech Start Date]],19),IF(Main[[#This Row],[Class]]="B", WORKDAY(Main[[#This Row],[Tech Start Date]],12),IF(Main[[#This Row],[Class]]="A",WORKDAY(Main[[#This Row],[Tech Start Date]],4),""))))</f>
        <v/>
      </c>
      <c r="O757" s="77" t="str">
        <f>IF(Main[[#This Row],[Tech Start Date]]&lt;1/1/1990,"",IF(Main[[#This Row],[Class]]="C",WORKDAY(Main[[#This Row],[Tech Start Date]],23),IF(Main[[#This Row],[Class]]="B", WORKDAY(Main[[#This Row],[Tech Start Date]],15),IF(Main[[#This Row],[Class]]="A",WORKDAY(Main[[#This Row],[Tech Start Date]],5),""))))</f>
        <v/>
      </c>
      <c r="P757" s="77" t="str">
        <f>IF(Main[[#This Row],[Tech Start Date]]&lt;1/1/1990,"",IF(Main[[#This Row],[Class]]="C",WORKDAY(Main[[#This Row],[Tech Start Date]],28),IF(Main[[#This Row],[Class]]="B", WORKDAY(Main[[#This Row],[Tech Start Date]],19),IF(Main[[#This Row],[Class]]="A",WORKDAY(Main[[#This Row],[Tech Start Date]],9),""))))</f>
        <v/>
      </c>
      <c r="Q757" s="74"/>
      <c r="R757" s="74"/>
      <c r="S757" s="72" t="s">
        <v>6</v>
      </c>
      <c r="T757" s="80" t="s">
        <v>4</v>
      </c>
      <c r="U757" s="72" t="s">
        <v>14</v>
      </c>
      <c r="V757" s="72" t="s">
        <v>1917</v>
      </c>
      <c r="W757" s="72" t="s">
        <v>1925</v>
      </c>
      <c r="X757" s="72" t="s">
        <v>710</v>
      </c>
      <c r="Y757" s="72" t="s">
        <v>3090</v>
      </c>
      <c r="Z757" s="72" t="s">
        <v>4</v>
      </c>
      <c r="AA757" s="146" t="s">
        <v>3437</v>
      </c>
    </row>
    <row r="758" spans="1:27" ht="18.600000000000001" customHeight="1">
      <c r="A758" s="139" t="str">
        <f>IF(priority(Main[[#This Row],[Comments]])&lt;&gt;0, priority(Main[[#This Row],[Comments]]),"")</f>
        <v/>
      </c>
      <c r="B758" s="89" t="s">
        <v>1579</v>
      </c>
      <c r="C758" s="72" t="s">
        <v>4</v>
      </c>
      <c r="D758" s="73" t="s">
        <v>658</v>
      </c>
      <c r="E758" s="74"/>
      <c r="F758" s="74"/>
      <c r="G758" s="75" t="str">
        <f>IF(stdProdLT(Main[[#This Row],[Comments]])=0.1,"N/A",IF(stdProdLT(Main[[#This Row],[Comments]])=0,"",stdProdLT(Main[[#This Row],[Comments]])))</f>
        <v/>
      </c>
      <c r="H758" s="76" t="str">
        <f>IF(AND(Main[[#This Row],[In Stock Date]]&lt;&gt;"",Main[[#This Row],[Revised Due Date]]&lt;&gt;""),Main[[#This Row],[In Stock Date]]-Main[[#This Row],[Revised Due Date]],"")</f>
        <v/>
      </c>
      <c r="I758" s="72" t="s">
        <v>4</v>
      </c>
      <c r="J758" s="72" t="s">
        <v>4</v>
      </c>
      <c r="K758" s="72" t="s">
        <v>4</v>
      </c>
      <c r="L758" s="74"/>
      <c r="M758" s="77" t="str">
        <f>IF(Main[[#This Row],[Tech Start Date]]&lt;1/1/1990,"",IF(Main[[#This Row],[Class]]="C",WORKDAY(Main[[#This Row],[Tech Start Date]],9),IF(Main[[#This Row],[Class]]="B", WORKDAY(Main[[#This Row],[Tech Start Date]],6),IF(Main[[#This Row],[Class]]="A",WORKDAY(Main[[#This Row],[Tech Start Date]],2),""))))</f>
        <v/>
      </c>
      <c r="N758" s="77" t="str">
        <f>IF(Main[[#This Row],[Tech Start Date]]&lt;1/1/1990,"",IF(Main[[#This Row],[Class]]="C",WORKDAY(Main[[#This Row],[Tech Start Date]],19),IF(Main[[#This Row],[Class]]="B", WORKDAY(Main[[#This Row],[Tech Start Date]],12),IF(Main[[#This Row],[Class]]="A",WORKDAY(Main[[#This Row],[Tech Start Date]],4),""))))</f>
        <v/>
      </c>
      <c r="O758" s="77" t="str">
        <f>IF(Main[[#This Row],[Tech Start Date]]&lt;1/1/1990,"",IF(Main[[#This Row],[Class]]="C",WORKDAY(Main[[#This Row],[Tech Start Date]],23),IF(Main[[#This Row],[Class]]="B", WORKDAY(Main[[#This Row],[Tech Start Date]],15),IF(Main[[#This Row],[Class]]="A",WORKDAY(Main[[#This Row],[Tech Start Date]],5),""))))</f>
        <v/>
      </c>
      <c r="P758" s="77" t="str">
        <f>IF(Main[[#This Row],[Tech Start Date]]&lt;1/1/1990,"",IF(Main[[#This Row],[Class]]="C",WORKDAY(Main[[#This Row],[Tech Start Date]],28),IF(Main[[#This Row],[Class]]="B", WORKDAY(Main[[#This Row],[Tech Start Date]],19),IF(Main[[#This Row],[Class]]="A",WORKDAY(Main[[#This Row],[Tech Start Date]],9),""))))</f>
        <v/>
      </c>
      <c r="Q758" s="74"/>
      <c r="R758" s="74"/>
      <c r="S758" s="72" t="s">
        <v>11</v>
      </c>
      <c r="T758" s="80" t="s">
        <v>4</v>
      </c>
      <c r="U758" s="72" t="s">
        <v>12</v>
      </c>
      <c r="V758" s="72" t="s">
        <v>1917</v>
      </c>
      <c r="W758" s="72" t="s">
        <v>1921</v>
      </c>
      <c r="X758" s="72" t="s">
        <v>924</v>
      </c>
      <c r="Y758" s="72" t="s">
        <v>2998</v>
      </c>
      <c r="Z758" s="72" t="s">
        <v>4</v>
      </c>
      <c r="AA758" s="146" t="s">
        <v>3438</v>
      </c>
    </row>
    <row r="759" spans="1:27" ht="18.600000000000001" customHeight="1">
      <c r="A759" s="139" t="str">
        <f>IF(priority(Main[[#This Row],[Comments]])&lt;&gt;0, priority(Main[[#This Row],[Comments]]),"")</f>
        <v/>
      </c>
      <c r="B759" s="89" t="s">
        <v>1580</v>
      </c>
      <c r="C759" s="72" t="s">
        <v>4</v>
      </c>
      <c r="D759" s="73" t="s">
        <v>97</v>
      </c>
      <c r="E759" s="74"/>
      <c r="F759" s="74"/>
      <c r="G759" s="75" t="str">
        <f>IF(stdProdLT(Main[[#This Row],[Comments]])=0.1,"N/A",IF(stdProdLT(Main[[#This Row],[Comments]])=0,"",stdProdLT(Main[[#This Row],[Comments]])))</f>
        <v/>
      </c>
      <c r="H759" s="76" t="str">
        <f>IF(AND(Main[[#This Row],[In Stock Date]]&lt;&gt;"",Main[[#This Row],[Revised Due Date]]&lt;&gt;""),Main[[#This Row],[In Stock Date]]-Main[[#This Row],[Revised Due Date]],"")</f>
        <v/>
      </c>
      <c r="I759" s="72" t="s">
        <v>4</v>
      </c>
      <c r="J759" s="72" t="s">
        <v>4</v>
      </c>
      <c r="K759" s="81" t="s">
        <v>4</v>
      </c>
      <c r="L759" s="74"/>
      <c r="M759" s="77" t="str">
        <f>IF(Main[[#This Row],[Tech Start Date]]&lt;1/1/1990,"",IF(Main[[#This Row],[Class]]="C",WORKDAY(Main[[#This Row],[Tech Start Date]],9),IF(Main[[#This Row],[Class]]="B", WORKDAY(Main[[#This Row],[Tech Start Date]],6),IF(Main[[#This Row],[Class]]="A",WORKDAY(Main[[#This Row],[Tech Start Date]],2),""))))</f>
        <v/>
      </c>
      <c r="N759" s="77" t="str">
        <f>IF(Main[[#This Row],[Tech Start Date]]&lt;1/1/1990,"",IF(Main[[#This Row],[Class]]="C",WORKDAY(Main[[#This Row],[Tech Start Date]],19),IF(Main[[#This Row],[Class]]="B", WORKDAY(Main[[#This Row],[Tech Start Date]],12),IF(Main[[#This Row],[Class]]="A",WORKDAY(Main[[#This Row],[Tech Start Date]],4),""))))</f>
        <v/>
      </c>
      <c r="O759" s="77" t="str">
        <f>IF(Main[[#This Row],[Tech Start Date]]&lt;1/1/1990,"",IF(Main[[#This Row],[Class]]="C",WORKDAY(Main[[#This Row],[Tech Start Date]],23),IF(Main[[#This Row],[Class]]="B", WORKDAY(Main[[#This Row],[Tech Start Date]],15),IF(Main[[#This Row],[Class]]="A",WORKDAY(Main[[#This Row],[Tech Start Date]],5),""))))</f>
        <v/>
      </c>
      <c r="P759" s="77" t="str">
        <f>IF(Main[[#This Row],[Tech Start Date]]&lt;1/1/1990,"",IF(Main[[#This Row],[Class]]="C",WORKDAY(Main[[#This Row],[Tech Start Date]],28),IF(Main[[#This Row],[Class]]="B", WORKDAY(Main[[#This Row],[Tech Start Date]],19),IF(Main[[#This Row],[Class]]="A",WORKDAY(Main[[#This Row],[Tech Start Date]],9),""))))</f>
        <v/>
      </c>
      <c r="Q759" s="74">
        <v>40858</v>
      </c>
      <c r="R759" s="74"/>
      <c r="S759" s="72" t="s">
        <v>17</v>
      </c>
      <c r="T759" s="80" t="s">
        <v>4</v>
      </c>
      <c r="U759" s="72" t="s">
        <v>14</v>
      </c>
      <c r="V759" s="72" t="s">
        <v>1917</v>
      </c>
      <c r="W759" s="72" t="s">
        <v>1922</v>
      </c>
      <c r="X759" s="72" t="s">
        <v>50</v>
      </c>
      <c r="Y759" s="72" t="s">
        <v>2965</v>
      </c>
      <c r="Z759" s="72" t="s">
        <v>4</v>
      </c>
      <c r="AA759" s="146" t="s">
        <v>2834</v>
      </c>
    </row>
    <row r="760" spans="1:27" ht="18.600000000000001" customHeight="1">
      <c r="A760" s="139" t="str">
        <f>IF(priority(Main[[#This Row],[Comments]])&lt;&gt;0, priority(Main[[#This Row],[Comments]]),"")</f>
        <v/>
      </c>
      <c r="B760" s="89" t="s">
        <v>1853</v>
      </c>
      <c r="C760" s="72" t="s">
        <v>67</v>
      </c>
      <c r="D760" s="73" t="s">
        <v>908</v>
      </c>
      <c r="E760" s="74">
        <v>39981.49428240741</v>
      </c>
      <c r="F760" s="74"/>
      <c r="G760" s="75" t="str">
        <f>IF(stdProdLT(Main[[#This Row],[Comments]])=0.1,"N/A",IF(stdProdLT(Main[[#This Row],[Comments]])=0,"",stdProdLT(Main[[#This Row],[Comments]])))</f>
        <v/>
      </c>
      <c r="H760" s="76" t="str">
        <f>IF(AND(Main[[#This Row],[In Stock Date]]&lt;&gt;"",Main[[#This Row],[Revised Due Date]]&lt;&gt;""),Main[[#This Row],[In Stock Date]]-Main[[#This Row],[Revised Due Date]],"")</f>
        <v/>
      </c>
      <c r="I760" s="72" t="s">
        <v>976</v>
      </c>
      <c r="J760" s="72" t="s">
        <v>4</v>
      </c>
      <c r="K760" s="72" t="s">
        <v>1929</v>
      </c>
      <c r="L760" s="74"/>
      <c r="M760" s="77" t="str">
        <f>IF(Main[[#This Row],[Tech Start Date]]&lt;1/1/1990,"",IF(Main[[#This Row],[Class]]="C",WORKDAY(Main[[#This Row],[Tech Start Date]],9),IF(Main[[#This Row],[Class]]="B", WORKDAY(Main[[#This Row],[Tech Start Date]],6),IF(Main[[#This Row],[Class]]="A",WORKDAY(Main[[#This Row],[Tech Start Date]],2),""))))</f>
        <v/>
      </c>
      <c r="N760" s="77" t="str">
        <f>IF(Main[[#This Row],[Tech Start Date]]&lt;1/1/1990,"",IF(Main[[#This Row],[Class]]="C",WORKDAY(Main[[#This Row],[Tech Start Date]],19),IF(Main[[#This Row],[Class]]="B", WORKDAY(Main[[#This Row],[Tech Start Date]],12),IF(Main[[#This Row],[Class]]="A",WORKDAY(Main[[#This Row],[Tech Start Date]],4),""))))</f>
        <v/>
      </c>
      <c r="O760" s="77" t="str">
        <f>IF(Main[[#This Row],[Tech Start Date]]&lt;1/1/1990,"",IF(Main[[#This Row],[Class]]="C",WORKDAY(Main[[#This Row],[Tech Start Date]],23),IF(Main[[#This Row],[Class]]="B", WORKDAY(Main[[#This Row],[Tech Start Date]],15),IF(Main[[#This Row],[Class]]="A",WORKDAY(Main[[#This Row],[Tech Start Date]],5),""))))</f>
        <v/>
      </c>
      <c r="P760" s="77" t="str">
        <f>IF(Main[[#This Row],[Tech Start Date]]&lt;1/1/1990,"",IF(Main[[#This Row],[Class]]="C",WORKDAY(Main[[#This Row],[Tech Start Date]],28),IF(Main[[#This Row],[Class]]="B", WORKDAY(Main[[#This Row],[Tech Start Date]],19),IF(Main[[#This Row],[Class]]="A",WORKDAY(Main[[#This Row],[Tech Start Date]],9),""))))</f>
        <v/>
      </c>
      <c r="Q760" s="74">
        <v>40057</v>
      </c>
      <c r="R760" s="74">
        <v>40908</v>
      </c>
      <c r="S760" s="72" t="s">
        <v>17</v>
      </c>
      <c r="T760" s="80" t="s">
        <v>4</v>
      </c>
      <c r="U760" s="72" t="s">
        <v>29</v>
      </c>
      <c r="V760" s="72" t="s">
        <v>1920</v>
      </c>
      <c r="W760" s="72" t="s">
        <v>1922</v>
      </c>
      <c r="X760" s="72" t="s">
        <v>2826</v>
      </c>
      <c r="Y760" s="72" t="s">
        <v>3034</v>
      </c>
      <c r="Z760" s="72" t="s">
        <v>415</v>
      </c>
      <c r="AA760" s="146" t="s">
        <v>2864</v>
      </c>
    </row>
    <row r="761" spans="1:27" ht="18.600000000000001" customHeight="1">
      <c r="A761" s="139" t="str">
        <f>IF(priority(Main[[#This Row],[Comments]])&lt;&gt;0, priority(Main[[#This Row],[Comments]]),"")</f>
        <v/>
      </c>
      <c r="B761" s="89" t="s">
        <v>1835</v>
      </c>
      <c r="C761" s="72" t="s">
        <v>4</v>
      </c>
      <c r="D761" s="73" t="s">
        <v>887</v>
      </c>
      <c r="E761" s="74">
        <v>40045.443194444444</v>
      </c>
      <c r="F761" s="74"/>
      <c r="G761" s="75" t="str">
        <f>IF(stdProdLT(Main[[#This Row],[Comments]])=0.1,"N/A",IF(stdProdLT(Main[[#This Row],[Comments]])=0,"",stdProdLT(Main[[#This Row],[Comments]])))</f>
        <v/>
      </c>
      <c r="H761" s="76" t="str">
        <f>IF(AND(Main[[#This Row],[In Stock Date]]&lt;&gt;"",Main[[#This Row],[Revised Due Date]]&lt;&gt;""),Main[[#This Row],[In Stock Date]]-Main[[#This Row],[Revised Due Date]],"")</f>
        <v/>
      </c>
      <c r="I761" s="72" t="s">
        <v>888</v>
      </c>
      <c r="J761" s="72" t="s">
        <v>4</v>
      </c>
      <c r="K761" s="72" t="s">
        <v>1929</v>
      </c>
      <c r="L761" s="74"/>
      <c r="M761" s="77" t="str">
        <f>IF(Main[[#This Row],[Tech Start Date]]&lt;1/1/1990,"",IF(Main[[#This Row],[Class]]="C",WORKDAY(Main[[#This Row],[Tech Start Date]],9),IF(Main[[#This Row],[Class]]="B", WORKDAY(Main[[#This Row],[Tech Start Date]],6),IF(Main[[#This Row],[Class]]="A",WORKDAY(Main[[#This Row],[Tech Start Date]],2),""))))</f>
        <v/>
      </c>
      <c r="N761" s="77" t="str">
        <f>IF(Main[[#This Row],[Tech Start Date]]&lt;1/1/1990,"",IF(Main[[#This Row],[Class]]="C",WORKDAY(Main[[#This Row],[Tech Start Date]],19),IF(Main[[#This Row],[Class]]="B", WORKDAY(Main[[#This Row],[Tech Start Date]],12),IF(Main[[#This Row],[Class]]="A",WORKDAY(Main[[#This Row],[Tech Start Date]],4),""))))</f>
        <v/>
      </c>
      <c r="O761" s="77" t="str">
        <f>IF(Main[[#This Row],[Tech Start Date]]&lt;1/1/1990,"",IF(Main[[#This Row],[Class]]="C",WORKDAY(Main[[#This Row],[Tech Start Date]],23),IF(Main[[#This Row],[Class]]="B", WORKDAY(Main[[#This Row],[Tech Start Date]],15),IF(Main[[#This Row],[Class]]="A",WORKDAY(Main[[#This Row],[Tech Start Date]],5),""))))</f>
        <v/>
      </c>
      <c r="P761" s="77" t="str">
        <f>IF(Main[[#This Row],[Tech Start Date]]&lt;1/1/1990,"",IF(Main[[#This Row],[Class]]="C",WORKDAY(Main[[#This Row],[Tech Start Date]],28),IF(Main[[#This Row],[Class]]="B", WORKDAY(Main[[#This Row],[Tech Start Date]],19),IF(Main[[#This Row],[Class]]="A",WORKDAY(Main[[#This Row],[Tech Start Date]],9),""))))</f>
        <v/>
      </c>
      <c r="Q761" s="74">
        <v>40359</v>
      </c>
      <c r="R761" s="74">
        <v>40420</v>
      </c>
      <c r="S761" s="72" t="s">
        <v>6</v>
      </c>
      <c r="T761" s="80" t="s">
        <v>4</v>
      </c>
      <c r="U761" s="72" t="s">
        <v>29</v>
      </c>
      <c r="V761" s="72" t="s">
        <v>1917</v>
      </c>
      <c r="W761" s="72" t="s">
        <v>1921</v>
      </c>
      <c r="X761" s="72" t="s">
        <v>971</v>
      </c>
      <c r="Y761" s="72" t="s">
        <v>3091</v>
      </c>
      <c r="Z761" s="72" t="s">
        <v>4</v>
      </c>
      <c r="AA761" s="146" t="s">
        <v>971</v>
      </c>
    </row>
    <row r="762" spans="1:27" ht="18.600000000000001" customHeight="1">
      <c r="A762" s="139" t="str">
        <f>IF(priority(Main[[#This Row],[Comments]])&lt;&gt;0, priority(Main[[#This Row],[Comments]]),"")</f>
        <v/>
      </c>
      <c r="B762" s="89" t="s">
        <v>1582</v>
      </c>
      <c r="C762" s="72" t="s">
        <v>47</v>
      </c>
      <c r="D762" s="73" t="s">
        <v>661</v>
      </c>
      <c r="E762" s="74"/>
      <c r="F762" s="74"/>
      <c r="G762" s="75" t="str">
        <f>IF(stdProdLT(Main[[#This Row],[Comments]])=0.1,"N/A",IF(stdProdLT(Main[[#This Row],[Comments]])=0,"",stdProdLT(Main[[#This Row],[Comments]])))</f>
        <v/>
      </c>
      <c r="H762" s="76" t="str">
        <f>IF(AND(Main[[#This Row],[In Stock Date]]&lt;&gt;"",Main[[#This Row],[Revised Due Date]]&lt;&gt;""),Main[[#This Row],[In Stock Date]]-Main[[#This Row],[Revised Due Date]],"")</f>
        <v/>
      </c>
      <c r="I762" s="72" t="s">
        <v>4</v>
      </c>
      <c r="J762" s="72" t="s">
        <v>4</v>
      </c>
      <c r="K762" s="72" t="s">
        <v>4</v>
      </c>
      <c r="L762" s="74"/>
      <c r="M762" s="77" t="str">
        <f>IF(Main[[#This Row],[Tech Start Date]]&lt;1/1/1990,"",IF(Main[[#This Row],[Class]]="C",WORKDAY(Main[[#This Row],[Tech Start Date]],9),IF(Main[[#This Row],[Class]]="B", WORKDAY(Main[[#This Row],[Tech Start Date]],6),IF(Main[[#This Row],[Class]]="A",WORKDAY(Main[[#This Row],[Tech Start Date]],2),""))))</f>
        <v/>
      </c>
      <c r="N762" s="77" t="str">
        <f>IF(Main[[#This Row],[Tech Start Date]]&lt;1/1/1990,"",IF(Main[[#This Row],[Class]]="C",WORKDAY(Main[[#This Row],[Tech Start Date]],19),IF(Main[[#This Row],[Class]]="B", WORKDAY(Main[[#This Row],[Tech Start Date]],12),IF(Main[[#This Row],[Class]]="A",WORKDAY(Main[[#This Row],[Tech Start Date]],4),""))))</f>
        <v/>
      </c>
      <c r="O762" s="77" t="str">
        <f>IF(Main[[#This Row],[Tech Start Date]]&lt;1/1/1990,"",IF(Main[[#This Row],[Class]]="C",WORKDAY(Main[[#This Row],[Tech Start Date]],23),IF(Main[[#This Row],[Class]]="B", WORKDAY(Main[[#This Row],[Tech Start Date]],15),IF(Main[[#This Row],[Class]]="A",WORKDAY(Main[[#This Row],[Tech Start Date]],5),""))))</f>
        <v/>
      </c>
      <c r="P762" s="77" t="str">
        <f>IF(Main[[#This Row],[Tech Start Date]]&lt;1/1/1990,"",IF(Main[[#This Row],[Class]]="C",WORKDAY(Main[[#This Row],[Tech Start Date]],28),IF(Main[[#This Row],[Class]]="B", WORKDAY(Main[[#This Row],[Tech Start Date]],19),IF(Main[[#This Row],[Class]]="A",WORKDAY(Main[[#This Row],[Tech Start Date]],9),""))))</f>
        <v/>
      </c>
      <c r="Q762" s="74"/>
      <c r="R762" s="74"/>
      <c r="S762" s="72" t="s">
        <v>17</v>
      </c>
      <c r="T762" s="80" t="s">
        <v>4</v>
      </c>
      <c r="U762" s="72" t="s">
        <v>14</v>
      </c>
      <c r="V762" s="72" t="s">
        <v>1920</v>
      </c>
      <c r="W762" s="72" t="s">
        <v>4</v>
      </c>
      <c r="X762" s="72" t="s">
        <v>2865</v>
      </c>
      <c r="Y762" s="72" t="s">
        <v>2954</v>
      </c>
      <c r="Z762" s="72" t="s">
        <v>4</v>
      </c>
      <c r="AA762" s="146" t="s">
        <v>2865</v>
      </c>
    </row>
    <row r="763" spans="1:27" ht="18.600000000000001" customHeight="1">
      <c r="A763" s="139" t="str">
        <f>IF(priority(Main[[#This Row],[Comments]])&lt;&gt;0, priority(Main[[#This Row],[Comments]]),"")</f>
        <v/>
      </c>
      <c r="B763" s="89" t="s">
        <v>1583</v>
      </c>
      <c r="C763" s="72" t="s">
        <v>277</v>
      </c>
      <c r="D763" s="73" t="s">
        <v>662</v>
      </c>
      <c r="E763" s="74"/>
      <c r="F763" s="74">
        <v>40567</v>
      </c>
      <c r="G763" s="75" t="str">
        <f>IF(stdProdLT(Main[[#This Row],[Comments]])=0.1,"N/A",IF(stdProdLT(Main[[#This Row],[Comments]])=0,"",stdProdLT(Main[[#This Row],[Comments]])))</f>
        <v/>
      </c>
      <c r="H763" s="76" t="str">
        <f>IF(AND(Main[[#This Row],[In Stock Date]]&lt;&gt;"",Main[[#This Row],[Revised Due Date]]&lt;&gt;""),Main[[#This Row],[In Stock Date]]-Main[[#This Row],[Revised Due Date]],"")</f>
        <v/>
      </c>
      <c r="I763" s="72" t="s">
        <v>4</v>
      </c>
      <c r="J763" s="72" t="s">
        <v>4</v>
      </c>
      <c r="K763" s="72" t="s">
        <v>4</v>
      </c>
      <c r="L763" s="74"/>
      <c r="M763" s="77" t="str">
        <f>IF(Main[[#This Row],[Tech Start Date]]&lt;1/1/1990,"",IF(Main[[#This Row],[Class]]="C",WORKDAY(Main[[#This Row],[Tech Start Date]],9),IF(Main[[#This Row],[Class]]="B", WORKDAY(Main[[#This Row],[Tech Start Date]],6),IF(Main[[#This Row],[Class]]="A",WORKDAY(Main[[#This Row],[Tech Start Date]],2),""))))</f>
        <v/>
      </c>
      <c r="N763" s="77" t="str">
        <f>IF(Main[[#This Row],[Tech Start Date]]&lt;1/1/1990,"",IF(Main[[#This Row],[Class]]="C",WORKDAY(Main[[#This Row],[Tech Start Date]],19),IF(Main[[#This Row],[Class]]="B", WORKDAY(Main[[#This Row],[Tech Start Date]],12),IF(Main[[#This Row],[Class]]="A",WORKDAY(Main[[#This Row],[Tech Start Date]],4),""))))</f>
        <v/>
      </c>
      <c r="O763" s="77" t="str">
        <f>IF(Main[[#This Row],[Tech Start Date]]&lt;1/1/1990,"",IF(Main[[#This Row],[Class]]="C",WORKDAY(Main[[#This Row],[Tech Start Date]],23),IF(Main[[#This Row],[Class]]="B", WORKDAY(Main[[#This Row],[Tech Start Date]],15),IF(Main[[#This Row],[Class]]="A",WORKDAY(Main[[#This Row],[Tech Start Date]],5),""))))</f>
        <v/>
      </c>
      <c r="P763" s="77" t="str">
        <f>IF(Main[[#This Row],[Tech Start Date]]&lt;1/1/1990,"",IF(Main[[#This Row],[Class]]="C",WORKDAY(Main[[#This Row],[Tech Start Date]],28),IF(Main[[#This Row],[Class]]="B", WORKDAY(Main[[#This Row],[Tech Start Date]],19),IF(Main[[#This Row],[Class]]="A",WORKDAY(Main[[#This Row],[Tech Start Date]],9),""))))</f>
        <v/>
      </c>
      <c r="Q763" s="74">
        <v>40427</v>
      </c>
      <c r="R763" s="74"/>
      <c r="S763" s="72" t="s">
        <v>11</v>
      </c>
      <c r="T763" s="80" t="s">
        <v>4</v>
      </c>
      <c r="U763" s="72" t="s">
        <v>12</v>
      </c>
      <c r="V763" s="72" t="s">
        <v>1917</v>
      </c>
      <c r="W763" s="72" t="s">
        <v>1925</v>
      </c>
      <c r="X763" s="72" t="s">
        <v>2849</v>
      </c>
      <c r="Y763" s="72" t="s">
        <v>4</v>
      </c>
      <c r="Z763" s="72" t="s">
        <v>4</v>
      </c>
      <c r="AA763" s="146" t="s">
        <v>2849</v>
      </c>
    </row>
    <row r="764" spans="1:27" ht="18.600000000000001" customHeight="1">
      <c r="A764" s="139" t="str">
        <f>IF(priority(Main[[#This Row],[Comments]])&lt;&gt;0, priority(Main[[#This Row],[Comments]]),"")</f>
        <v/>
      </c>
      <c r="B764" s="89" t="s">
        <v>2411</v>
      </c>
      <c r="C764" s="72" t="s">
        <v>4</v>
      </c>
      <c r="D764" s="73" t="s">
        <v>2737</v>
      </c>
      <c r="E764" s="74">
        <v>40905.580543981479</v>
      </c>
      <c r="F764" s="74"/>
      <c r="G764" s="75" t="str">
        <f>IF(stdProdLT(Main[[#This Row],[Comments]])=0.1,"N/A",IF(stdProdLT(Main[[#This Row],[Comments]])=0,"",stdProdLT(Main[[#This Row],[Comments]])))</f>
        <v/>
      </c>
      <c r="H764" s="76" t="str">
        <f>IF(AND(Main[[#This Row],[In Stock Date]]&lt;&gt;"",Main[[#This Row],[Revised Due Date]]&lt;&gt;""),Main[[#This Row],[In Stock Date]]-Main[[#This Row],[Revised Due Date]],"")</f>
        <v/>
      </c>
      <c r="I764" s="72" t="s">
        <v>2047</v>
      </c>
      <c r="J764" s="72" t="s">
        <v>28</v>
      </c>
      <c r="K764" s="72" t="s">
        <v>1926</v>
      </c>
      <c r="L764" s="74"/>
      <c r="M764" s="77" t="str">
        <f>IF(Main[[#This Row],[Tech Start Date]]&lt;1/1/1990,"",IF(Main[[#This Row],[Class]]="C",WORKDAY(Main[[#This Row],[Tech Start Date]],9),IF(Main[[#This Row],[Class]]="B", WORKDAY(Main[[#This Row],[Tech Start Date]],6),IF(Main[[#This Row],[Class]]="A",WORKDAY(Main[[#This Row],[Tech Start Date]],2),""))))</f>
        <v/>
      </c>
      <c r="N764" s="77" t="str">
        <f>IF(Main[[#This Row],[Tech Start Date]]&lt;1/1/1990,"",IF(Main[[#This Row],[Class]]="C",WORKDAY(Main[[#This Row],[Tech Start Date]],19),IF(Main[[#This Row],[Class]]="B", WORKDAY(Main[[#This Row],[Tech Start Date]],12),IF(Main[[#This Row],[Class]]="A",WORKDAY(Main[[#This Row],[Tech Start Date]],4),""))))</f>
        <v/>
      </c>
      <c r="O764" s="77" t="str">
        <f>IF(Main[[#This Row],[Tech Start Date]]&lt;1/1/1990,"",IF(Main[[#This Row],[Class]]="C",WORKDAY(Main[[#This Row],[Tech Start Date]],23),IF(Main[[#This Row],[Class]]="B", WORKDAY(Main[[#This Row],[Tech Start Date]],15),IF(Main[[#This Row],[Class]]="A",WORKDAY(Main[[#This Row],[Tech Start Date]],5),""))))</f>
        <v/>
      </c>
      <c r="P764" s="77" t="str">
        <f>IF(Main[[#This Row],[Tech Start Date]]&lt;1/1/1990,"",IF(Main[[#This Row],[Class]]="C",WORKDAY(Main[[#This Row],[Tech Start Date]],28),IF(Main[[#This Row],[Class]]="B", WORKDAY(Main[[#This Row],[Tech Start Date]],19),IF(Main[[#This Row],[Class]]="A",WORKDAY(Main[[#This Row],[Tech Start Date]],9),""))))</f>
        <v/>
      </c>
      <c r="Q764" s="74">
        <v>40967</v>
      </c>
      <c r="R764" s="74"/>
      <c r="S764" s="72" t="s">
        <v>6</v>
      </c>
      <c r="T764" s="80" t="s">
        <v>4</v>
      </c>
      <c r="U764" s="72" t="s">
        <v>29</v>
      </c>
      <c r="V764" s="72" t="s">
        <v>1920</v>
      </c>
      <c r="W764" s="72" t="s">
        <v>1921</v>
      </c>
      <c r="X764" s="72" t="s">
        <v>30</v>
      </c>
      <c r="Y764" s="72" t="s">
        <v>2946</v>
      </c>
      <c r="Z764" s="72" t="s">
        <v>30</v>
      </c>
      <c r="AA764" s="146" t="s">
        <v>30</v>
      </c>
    </row>
    <row r="765" spans="1:27" ht="18.600000000000001" customHeight="1">
      <c r="A765" s="139" t="str">
        <f>IF(priority(Main[[#This Row],[Comments]])&lt;&gt;0, priority(Main[[#This Row],[Comments]]),"")</f>
        <v/>
      </c>
      <c r="B765" s="89" t="s">
        <v>1586</v>
      </c>
      <c r="C765" s="72" t="s">
        <v>72</v>
      </c>
      <c r="D765" s="73" t="s">
        <v>664</v>
      </c>
      <c r="E765" s="74"/>
      <c r="F765" s="74"/>
      <c r="G765" s="75" t="str">
        <f>IF(stdProdLT(Main[[#This Row],[Comments]])=0.1,"N/A",IF(stdProdLT(Main[[#This Row],[Comments]])=0,"",stdProdLT(Main[[#This Row],[Comments]])))</f>
        <v/>
      </c>
      <c r="H765" s="76" t="str">
        <f>IF(AND(Main[[#This Row],[In Stock Date]]&lt;&gt;"",Main[[#This Row],[Revised Due Date]]&lt;&gt;""),Main[[#This Row],[In Stock Date]]-Main[[#This Row],[Revised Due Date]],"")</f>
        <v/>
      </c>
      <c r="I765" s="72" t="s">
        <v>4</v>
      </c>
      <c r="J765" s="72" t="s">
        <v>4</v>
      </c>
      <c r="K765" s="72" t="s">
        <v>4</v>
      </c>
      <c r="L765" s="74"/>
      <c r="M765" s="77" t="str">
        <f>IF(Main[[#This Row],[Tech Start Date]]&lt;1/1/1990,"",IF(Main[[#This Row],[Class]]="C",WORKDAY(Main[[#This Row],[Tech Start Date]],9),IF(Main[[#This Row],[Class]]="B", WORKDAY(Main[[#This Row],[Tech Start Date]],6),IF(Main[[#This Row],[Class]]="A",WORKDAY(Main[[#This Row],[Tech Start Date]],2),""))))</f>
        <v/>
      </c>
      <c r="N765" s="77" t="str">
        <f>IF(Main[[#This Row],[Tech Start Date]]&lt;1/1/1990,"",IF(Main[[#This Row],[Class]]="C",WORKDAY(Main[[#This Row],[Tech Start Date]],19),IF(Main[[#This Row],[Class]]="B", WORKDAY(Main[[#This Row],[Tech Start Date]],12),IF(Main[[#This Row],[Class]]="A",WORKDAY(Main[[#This Row],[Tech Start Date]],4),""))))</f>
        <v/>
      </c>
      <c r="O765" s="77" t="str">
        <f>IF(Main[[#This Row],[Tech Start Date]]&lt;1/1/1990,"",IF(Main[[#This Row],[Class]]="C",WORKDAY(Main[[#This Row],[Tech Start Date]],23),IF(Main[[#This Row],[Class]]="B", WORKDAY(Main[[#This Row],[Tech Start Date]],15),IF(Main[[#This Row],[Class]]="A",WORKDAY(Main[[#This Row],[Tech Start Date]],5),""))))</f>
        <v/>
      </c>
      <c r="P765" s="77" t="str">
        <f>IF(Main[[#This Row],[Tech Start Date]]&lt;1/1/1990,"",IF(Main[[#This Row],[Class]]="C",WORKDAY(Main[[#This Row],[Tech Start Date]],28),IF(Main[[#This Row],[Class]]="B", WORKDAY(Main[[#This Row],[Tech Start Date]],19),IF(Main[[#This Row],[Class]]="A",WORKDAY(Main[[#This Row],[Tech Start Date]],9),""))))</f>
        <v/>
      </c>
      <c r="Q765" s="74"/>
      <c r="R765" s="74"/>
      <c r="S765" s="72" t="s">
        <v>49</v>
      </c>
      <c r="T765" s="80" t="s">
        <v>4</v>
      </c>
      <c r="U765" s="72" t="s">
        <v>12</v>
      </c>
      <c r="V765" s="72" t="s">
        <v>1918</v>
      </c>
      <c r="W765" s="72" t="s">
        <v>1919</v>
      </c>
      <c r="X765" s="72" t="s">
        <v>2907</v>
      </c>
      <c r="Y765" s="72" t="s">
        <v>3085</v>
      </c>
      <c r="Z765" s="72" t="s">
        <v>4</v>
      </c>
      <c r="AA765" s="146" t="s">
        <v>2907</v>
      </c>
    </row>
    <row r="766" spans="1:27" ht="18.600000000000001" customHeight="1">
      <c r="A766" s="139" t="str">
        <f>IF(priority(Main[[#This Row],[Comments]])&lt;&gt;0, priority(Main[[#This Row],[Comments]]),"")</f>
        <v/>
      </c>
      <c r="B766" s="89" t="s">
        <v>1587</v>
      </c>
      <c r="C766" s="72" t="s">
        <v>33</v>
      </c>
      <c r="D766" s="73" t="s">
        <v>665</v>
      </c>
      <c r="E766" s="74"/>
      <c r="F766" s="74">
        <v>40566</v>
      </c>
      <c r="G766" s="75" t="str">
        <f>IF(stdProdLT(Main[[#This Row],[Comments]])=0.1,"N/A",IF(stdProdLT(Main[[#This Row],[Comments]])=0,"",stdProdLT(Main[[#This Row],[Comments]])))</f>
        <v/>
      </c>
      <c r="H766" s="76" t="str">
        <f>IF(AND(Main[[#This Row],[In Stock Date]]&lt;&gt;"",Main[[#This Row],[Revised Due Date]]&lt;&gt;""),Main[[#This Row],[In Stock Date]]-Main[[#This Row],[Revised Due Date]],"")</f>
        <v/>
      </c>
      <c r="I766" s="72" t="s">
        <v>4</v>
      </c>
      <c r="J766" s="72" t="s">
        <v>4</v>
      </c>
      <c r="K766" s="72" t="s">
        <v>4</v>
      </c>
      <c r="L766" s="74"/>
      <c r="M766" s="77" t="str">
        <f>IF(Main[[#This Row],[Tech Start Date]]&lt;1/1/1990,"",IF(Main[[#This Row],[Class]]="C",WORKDAY(Main[[#This Row],[Tech Start Date]],9),IF(Main[[#This Row],[Class]]="B", WORKDAY(Main[[#This Row],[Tech Start Date]],6),IF(Main[[#This Row],[Class]]="A",WORKDAY(Main[[#This Row],[Tech Start Date]],2),""))))</f>
        <v/>
      </c>
      <c r="N766" s="77" t="str">
        <f>IF(Main[[#This Row],[Tech Start Date]]&lt;1/1/1990,"",IF(Main[[#This Row],[Class]]="C",WORKDAY(Main[[#This Row],[Tech Start Date]],19),IF(Main[[#This Row],[Class]]="B", WORKDAY(Main[[#This Row],[Tech Start Date]],12),IF(Main[[#This Row],[Class]]="A",WORKDAY(Main[[#This Row],[Tech Start Date]],4),""))))</f>
        <v/>
      </c>
      <c r="O766" s="77" t="str">
        <f>IF(Main[[#This Row],[Tech Start Date]]&lt;1/1/1990,"",IF(Main[[#This Row],[Class]]="C",WORKDAY(Main[[#This Row],[Tech Start Date]],23),IF(Main[[#This Row],[Class]]="B", WORKDAY(Main[[#This Row],[Tech Start Date]],15),IF(Main[[#This Row],[Class]]="A",WORKDAY(Main[[#This Row],[Tech Start Date]],5),""))))</f>
        <v/>
      </c>
      <c r="P766" s="77" t="str">
        <f>IF(Main[[#This Row],[Tech Start Date]]&lt;1/1/1990,"",IF(Main[[#This Row],[Class]]="C",WORKDAY(Main[[#This Row],[Tech Start Date]],28),IF(Main[[#This Row],[Class]]="B", WORKDAY(Main[[#This Row],[Tech Start Date]],19),IF(Main[[#This Row],[Class]]="A",WORKDAY(Main[[#This Row],[Tech Start Date]],9),""))))</f>
        <v/>
      </c>
      <c r="Q766" s="74">
        <v>40532</v>
      </c>
      <c r="R766" s="74"/>
      <c r="S766" s="72" t="s">
        <v>11</v>
      </c>
      <c r="T766" s="80" t="s">
        <v>4</v>
      </c>
      <c r="U766" s="72" t="s">
        <v>12</v>
      </c>
      <c r="V766" s="72" t="s">
        <v>1918</v>
      </c>
      <c r="W766" s="72" t="s">
        <v>1925</v>
      </c>
      <c r="X766" s="72" t="s">
        <v>2881</v>
      </c>
      <c r="Y766" s="72" t="s">
        <v>3027</v>
      </c>
      <c r="Z766" s="72" t="s">
        <v>4</v>
      </c>
      <c r="AA766" s="146" t="s">
        <v>2881</v>
      </c>
    </row>
    <row r="767" spans="1:27" ht="18.600000000000001" customHeight="1">
      <c r="A767" s="139" t="str">
        <f>IF(priority(Main[[#This Row],[Comments]])&lt;&gt;0, priority(Main[[#This Row],[Comments]]),"")</f>
        <v/>
      </c>
      <c r="B767" s="89" t="s">
        <v>1588</v>
      </c>
      <c r="C767" s="72" t="s">
        <v>347</v>
      </c>
      <c r="D767" s="73" t="s">
        <v>666</v>
      </c>
      <c r="E767" s="74"/>
      <c r="F767" s="74"/>
      <c r="G767" s="75" t="str">
        <f>IF(stdProdLT(Main[[#This Row],[Comments]])=0.1,"N/A",IF(stdProdLT(Main[[#This Row],[Comments]])=0,"",stdProdLT(Main[[#This Row],[Comments]])))</f>
        <v/>
      </c>
      <c r="H767" s="76" t="str">
        <f>IF(AND(Main[[#This Row],[In Stock Date]]&lt;&gt;"",Main[[#This Row],[Revised Due Date]]&lt;&gt;""),Main[[#This Row],[In Stock Date]]-Main[[#This Row],[Revised Due Date]],"")</f>
        <v/>
      </c>
      <c r="I767" s="72" t="s">
        <v>4</v>
      </c>
      <c r="J767" s="72" t="s">
        <v>4</v>
      </c>
      <c r="K767" s="72" t="s">
        <v>4</v>
      </c>
      <c r="L767" s="74"/>
      <c r="M767" s="77" t="str">
        <f>IF(Main[[#This Row],[Tech Start Date]]&lt;1/1/1990,"",IF(Main[[#This Row],[Class]]="C",WORKDAY(Main[[#This Row],[Tech Start Date]],9),IF(Main[[#This Row],[Class]]="B", WORKDAY(Main[[#This Row],[Tech Start Date]],6),IF(Main[[#This Row],[Class]]="A",WORKDAY(Main[[#This Row],[Tech Start Date]],2),""))))</f>
        <v/>
      </c>
      <c r="N767" s="77" t="str">
        <f>IF(Main[[#This Row],[Tech Start Date]]&lt;1/1/1990,"",IF(Main[[#This Row],[Class]]="C",WORKDAY(Main[[#This Row],[Tech Start Date]],19),IF(Main[[#This Row],[Class]]="B", WORKDAY(Main[[#This Row],[Tech Start Date]],12),IF(Main[[#This Row],[Class]]="A",WORKDAY(Main[[#This Row],[Tech Start Date]],4),""))))</f>
        <v/>
      </c>
      <c r="O767" s="77" t="str">
        <f>IF(Main[[#This Row],[Tech Start Date]]&lt;1/1/1990,"",IF(Main[[#This Row],[Class]]="C",WORKDAY(Main[[#This Row],[Tech Start Date]],23),IF(Main[[#This Row],[Class]]="B", WORKDAY(Main[[#This Row],[Tech Start Date]],15),IF(Main[[#This Row],[Class]]="A",WORKDAY(Main[[#This Row],[Tech Start Date]],5),""))))</f>
        <v/>
      </c>
      <c r="P767" s="77" t="str">
        <f>IF(Main[[#This Row],[Tech Start Date]]&lt;1/1/1990,"",IF(Main[[#This Row],[Class]]="C",WORKDAY(Main[[#This Row],[Tech Start Date]],28),IF(Main[[#This Row],[Class]]="B", WORKDAY(Main[[#This Row],[Tech Start Date]],19),IF(Main[[#This Row],[Class]]="A",WORKDAY(Main[[#This Row],[Tech Start Date]],9),""))))</f>
        <v/>
      </c>
      <c r="Q767" s="74">
        <v>40494</v>
      </c>
      <c r="R767" s="74"/>
      <c r="S767" s="72" t="s">
        <v>11</v>
      </c>
      <c r="T767" s="80" t="s">
        <v>4</v>
      </c>
      <c r="U767" s="72" t="s">
        <v>14</v>
      </c>
      <c r="V767" s="72" t="s">
        <v>1927</v>
      </c>
      <c r="W767" s="72" t="s">
        <v>4</v>
      </c>
      <c r="X767" s="72" t="s">
        <v>2830</v>
      </c>
      <c r="Y767" s="72" t="s">
        <v>2949</v>
      </c>
      <c r="Z767" s="72" t="s">
        <v>4</v>
      </c>
      <c r="AA767" s="146" t="s">
        <v>2830</v>
      </c>
    </row>
    <row r="768" spans="1:27" ht="18.600000000000001" customHeight="1">
      <c r="A768" s="139" t="str">
        <f>IF(priority(Main[[#This Row],[Comments]])&lt;&gt;0, priority(Main[[#This Row],[Comments]]),"")</f>
        <v/>
      </c>
      <c r="B768" s="89" t="s">
        <v>1589</v>
      </c>
      <c r="C768" s="72" t="s">
        <v>4</v>
      </c>
      <c r="D768" s="73" t="s">
        <v>667</v>
      </c>
      <c r="E768" s="74">
        <v>40462.471782407411</v>
      </c>
      <c r="F768" s="74"/>
      <c r="G768" s="75" t="str">
        <f>IF(stdProdLT(Main[[#This Row],[Comments]])=0.1,"N/A",IF(stdProdLT(Main[[#This Row],[Comments]])=0,"",stdProdLT(Main[[#This Row],[Comments]])))</f>
        <v/>
      </c>
      <c r="H768" s="76" t="str">
        <f>IF(AND(Main[[#This Row],[In Stock Date]]&lt;&gt;"",Main[[#This Row],[Revised Due Date]]&lt;&gt;""),Main[[#This Row],[In Stock Date]]-Main[[#This Row],[Revised Due Date]],"")</f>
        <v/>
      </c>
      <c r="I768" s="72" t="s">
        <v>4</v>
      </c>
      <c r="J768" s="72" t="s">
        <v>4</v>
      </c>
      <c r="K768" s="72" t="s">
        <v>4</v>
      </c>
      <c r="L768" s="74"/>
      <c r="M768" s="77" t="str">
        <f>IF(Main[[#This Row],[Tech Start Date]]&lt;1/1/1990,"",IF(Main[[#This Row],[Class]]="C",WORKDAY(Main[[#This Row],[Tech Start Date]],9),IF(Main[[#This Row],[Class]]="B", WORKDAY(Main[[#This Row],[Tech Start Date]],6),IF(Main[[#This Row],[Class]]="A",WORKDAY(Main[[#This Row],[Tech Start Date]],2),""))))</f>
        <v/>
      </c>
      <c r="N768" s="77" t="str">
        <f>IF(Main[[#This Row],[Tech Start Date]]&lt;1/1/1990,"",IF(Main[[#This Row],[Class]]="C",WORKDAY(Main[[#This Row],[Tech Start Date]],19),IF(Main[[#This Row],[Class]]="B", WORKDAY(Main[[#This Row],[Tech Start Date]],12),IF(Main[[#This Row],[Class]]="A",WORKDAY(Main[[#This Row],[Tech Start Date]],4),""))))</f>
        <v/>
      </c>
      <c r="O768" s="77" t="str">
        <f>IF(Main[[#This Row],[Tech Start Date]]&lt;1/1/1990,"",IF(Main[[#This Row],[Class]]="C",WORKDAY(Main[[#This Row],[Tech Start Date]],23),IF(Main[[#This Row],[Class]]="B", WORKDAY(Main[[#This Row],[Tech Start Date]],15),IF(Main[[#This Row],[Class]]="A",WORKDAY(Main[[#This Row],[Tech Start Date]],5),""))))</f>
        <v/>
      </c>
      <c r="P768" s="77" t="str">
        <f>IF(Main[[#This Row],[Tech Start Date]]&lt;1/1/1990,"",IF(Main[[#This Row],[Class]]="C",WORKDAY(Main[[#This Row],[Tech Start Date]],28),IF(Main[[#This Row],[Class]]="B", WORKDAY(Main[[#This Row],[Tech Start Date]],19),IF(Main[[#This Row],[Class]]="A",WORKDAY(Main[[#This Row],[Tech Start Date]],9),""))))</f>
        <v/>
      </c>
      <c r="Q768" s="74"/>
      <c r="R768" s="74"/>
      <c r="S768" s="72" t="s">
        <v>6</v>
      </c>
      <c r="T768" s="80" t="s">
        <v>4</v>
      </c>
      <c r="U768" s="72" t="s">
        <v>7</v>
      </c>
      <c r="V768" s="72" t="s">
        <v>1917</v>
      </c>
      <c r="W768" s="72" t="s">
        <v>1921</v>
      </c>
      <c r="X768" s="72" t="s">
        <v>2872</v>
      </c>
      <c r="Y768" s="72" t="s">
        <v>3006</v>
      </c>
      <c r="Z768" s="72" t="s">
        <v>4</v>
      </c>
      <c r="AA768" s="146" t="s">
        <v>2872</v>
      </c>
    </row>
    <row r="769" spans="1:27" ht="18.600000000000001" customHeight="1">
      <c r="A769" s="139" t="str">
        <f>IF(priority(Main[[#This Row],[Comments]])&lt;&gt;0, priority(Main[[#This Row],[Comments]]),"")</f>
        <v/>
      </c>
      <c r="B769" s="89" t="s">
        <v>1590</v>
      </c>
      <c r="C769" s="72" t="s">
        <v>4</v>
      </c>
      <c r="D769" s="73" t="s">
        <v>39</v>
      </c>
      <c r="E769" s="74"/>
      <c r="F769" s="74"/>
      <c r="G769" s="75" t="str">
        <f>IF(stdProdLT(Main[[#This Row],[Comments]])=0.1,"N/A",IF(stdProdLT(Main[[#This Row],[Comments]])=0,"",stdProdLT(Main[[#This Row],[Comments]])))</f>
        <v/>
      </c>
      <c r="H769" s="76" t="str">
        <f>IF(AND(Main[[#This Row],[In Stock Date]]&lt;&gt;"",Main[[#This Row],[Revised Due Date]]&lt;&gt;""),Main[[#This Row],[In Stock Date]]-Main[[#This Row],[Revised Due Date]],"")</f>
        <v/>
      </c>
      <c r="I769" s="72" t="s">
        <v>4</v>
      </c>
      <c r="J769" s="72" t="s">
        <v>4</v>
      </c>
      <c r="K769" s="72" t="s">
        <v>4</v>
      </c>
      <c r="L769" s="74"/>
      <c r="M769" s="77" t="str">
        <f>IF(Main[[#This Row],[Tech Start Date]]&lt;1/1/1990,"",IF(Main[[#This Row],[Class]]="C",WORKDAY(Main[[#This Row],[Tech Start Date]],9),IF(Main[[#This Row],[Class]]="B", WORKDAY(Main[[#This Row],[Tech Start Date]],6),IF(Main[[#This Row],[Class]]="A",WORKDAY(Main[[#This Row],[Tech Start Date]],2),""))))</f>
        <v/>
      </c>
      <c r="N769" s="77" t="str">
        <f>IF(Main[[#This Row],[Tech Start Date]]&lt;1/1/1990,"",IF(Main[[#This Row],[Class]]="C",WORKDAY(Main[[#This Row],[Tech Start Date]],19),IF(Main[[#This Row],[Class]]="B", WORKDAY(Main[[#This Row],[Tech Start Date]],12),IF(Main[[#This Row],[Class]]="A",WORKDAY(Main[[#This Row],[Tech Start Date]],4),""))))</f>
        <v/>
      </c>
      <c r="O769" s="77" t="str">
        <f>IF(Main[[#This Row],[Tech Start Date]]&lt;1/1/1990,"",IF(Main[[#This Row],[Class]]="C",WORKDAY(Main[[#This Row],[Tech Start Date]],23),IF(Main[[#This Row],[Class]]="B", WORKDAY(Main[[#This Row],[Tech Start Date]],15),IF(Main[[#This Row],[Class]]="A",WORKDAY(Main[[#This Row],[Tech Start Date]],5),""))))</f>
        <v/>
      </c>
      <c r="P769" s="77" t="str">
        <f>IF(Main[[#This Row],[Tech Start Date]]&lt;1/1/1990,"",IF(Main[[#This Row],[Class]]="C",WORKDAY(Main[[#This Row],[Tech Start Date]],28),IF(Main[[#This Row],[Class]]="B", WORKDAY(Main[[#This Row],[Tech Start Date]],19),IF(Main[[#This Row],[Class]]="A",WORKDAY(Main[[#This Row],[Tech Start Date]],9),""))))</f>
        <v/>
      </c>
      <c r="Q769" s="74">
        <v>40669</v>
      </c>
      <c r="R769" s="74"/>
      <c r="S769" s="72" t="s">
        <v>6</v>
      </c>
      <c r="T769" s="80" t="s">
        <v>4</v>
      </c>
      <c r="U769" s="72" t="s">
        <v>14</v>
      </c>
      <c r="V769" s="72" t="s">
        <v>1920</v>
      </c>
      <c r="W769" s="72" t="s">
        <v>4</v>
      </c>
      <c r="X769" s="72" t="s">
        <v>2824</v>
      </c>
      <c r="Y769" s="72" t="s">
        <v>2935</v>
      </c>
      <c r="Z769" s="72" t="s">
        <v>4</v>
      </c>
      <c r="AA769" s="146" t="s">
        <v>2824</v>
      </c>
    </row>
    <row r="770" spans="1:27" ht="18.600000000000001" customHeight="1">
      <c r="A770" s="139" t="str">
        <f>IF(priority(Main[[#This Row],[Comments]])&lt;&gt;0, priority(Main[[#This Row],[Comments]]),"")</f>
        <v/>
      </c>
      <c r="B770" s="89" t="s">
        <v>1840</v>
      </c>
      <c r="C770" s="72" t="s">
        <v>4</v>
      </c>
      <c r="D770" s="73" t="s">
        <v>1951</v>
      </c>
      <c r="E770" s="74"/>
      <c r="F770" s="74">
        <v>40445</v>
      </c>
      <c r="G770" s="75" t="str">
        <f>IF(stdProdLT(Main[[#This Row],[Comments]])=0.1,"N/A",IF(stdProdLT(Main[[#This Row],[Comments]])=0,"",stdProdLT(Main[[#This Row],[Comments]])))</f>
        <v/>
      </c>
      <c r="H770" s="76">
        <f>IF(AND(Main[[#This Row],[In Stock Date]]&lt;&gt;"",Main[[#This Row],[Revised Due Date]]&lt;&gt;""),Main[[#This Row],[In Stock Date]]-Main[[#This Row],[Revised Due Date]],"")</f>
        <v>0</v>
      </c>
      <c r="I770" s="72" t="s">
        <v>4</v>
      </c>
      <c r="J770" s="72" t="s">
        <v>28</v>
      </c>
      <c r="K770" s="81" t="s">
        <v>1930</v>
      </c>
      <c r="L770" s="74"/>
      <c r="M770" s="77" t="str">
        <f>IF(Main[[#This Row],[Tech Start Date]]&lt;1/1/1990,"",IF(Main[[#This Row],[Class]]="C",WORKDAY(Main[[#This Row],[Tech Start Date]],9),IF(Main[[#This Row],[Class]]="B", WORKDAY(Main[[#This Row],[Tech Start Date]],6),IF(Main[[#This Row],[Class]]="A",WORKDAY(Main[[#This Row],[Tech Start Date]],2),""))))</f>
        <v/>
      </c>
      <c r="N770" s="77" t="str">
        <f>IF(Main[[#This Row],[Tech Start Date]]&lt;1/1/1990,"",IF(Main[[#This Row],[Class]]="C",WORKDAY(Main[[#This Row],[Tech Start Date]],19),IF(Main[[#This Row],[Class]]="B", WORKDAY(Main[[#This Row],[Tech Start Date]],12),IF(Main[[#This Row],[Class]]="A",WORKDAY(Main[[#This Row],[Tech Start Date]],4),""))))</f>
        <v/>
      </c>
      <c r="O770" s="77" t="str">
        <f>IF(Main[[#This Row],[Tech Start Date]]&lt;1/1/1990,"",IF(Main[[#This Row],[Class]]="C",WORKDAY(Main[[#This Row],[Tech Start Date]],23),IF(Main[[#This Row],[Class]]="B", WORKDAY(Main[[#This Row],[Tech Start Date]],15),IF(Main[[#This Row],[Class]]="A",WORKDAY(Main[[#This Row],[Tech Start Date]],5),""))))</f>
        <v/>
      </c>
      <c r="P770" s="77" t="str">
        <f>IF(Main[[#This Row],[Tech Start Date]]&lt;1/1/1990,"",IF(Main[[#This Row],[Class]]="C",WORKDAY(Main[[#This Row],[Tech Start Date]],28),IF(Main[[#This Row],[Class]]="B", WORKDAY(Main[[#This Row],[Tech Start Date]],19),IF(Main[[#This Row],[Class]]="A",WORKDAY(Main[[#This Row],[Tech Start Date]],9),""))))</f>
        <v/>
      </c>
      <c r="Q770" s="74">
        <v>40445</v>
      </c>
      <c r="R770" s="74">
        <v>40445</v>
      </c>
      <c r="S770" s="72" t="s">
        <v>11</v>
      </c>
      <c r="T770" s="80" t="s">
        <v>4</v>
      </c>
      <c r="U770" s="72" t="s">
        <v>14</v>
      </c>
      <c r="V770" s="72" t="s">
        <v>1918</v>
      </c>
      <c r="W770" s="72" t="s">
        <v>1922</v>
      </c>
      <c r="X770" s="72" t="s">
        <v>2868</v>
      </c>
      <c r="Y770" s="72" t="s">
        <v>3092</v>
      </c>
      <c r="Z770" s="72" t="s">
        <v>3165</v>
      </c>
      <c r="AA770" s="146" t="s">
        <v>2881</v>
      </c>
    </row>
    <row r="771" spans="1:27" ht="18.600000000000001" customHeight="1">
      <c r="A771" s="139" t="str">
        <f>IF(priority(Main[[#This Row],[Comments]])&lt;&gt;0, priority(Main[[#This Row],[Comments]]),"")</f>
        <v/>
      </c>
      <c r="B771" s="89" t="s">
        <v>1591</v>
      </c>
      <c r="C771" s="72" t="s">
        <v>4</v>
      </c>
      <c r="D771" s="73" t="s">
        <v>668</v>
      </c>
      <c r="E771" s="74"/>
      <c r="F771" s="74"/>
      <c r="G771" s="75" t="str">
        <f>IF(stdProdLT(Main[[#This Row],[Comments]])=0.1,"N/A",IF(stdProdLT(Main[[#This Row],[Comments]])=0,"",stdProdLT(Main[[#This Row],[Comments]])))</f>
        <v/>
      </c>
      <c r="H771" s="76" t="str">
        <f>IF(AND(Main[[#This Row],[In Stock Date]]&lt;&gt;"",Main[[#This Row],[Revised Due Date]]&lt;&gt;""),Main[[#This Row],[In Stock Date]]-Main[[#This Row],[Revised Due Date]],"")</f>
        <v/>
      </c>
      <c r="I771" s="72" t="s">
        <v>4</v>
      </c>
      <c r="J771" s="72" t="s">
        <v>4</v>
      </c>
      <c r="K771" s="72" t="s">
        <v>4</v>
      </c>
      <c r="L771" s="74"/>
      <c r="M771" s="77" t="str">
        <f>IF(Main[[#This Row],[Tech Start Date]]&lt;1/1/1990,"",IF(Main[[#This Row],[Class]]="C",WORKDAY(Main[[#This Row],[Tech Start Date]],9),IF(Main[[#This Row],[Class]]="B", WORKDAY(Main[[#This Row],[Tech Start Date]],6),IF(Main[[#This Row],[Class]]="A",WORKDAY(Main[[#This Row],[Tech Start Date]],2),""))))</f>
        <v/>
      </c>
      <c r="N771" s="77" t="str">
        <f>IF(Main[[#This Row],[Tech Start Date]]&lt;1/1/1990,"",IF(Main[[#This Row],[Class]]="C",WORKDAY(Main[[#This Row],[Tech Start Date]],19),IF(Main[[#This Row],[Class]]="B", WORKDAY(Main[[#This Row],[Tech Start Date]],12),IF(Main[[#This Row],[Class]]="A",WORKDAY(Main[[#This Row],[Tech Start Date]],4),""))))</f>
        <v/>
      </c>
      <c r="O771" s="77" t="str">
        <f>IF(Main[[#This Row],[Tech Start Date]]&lt;1/1/1990,"",IF(Main[[#This Row],[Class]]="C",WORKDAY(Main[[#This Row],[Tech Start Date]],23),IF(Main[[#This Row],[Class]]="B", WORKDAY(Main[[#This Row],[Tech Start Date]],15),IF(Main[[#This Row],[Class]]="A",WORKDAY(Main[[#This Row],[Tech Start Date]],5),""))))</f>
        <v/>
      </c>
      <c r="P771" s="77" t="str">
        <f>IF(Main[[#This Row],[Tech Start Date]]&lt;1/1/1990,"",IF(Main[[#This Row],[Class]]="C",WORKDAY(Main[[#This Row],[Tech Start Date]],28),IF(Main[[#This Row],[Class]]="B", WORKDAY(Main[[#This Row],[Tech Start Date]],19),IF(Main[[#This Row],[Class]]="A",WORKDAY(Main[[#This Row],[Tech Start Date]],9),""))))</f>
        <v/>
      </c>
      <c r="Q771" s="74"/>
      <c r="R771" s="74"/>
      <c r="S771" s="72" t="s">
        <v>6</v>
      </c>
      <c r="T771" s="80" t="s">
        <v>4</v>
      </c>
      <c r="U771" s="72" t="s">
        <v>14</v>
      </c>
      <c r="V771" s="72" t="s">
        <v>1917</v>
      </c>
      <c r="W771" s="72" t="s">
        <v>1921</v>
      </c>
      <c r="X771" s="72" t="s">
        <v>306</v>
      </c>
      <c r="Y771" s="72" t="s">
        <v>4</v>
      </c>
      <c r="Z771" s="72" t="s">
        <v>4</v>
      </c>
      <c r="AA771" s="146" t="s">
        <v>2857</v>
      </c>
    </row>
    <row r="772" spans="1:27" ht="18.600000000000001" customHeight="1">
      <c r="A772" s="139" t="str">
        <f>IF(priority(Main[[#This Row],[Comments]])&lt;&gt;0, priority(Main[[#This Row],[Comments]]),"")</f>
        <v/>
      </c>
      <c r="B772" s="89" t="s">
        <v>1592</v>
      </c>
      <c r="C772" s="72" t="s">
        <v>4</v>
      </c>
      <c r="D772" s="73" t="s">
        <v>97</v>
      </c>
      <c r="E772" s="74"/>
      <c r="F772" s="74"/>
      <c r="G772" s="75" t="str">
        <f>IF(stdProdLT(Main[[#This Row],[Comments]])=0.1,"N/A",IF(stdProdLT(Main[[#This Row],[Comments]])=0,"",stdProdLT(Main[[#This Row],[Comments]])))</f>
        <v/>
      </c>
      <c r="H772" s="76" t="str">
        <f>IF(AND(Main[[#This Row],[In Stock Date]]&lt;&gt;"",Main[[#This Row],[Revised Due Date]]&lt;&gt;""),Main[[#This Row],[In Stock Date]]-Main[[#This Row],[Revised Due Date]],"")</f>
        <v/>
      </c>
      <c r="I772" s="72" t="s">
        <v>4</v>
      </c>
      <c r="J772" s="72" t="s">
        <v>4</v>
      </c>
      <c r="K772" s="72" t="s">
        <v>4</v>
      </c>
      <c r="L772" s="74"/>
      <c r="M772" s="77" t="str">
        <f>IF(Main[[#This Row],[Tech Start Date]]&lt;1/1/1990,"",IF(Main[[#This Row],[Class]]="C",WORKDAY(Main[[#This Row],[Tech Start Date]],9),IF(Main[[#This Row],[Class]]="B", WORKDAY(Main[[#This Row],[Tech Start Date]],6),IF(Main[[#This Row],[Class]]="A",WORKDAY(Main[[#This Row],[Tech Start Date]],2),""))))</f>
        <v/>
      </c>
      <c r="N772" s="77" t="str">
        <f>IF(Main[[#This Row],[Tech Start Date]]&lt;1/1/1990,"",IF(Main[[#This Row],[Class]]="C",WORKDAY(Main[[#This Row],[Tech Start Date]],19),IF(Main[[#This Row],[Class]]="B", WORKDAY(Main[[#This Row],[Tech Start Date]],12),IF(Main[[#This Row],[Class]]="A",WORKDAY(Main[[#This Row],[Tech Start Date]],4),""))))</f>
        <v/>
      </c>
      <c r="O772" s="77" t="str">
        <f>IF(Main[[#This Row],[Tech Start Date]]&lt;1/1/1990,"",IF(Main[[#This Row],[Class]]="C",WORKDAY(Main[[#This Row],[Tech Start Date]],23),IF(Main[[#This Row],[Class]]="B", WORKDAY(Main[[#This Row],[Tech Start Date]],15),IF(Main[[#This Row],[Class]]="A",WORKDAY(Main[[#This Row],[Tech Start Date]],5),""))))</f>
        <v/>
      </c>
      <c r="P772" s="77" t="str">
        <f>IF(Main[[#This Row],[Tech Start Date]]&lt;1/1/1990,"",IF(Main[[#This Row],[Class]]="C",WORKDAY(Main[[#This Row],[Tech Start Date]],28),IF(Main[[#This Row],[Class]]="B", WORKDAY(Main[[#This Row],[Tech Start Date]],19),IF(Main[[#This Row],[Class]]="A",WORKDAY(Main[[#This Row],[Tech Start Date]],9),""))))</f>
        <v/>
      </c>
      <c r="Q772" s="74">
        <v>40858</v>
      </c>
      <c r="R772" s="74"/>
      <c r="S772" s="72" t="s">
        <v>17</v>
      </c>
      <c r="T772" s="80" t="s">
        <v>4</v>
      </c>
      <c r="U772" s="72" t="s">
        <v>14</v>
      </c>
      <c r="V772" s="72" t="s">
        <v>1917</v>
      </c>
      <c r="W772" s="72" t="s">
        <v>1922</v>
      </c>
      <c r="X772" s="72" t="s">
        <v>50</v>
      </c>
      <c r="Y772" s="72" t="s">
        <v>2965</v>
      </c>
      <c r="Z772" s="72" t="s">
        <v>4</v>
      </c>
      <c r="AA772" s="146" t="s">
        <v>2834</v>
      </c>
    </row>
    <row r="773" spans="1:27" ht="18.600000000000001" customHeight="1">
      <c r="A773" s="139" t="str">
        <f>IF(priority(Main[[#This Row],[Comments]])&lt;&gt;0, priority(Main[[#This Row],[Comments]]),"")</f>
        <v/>
      </c>
      <c r="B773" s="89" t="s">
        <v>1595</v>
      </c>
      <c r="C773" s="72" t="s">
        <v>670</v>
      </c>
      <c r="D773" s="73" t="s">
        <v>671</v>
      </c>
      <c r="E773" s="74"/>
      <c r="F773" s="74">
        <v>40633</v>
      </c>
      <c r="G773" s="75" t="str">
        <f>IF(stdProdLT(Main[[#This Row],[Comments]])=0.1,"N/A",IF(stdProdLT(Main[[#This Row],[Comments]])=0,"",stdProdLT(Main[[#This Row],[Comments]])))</f>
        <v/>
      </c>
      <c r="H773" s="76" t="str">
        <f>IF(AND(Main[[#This Row],[In Stock Date]]&lt;&gt;"",Main[[#This Row],[Revised Due Date]]&lt;&gt;""),Main[[#This Row],[In Stock Date]]-Main[[#This Row],[Revised Due Date]],"")</f>
        <v/>
      </c>
      <c r="I773" s="72" t="s">
        <v>4</v>
      </c>
      <c r="J773" s="72" t="s">
        <v>4</v>
      </c>
      <c r="K773" s="72" t="s">
        <v>4</v>
      </c>
      <c r="L773" s="74"/>
      <c r="M773" s="77" t="str">
        <f>IF(Main[[#This Row],[Tech Start Date]]&lt;1/1/1990,"",IF(Main[[#This Row],[Class]]="C",WORKDAY(Main[[#This Row],[Tech Start Date]],9),IF(Main[[#This Row],[Class]]="B", WORKDAY(Main[[#This Row],[Tech Start Date]],6),IF(Main[[#This Row],[Class]]="A",WORKDAY(Main[[#This Row],[Tech Start Date]],2),""))))</f>
        <v/>
      </c>
      <c r="N773" s="77" t="str">
        <f>IF(Main[[#This Row],[Tech Start Date]]&lt;1/1/1990,"",IF(Main[[#This Row],[Class]]="C",WORKDAY(Main[[#This Row],[Tech Start Date]],19),IF(Main[[#This Row],[Class]]="B", WORKDAY(Main[[#This Row],[Tech Start Date]],12),IF(Main[[#This Row],[Class]]="A",WORKDAY(Main[[#This Row],[Tech Start Date]],4),""))))</f>
        <v/>
      </c>
      <c r="O773" s="77" t="str">
        <f>IF(Main[[#This Row],[Tech Start Date]]&lt;1/1/1990,"",IF(Main[[#This Row],[Class]]="C",WORKDAY(Main[[#This Row],[Tech Start Date]],23),IF(Main[[#This Row],[Class]]="B", WORKDAY(Main[[#This Row],[Tech Start Date]],15),IF(Main[[#This Row],[Class]]="A",WORKDAY(Main[[#This Row],[Tech Start Date]],5),""))))</f>
        <v/>
      </c>
      <c r="P773" s="77" t="str">
        <f>IF(Main[[#This Row],[Tech Start Date]]&lt;1/1/1990,"",IF(Main[[#This Row],[Class]]="C",WORKDAY(Main[[#This Row],[Tech Start Date]],28),IF(Main[[#This Row],[Class]]="B", WORKDAY(Main[[#This Row],[Tech Start Date]],19),IF(Main[[#This Row],[Class]]="A",WORKDAY(Main[[#This Row],[Tech Start Date]],9),""))))</f>
        <v/>
      </c>
      <c r="Q773" s="74">
        <v>40574</v>
      </c>
      <c r="R773" s="74"/>
      <c r="S773" s="72" t="s">
        <v>11</v>
      </c>
      <c r="T773" s="80" t="s">
        <v>4</v>
      </c>
      <c r="U773" s="72" t="s">
        <v>14</v>
      </c>
      <c r="V773" s="72" t="s">
        <v>1920</v>
      </c>
      <c r="W773" s="72" t="s">
        <v>1923</v>
      </c>
      <c r="X773" s="72" t="s">
        <v>2862</v>
      </c>
      <c r="Y773" s="72" t="s">
        <v>3003</v>
      </c>
      <c r="Z773" s="72" t="s">
        <v>4</v>
      </c>
      <c r="AA773" s="146" t="s">
        <v>2862</v>
      </c>
    </row>
    <row r="774" spans="1:27" ht="18.600000000000001" customHeight="1">
      <c r="A774" s="139" t="str">
        <f>IF(priority(Main[[#This Row],[Comments]])&lt;&gt;0, priority(Main[[#This Row],[Comments]]),"")</f>
        <v/>
      </c>
      <c r="B774" s="89" t="s">
        <v>2187</v>
      </c>
      <c r="C774" s="72" t="s">
        <v>2179</v>
      </c>
      <c r="D774" s="73" t="s">
        <v>2188</v>
      </c>
      <c r="E774" s="74"/>
      <c r="F774" s="74">
        <v>40829</v>
      </c>
      <c r="G774" s="75" t="str">
        <f>IF(stdProdLT(Main[[#This Row],[Comments]])=0.1,"N/A",IF(stdProdLT(Main[[#This Row],[Comments]])=0,"",stdProdLT(Main[[#This Row],[Comments]])))</f>
        <v/>
      </c>
      <c r="H774" s="76" t="str">
        <f>IF(AND(Main[[#This Row],[In Stock Date]]&lt;&gt;"",Main[[#This Row],[Revised Due Date]]&lt;&gt;""),Main[[#This Row],[In Stock Date]]-Main[[#This Row],[Revised Due Date]],"")</f>
        <v/>
      </c>
      <c r="I774" s="72" t="s">
        <v>4</v>
      </c>
      <c r="J774" s="72" t="s">
        <v>4</v>
      </c>
      <c r="K774" s="72" t="s">
        <v>4</v>
      </c>
      <c r="L774" s="74"/>
      <c r="M774" s="77" t="str">
        <f>IF(Main[[#This Row],[Tech Start Date]]&lt;1/1/1990,"",IF(Main[[#This Row],[Class]]="C",WORKDAY(Main[[#This Row],[Tech Start Date]],9),IF(Main[[#This Row],[Class]]="B", WORKDAY(Main[[#This Row],[Tech Start Date]],6),IF(Main[[#This Row],[Class]]="A",WORKDAY(Main[[#This Row],[Tech Start Date]],2),""))))</f>
        <v/>
      </c>
      <c r="N774" s="77" t="str">
        <f>IF(Main[[#This Row],[Tech Start Date]]&lt;1/1/1990,"",IF(Main[[#This Row],[Class]]="C",WORKDAY(Main[[#This Row],[Tech Start Date]],19),IF(Main[[#This Row],[Class]]="B", WORKDAY(Main[[#This Row],[Tech Start Date]],12),IF(Main[[#This Row],[Class]]="A",WORKDAY(Main[[#This Row],[Tech Start Date]],4),""))))</f>
        <v/>
      </c>
      <c r="O774" s="77" t="str">
        <f>IF(Main[[#This Row],[Tech Start Date]]&lt;1/1/1990,"",IF(Main[[#This Row],[Class]]="C",WORKDAY(Main[[#This Row],[Tech Start Date]],23),IF(Main[[#This Row],[Class]]="B", WORKDAY(Main[[#This Row],[Tech Start Date]],15),IF(Main[[#This Row],[Class]]="A",WORKDAY(Main[[#This Row],[Tech Start Date]],5),""))))</f>
        <v/>
      </c>
      <c r="P774" s="77" t="str">
        <f>IF(Main[[#This Row],[Tech Start Date]]&lt;1/1/1990,"",IF(Main[[#This Row],[Class]]="C",WORKDAY(Main[[#This Row],[Tech Start Date]],28),IF(Main[[#This Row],[Class]]="B", WORKDAY(Main[[#This Row],[Tech Start Date]],19),IF(Main[[#This Row],[Class]]="A",WORKDAY(Main[[#This Row],[Tech Start Date]],9),""))))</f>
        <v/>
      </c>
      <c r="Q774" s="74">
        <v>40801</v>
      </c>
      <c r="R774" s="74"/>
      <c r="S774" s="72" t="s">
        <v>11</v>
      </c>
      <c r="T774" s="80" t="s">
        <v>4</v>
      </c>
      <c r="U774" s="72" t="s">
        <v>14</v>
      </c>
      <c r="V774" s="72" t="s">
        <v>1918</v>
      </c>
      <c r="W774" s="72" t="s">
        <v>1925</v>
      </c>
      <c r="X774" s="72" t="s">
        <v>2844</v>
      </c>
      <c r="Y774" s="72" t="s">
        <v>2974</v>
      </c>
      <c r="Z774" s="72" t="s">
        <v>4</v>
      </c>
      <c r="AA774" s="146" t="s">
        <v>2844</v>
      </c>
    </row>
    <row r="775" spans="1:27" ht="18.600000000000001" customHeight="1">
      <c r="A775" s="139" t="str">
        <f>IF(priority(Main[[#This Row],[Comments]])&lt;&gt;0, priority(Main[[#This Row],[Comments]]),"")</f>
        <v/>
      </c>
      <c r="B775" s="89" t="s">
        <v>1596</v>
      </c>
      <c r="C775" s="72" t="s">
        <v>4</v>
      </c>
      <c r="D775" s="73" t="s">
        <v>2310</v>
      </c>
      <c r="E775" s="74">
        <v>40515.590300925927</v>
      </c>
      <c r="F775" s="74"/>
      <c r="G775" s="75" t="str">
        <f>IF(stdProdLT(Main[[#This Row],[Comments]])=0.1,"N/A",IF(stdProdLT(Main[[#This Row],[Comments]])=0,"",stdProdLT(Main[[#This Row],[Comments]])))</f>
        <v/>
      </c>
      <c r="H775" s="76" t="str">
        <f>IF(AND(Main[[#This Row],[In Stock Date]]&lt;&gt;"",Main[[#This Row],[Revised Due Date]]&lt;&gt;""),Main[[#This Row],[In Stock Date]]-Main[[#This Row],[Revised Due Date]],"")</f>
        <v/>
      </c>
      <c r="I775" s="72" t="s">
        <v>914</v>
      </c>
      <c r="J775" s="72" t="s">
        <v>52</v>
      </c>
      <c r="K775" s="81" t="s">
        <v>1924</v>
      </c>
      <c r="L775" s="74"/>
      <c r="M775" s="77" t="str">
        <f>IF(Main[[#This Row],[Tech Start Date]]&lt;1/1/1990,"",IF(Main[[#This Row],[Class]]="C",WORKDAY(Main[[#This Row],[Tech Start Date]],9),IF(Main[[#This Row],[Class]]="B", WORKDAY(Main[[#This Row],[Tech Start Date]],6),IF(Main[[#This Row],[Class]]="A",WORKDAY(Main[[#This Row],[Tech Start Date]],2),""))))</f>
        <v/>
      </c>
      <c r="N775" s="77" t="str">
        <f>IF(Main[[#This Row],[Tech Start Date]]&lt;1/1/1990,"",IF(Main[[#This Row],[Class]]="C",WORKDAY(Main[[#This Row],[Tech Start Date]],19),IF(Main[[#This Row],[Class]]="B", WORKDAY(Main[[#This Row],[Tech Start Date]],12),IF(Main[[#This Row],[Class]]="A",WORKDAY(Main[[#This Row],[Tech Start Date]],4),""))))</f>
        <v/>
      </c>
      <c r="O775" s="77" t="str">
        <f>IF(Main[[#This Row],[Tech Start Date]]&lt;1/1/1990,"",IF(Main[[#This Row],[Class]]="C",WORKDAY(Main[[#This Row],[Tech Start Date]],23),IF(Main[[#This Row],[Class]]="B", WORKDAY(Main[[#This Row],[Tech Start Date]],15),IF(Main[[#This Row],[Class]]="A",WORKDAY(Main[[#This Row],[Tech Start Date]],5),""))))</f>
        <v/>
      </c>
      <c r="P775" s="77" t="str">
        <f>IF(Main[[#This Row],[Tech Start Date]]&lt;1/1/1990,"",IF(Main[[#This Row],[Class]]="C",WORKDAY(Main[[#This Row],[Tech Start Date]],28),IF(Main[[#This Row],[Class]]="B", WORKDAY(Main[[#This Row],[Tech Start Date]],19),IF(Main[[#This Row],[Class]]="A",WORKDAY(Main[[#This Row],[Tech Start Date]],9),""))))</f>
        <v/>
      </c>
      <c r="Q775" s="74">
        <v>40574</v>
      </c>
      <c r="R775" s="74"/>
      <c r="S775" s="72" t="s">
        <v>6</v>
      </c>
      <c r="T775" s="80" t="s">
        <v>4</v>
      </c>
      <c r="U775" s="72" t="s">
        <v>29</v>
      </c>
      <c r="V775" s="72" t="s">
        <v>1917</v>
      </c>
      <c r="W775" s="72" t="s">
        <v>1919</v>
      </c>
      <c r="X775" s="72" t="s">
        <v>2893</v>
      </c>
      <c r="Y775" s="72" t="s">
        <v>3049</v>
      </c>
      <c r="Z775" s="72" t="s">
        <v>129</v>
      </c>
      <c r="AA775" s="146" t="s">
        <v>2893</v>
      </c>
    </row>
    <row r="776" spans="1:27" ht="18.600000000000001" customHeight="1">
      <c r="A776" s="139" t="str">
        <f>IF(priority(Main[[#This Row],[Comments]])&lt;&gt;0, priority(Main[[#This Row],[Comments]]),"")</f>
        <v/>
      </c>
      <c r="B776" s="89" t="s">
        <v>1597</v>
      </c>
      <c r="C776" s="72" t="s">
        <v>436</v>
      </c>
      <c r="D776" s="73" t="s">
        <v>672</v>
      </c>
      <c r="E776" s="74"/>
      <c r="F776" s="74"/>
      <c r="G776" s="75" t="str">
        <f>IF(stdProdLT(Main[[#This Row],[Comments]])=0.1,"N/A",IF(stdProdLT(Main[[#This Row],[Comments]])=0,"",stdProdLT(Main[[#This Row],[Comments]])))</f>
        <v/>
      </c>
      <c r="H776" s="76" t="str">
        <f>IF(AND(Main[[#This Row],[In Stock Date]]&lt;&gt;"",Main[[#This Row],[Revised Due Date]]&lt;&gt;""),Main[[#This Row],[In Stock Date]]-Main[[#This Row],[Revised Due Date]],"")</f>
        <v/>
      </c>
      <c r="I776" s="72" t="s">
        <v>4</v>
      </c>
      <c r="J776" s="72" t="s">
        <v>4</v>
      </c>
      <c r="K776" s="72" t="s">
        <v>4</v>
      </c>
      <c r="L776" s="74"/>
      <c r="M776" s="77" t="str">
        <f>IF(Main[[#This Row],[Tech Start Date]]&lt;1/1/1990,"",IF(Main[[#This Row],[Class]]="C",WORKDAY(Main[[#This Row],[Tech Start Date]],9),IF(Main[[#This Row],[Class]]="B", WORKDAY(Main[[#This Row],[Tech Start Date]],6),IF(Main[[#This Row],[Class]]="A",WORKDAY(Main[[#This Row],[Tech Start Date]],2),""))))</f>
        <v/>
      </c>
      <c r="N776" s="77" t="str">
        <f>IF(Main[[#This Row],[Tech Start Date]]&lt;1/1/1990,"",IF(Main[[#This Row],[Class]]="C",WORKDAY(Main[[#This Row],[Tech Start Date]],19),IF(Main[[#This Row],[Class]]="B", WORKDAY(Main[[#This Row],[Tech Start Date]],12),IF(Main[[#This Row],[Class]]="A",WORKDAY(Main[[#This Row],[Tech Start Date]],4),""))))</f>
        <v/>
      </c>
      <c r="O776" s="77" t="str">
        <f>IF(Main[[#This Row],[Tech Start Date]]&lt;1/1/1990,"",IF(Main[[#This Row],[Class]]="C",WORKDAY(Main[[#This Row],[Tech Start Date]],23),IF(Main[[#This Row],[Class]]="B", WORKDAY(Main[[#This Row],[Tech Start Date]],15),IF(Main[[#This Row],[Class]]="A",WORKDAY(Main[[#This Row],[Tech Start Date]],5),""))))</f>
        <v/>
      </c>
      <c r="P776" s="77" t="str">
        <f>IF(Main[[#This Row],[Tech Start Date]]&lt;1/1/1990,"",IF(Main[[#This Row],[Class]]="C",WORKDAY(Main[[#This Row],[Tech Start Date]],28),IF(Main[[#This Row],[Class]]="B", WORKDAY(Main[[#This Row],[Tech Start Date]],19),IF(Main[[#This Row],[Class]]="A",WORKDAY(Main[[#This Row],[Tech Start Date]],9),""))))</f>
        <v/>
      </c>
      <c r="Q776" s="74"/>
      <c r="R776" s="74"/>
      <c r="S776" s="72" t="s">
        <v>11</v>
      </c>
      <c r="T776" s="80" t="s">
        <v>4</v>
      </c>
      <c r="U776" s="72" t="s">
        <v>14</v>
      </c>
      <c r="V776" s="72" t="s">
        <v>1918</v>
      </c>
      <c r="W776" s="72" t="s">
        <v>1925</v>
      </c>
      <c r="X776" s="72" t="s">
        <v>2833</v>
      </c>
      <c r="Y776" s="72" t="s">
        <v>2954</v>
      </c>
      <c r="Z776" s="72" t="s">
        <v>4</v>
      </c>
      <c r="AA776" s="146" t="s">
        <v>2833</v>
      </c>
    </row>
    <row r="777" spans="1:27" ht="18.600000000000001" customHeight="1">
      <c r="A777" s="139" t="str">
        <f>IF(priority(Main[[#This Row],[Comments]])&lt;&gt;0, priority(Main[[#This Row],[Comments]]),"")</f>
        <v/>
      </c>
      <c r="B777" s="89" t="s">
        <v>3351</v>
      </c>
      <c r="C777" s="72" t="s">
        <v>4</v>
      </c>
      <c r="D777" s="73" t="s">
        <v>3352</v>
      </c>
      <c r="E777" s="74"/>
      <c r="F777" s="74"/>
      <c r="G777" s="75" t="str">
        <f>IF(stdProdLT(Main[[#This Row],[Comments]])=0.1,"N/A",IF(stdProdLT(Main[[#This Row],[Comments]])=0,"",stdProdLT(Main[[#This Row],[Comments]])))</f>
        <v/>
      </c>
      <c r="H777" s="76" t="str">
        <f>IF(AND(Main[[#This Row],[In Stock Date]]&lt;&gt;"",Main[[#This Row],[Revised Due Date]]&lt;&gt;""),Main[[#This Row],[In Stock Date]]-Main[[#This Row],[Revised Due Date]],"")</f>
        <v/>
      </c>
      <c r="I777" s="72" t="s">
        <v>4</v>
      </c>
      <c r="J777" s="72" t="s">
        <v>4</v>
      </c>
      <c r="K777" s="81" t="s">
        <v>4</v>
      </c>
      <c r="L777" s="74"/>
      <c r="M777" s="77" t="str">
        <f>IF(Main[[#This Row],[Tech Start Date]]&lt;1/1/1990,"",IF(Main[[#This Row],[Class]]="C",WORKDAY(Main[[#This Row],[Tech Start Date]],9),IF(Main[[#This Row],[Class]]="B", WORKDAY(Main[[#This Row],[Tech Start Date]],6),IF(Main[[#This Row],[Class]]="A",WORKDAY(Main[[#This Row],[Tech Start Date]],2),""))))</f>
        <v/>
      </c>
      <c r="N777" s="77" t="str">
        <f>IF(Main[[#This Row],[Tech Start Date]]&lt;1/1/1990,"",IF(Main[[#This Row],[Class]]="C",WORKDAY(Main[[#This Row],[Tech Start Date]],19),IF(Main[[#This Row],[Class]]="B", WORKDAY(Main[[#This Row],[Tech Start Date]],12),IF(Main[[#This Row],[Class]]="A",WORKDAY(Main[[#This Row],[Tech Start Date]],4),""))))</f>
        <v/>
      </c>
      <c r="O777" s="77" t="str">
        <f>IF(Main[[#This Row],[Tech Start Date]]&lt;1/1/1990,"",IF(Main[[#This Row],[Class]]="C",WORKDAY(Main[[#This Row],[Tech Start Date]],23),IF(Main[[#This Row],[Class]]="B", WORKDAY(Main[[#This Row],[Tech Start Date]],15),IF(Main[[#This Row],[Class]]="A",WORKDAY(Main[[#This Row],[Tech Start Date]],5),""))))</f>
        <v/>
      </c>
      <c r="P777" s="77" t="str">
        <f>IF(Main[[#This Row],[Tech Start Date]]&lt;1/1/1990,"",IF(Main[[#This Row],[Class]]="C",WORKDAY(Main[[#This Row],[Tech Start Date]],28),IF(Main[[#This Row],[Class]]="B", WORKDAY(Main[[#This Row],[Tech Start Date]],19),IF(Main[[#This Row],[Class]]="A",WORKDAY(Main[[#This Row],[Tech Start Date]],9),""))))</f>
        <v/>
      </c>
      <c r="Q777" s="74"/>
      <c r="R777" s="74"/>
      <c r="S777" s="72" t="s">
        <v>6</v>
      </c>
      <c r="T777" s="80" t="s">
        <v>4</v>
      </c>
      <c r="U777" s="72" t="s">
        <v>14</v>
      </c>
      <c r="V777" s="72" t="s">
        <v>1920</v>
      </c>
      <c r="W777" s="72" t="s">
        <v>4</v>
      </c>
      <c r="X777" s="72" t="s">
        <v>2847</v>
      </c>
      <c r="Y777" s="72" t="s">
        <v>2977</v>
      </c>
      <c r="Z777" s="72" t="s">
        <v>4</v>
      </c>
      <c r="AA777" s="146" t="s">
        <v>2847</v>
      </c>
    </row>
    <row r="778" spans="1:27" ht="18.600000000000001" customHeight="1">
      <c r="A778" s="139" t="str">
        <f>IF(priority(Main[[#This Row],[Comments]])&lt;&gt;0, priority(Main[[#This Row],[Comments]]),"")</f>
        <v/>
      </c>
      <c r="B778" s="89" t="s">
        <v>1598</v>
      </c>
      <c r="C778" s="72" t="s">
        <v>4</v>
      </c>
      <c r="D778" s="73" t="s">
        <v>673</v>
      </c>
      <c r="E778" s="74"/>
      <c r="F778" s="74"/>
      <c r="G778" s="75" t="str">
        <f>IF(stdProdLT(Main[[#This Row],[Comments]])=0.1,"N/A",IF(stdProdLT(Main[[#This Row],[Comments]])=0,"",stdProdLT(Main[[#This Row],[Comments]])))</f>
        <v/>
      </c>
      <c r="H778" s="76" t="str">
        <f>IF(AND(Main[[#This Row],[In Stock Date]]&lt;&gt;"",Main[[#This Row],[Revised Due Date]]&lt;&gt;""),Main[[#This Row],[In Stock Date]]-Main[[#This Row],[Revised Due Date]],"")</f>
        <v/>
      </c>
      <c r="I778" s="72" t="s">
        <v>4</v>
      </c>
      <c r="J778" s="72" t="s">
        <v>28</v>
      </c>
      <c r="K778" s="72" t="s">
        <v>4</v>
      </c>
      <c r="L778" s="74"/>
      <c r="M778" s="77" t="str">
        <f>IF(Main[[#This Row],[Tech Start Date]]&lt;1/1/1990,"",IF(Main[[#This Row],[Class]]="C",WORKDAY(Main[[#This Row],[Tech Start Date]],9),IF(Main[[#This Row],[Class]]="B", WORKDAY(Main[[#This Row],[Tech Start Date]],6),IF(Main[[#This Row],[Class]]="A",WORKDAY(Main[[#This Row],[Tech Start Date]],2),""))))</f>
        <v/>
      </c>
      <c r="N778" s="77" t="str">
        <f>IF(Main[[#This Row],[Tech Start Date]]&lt;1/1/1990,"",IF(Main[[#This Row],[Class]]="C",WORKDAY(Main[[#This Row],[Tech Start Date]],19),IF(Main[[#This Row],[Class]]="B", WORKDAY(Main[[#This Row],[Tech Start Date]],12),IF(Main[[#This Row],[Class]]="A",WORKDAY(Main[[#This Row],[Tech Start Date]],4),""))))</f>
        <v/>
      </c>
      <c r="O778" s="77" t="str">
        <f>IF(Main[[#This Row],[Tech Start Date]]&lt;1/1/1990,"",IF(Main[[#This Row],[Class]]="C",WORKDAY(Main[[#This Row],[Tech Start Date]],23),IF(Main[[#This Row],[Class]]="B", WORKDAY(Main[[#This Row],[Tech Start Date]],15),IF(Main[[#This Row],[Class]]="A",WORKDAY(Main[[#This Row],[Tech Start Date]],5),""))))</f>
        <v/>
      </c>
      <c r="P778" s="77" t="str">
        <f>IF(Main[[#This Row],[Tech Start Date]]&lt;1/1/1990,"",IF(Main[[#This Row],[Class]]="C",WORKDAY(Main[[#This Row],[Tech Start Date]],28),IF(Main[[#This Row],[Class]]="B", WORKDAY(Main[[#This Row],[Tech Start Date]],19),IF(Main[[#This Row],[Class]]="A",WORKDAY(Main[[#This Row],[Tech Start Date]],9),""))))</f>
        <v/>
      </c>
      <c r="Q778" s="74">
        <v>40471</v>
      </c>
      <c r="R778" s="74"/>
      <c r="S778" s="72" t="s">
        <v>296</v>
      </c>
      <c r="T778" s="80" t="s">
        <v>4</v>
      </c>
      <c r="U778" s="72" t="s">
        <v>14</v>
      </c>
      <c r="V778" s="72" t="s">
        <v>1927</v>
      </c>
      <c r="W778" s="72" t="s">
        <v>1919</v>
      </c>
      <c r="X778" s="72" t="s">
        <v>2853</v>
      </c>
      <c r="Y778" s="72" t="s">
        <v>2984</v>
      </c>
      <c r="Z778" s="72" t="s">
        <v>530</v>
      </c>
      <c r="AA778" s="146" t="s">
        <v>2853</v>
      </c>
    </row>
    <row r="779" spans="1:27" ht="18.600000000000001" customHeight="1">
      <c r="A779" s="139" t="str">
        <f>IF(priority(Main[[#This Row],[Comments]])&lt;&gt;0, priority(Main[[#This Row],[Comments]]),"")</f>
        <v/>
      </c>
      <c r="B779" s="89" t="s">
        <v>1612</v>
      </c>
      <c r="C779" s="72" t="s">
        <v>4</v>
      </c>
      <c r="D779" s="73" t="s">
        <v>684</v>
      </c>
      <c r="E779" s="74"/>
      <c r="F779" s="74"/>
      <c r="G779" s="75" t="str">
        <f>IF(stdProdLT(Main[[#This Row],[Comments]])=0.1,"N/A",IF(stdProdLT(Main[[#This Row],[Comments]])=0,"",stdProdLT(Main[[#This Row],[Comments]])))</f>
        <v/>
      </c>
      <c r="H779" s="76" t="str">
        <f>IF(AND(Main[[#This Row],[In Stock Date]]&lt;&gt;"",Main[[#This Row],[Revised Due Date]]&lt;&gt;""),Main[[#This Row],[In Stock Date]]-Main[[#This Row],[Revised Due Date]],"")</f>
        <v/>
      </c>
      <c r="I779" s="72" t="s">
        <v>4</v>
      </c>
      <c r="J779" s="72" t="s">
        <v>4</v>
      </c>
      <c r="K779" s="72" t="s">
        <v>4</v>
      </c>
      <c r="L779" s="74"/>
      <c r="M779" s="77" t="str">
        <f>IF(Main[[#This Row],[Tech Start Date]]&lt;1/1/1990,"",IF(Main[[#This Row],[Class]]="C",WORKDAY(Main[[#This Row],[Tech Start Date]],9),IF(Main[[#This Row],[Class]]="B", WORKDAY(Main[[#This Row],[Tech Start Date]],6),IF(Main[[#This Row],[Class]]="A",WORKDAY(Main[[#This Row],[Tech Start Date]],2),""))))</f>
        <v/>
      </c>
      <c r="N779" s="77" t="str">
        <f>IF(Main[[#This Row],[Tech Start Date]]&lt;1/1/1990,"",IF(Main[[#This Row],[Class]]="C",WORKDAY(Main[[#This Row],[Tech Start Date]],19),IF(Main[[#This Row],[Class]]="B", WORKDAY(Main[[#This Row],[Tech Start Date]],12),IF(Main[[#This Row],[Class]]="A",WORKDAY(Main[[#This Row],[Tech Start Date]],4),""))))</f>
        <v/>
      </c>
      <c r="O779" s="77" t="str">
        <f>IF(Main[[#This Row],[Tech Start Date]]&lt;1/1/1990,"",IF(Main[[#This Row],[Class]]="C",WORKDAY(Main[[#This Row],[Tech Start Date]],23),IF(Main[[#This Row],[Class]]="B", WORKDAY(Main[[#This Row],[Tech Start Date]],15),IF(Main[[#This Row],[Class]]="A",WORKDAY(Main[[#This Row],[Tech Start Date]],5),""))))</f>
        <v/>
      </c>
      <c r="P779" s="77" t="str">
        <f>IF(Main[[#This Row],[Tech Start Date]]&lt;1/1/1990,"",IF(Main[[#This Row],[Class]]="C",WORKDAY(Main[[#This Row],[Tech Start Date]],28),IF(Main[[#This Row],[Class]]="B", WORKDAY(Main[[#This Row],[Tech Start Date]],19),IF(Main[[#This Row],[Class]]="A",WORKDAY(Main[[#This Row],[Tech Start Date]],9),""))))</f>
        <v/>
      </c>
      <c r="Q779" s="74"/>
      <c r="R779" s="74"/>
      <c r="S779" s="72" t="s">
        <v>23</v>
      </c>
      <c r="T779" s="80" t="s">
        <v>4</v>
      </c>
      <c r="U779" s="72" t="s">
        <v>14</v>
      </c>
      <c r="V779" s="72" t="s">
        <v>1927</v>
      </c>
      <c r="W779" s="72" t="s">
        <v>1921</v>
      </c>
      <c r="X779" s="72" t="s">
        <v>102</v>
      </c>
      <c r="Y779" s="72" t="s">
        <v>3093</v>
      </c>
      <c r="Z779" s="72" t="s">
        <v>4</v>
      </c>
      <c r="AA779" s="146" t="s">
        <v>3439</v>
      </c>
    </row>
    <row r="780" spans="1:27" ht="18.600000000000001" customHeight="1">
      <c r="A780" s="139" t="str">
        <f>IF(priority(Main[[#This Row],[Comments]])&lt;&gt;0, priority(Main[[#This Row],[Comments]]),"")</f>
        <v/>
      </c>
      <c r="B780" s="89" t="s">
        <v>1613</v>
      </c>
      <c r="C780" s="72" t="s">
        <v>4</v>
      </c>
      <c r="D780" s="73" t="s">
        <v>685</v>
      </c>
      <c r="E780" s="74">
        <v>40464.400208333333</v>
      </c>
      <c r="F780" s="74"/>
      <c r="G780" s="75" t="str">
        <f>IF(stdProdLT(Main[[#This Row],[Comments]])=0.1,"N/A",IF(stdProdLT(Main[[#This Row],[Comments]])=0,"",stdProdLT(Main[[#This Row],[Comments]])))</f>
        <v/>
      </c>
      <c r="H780" s="76" t="str">
        <f>IF(AND(Main[[#This Row],[In Stock Date]]&lt;&gt;"",Main[[#This Row],[Revised Due Date]]&lt;&gt;""),Main[[#This Row],[In Stock Date]]-Main[[#This Row],[Revised Due Date]],"")</f>
        <v/>
      </c>
      <c r="I780" s="72" t="s">
        <v>4</v>
      </c>
      <c r="J780" s="72" t="s">
        <v>4</v>
      </c>
      <c r="K780" s="72" t="s">
        <v>4</v>
      </c>
      <c r="L780" s="74"/>
      <c r="M780" s="77" t="str">
        <f>IF(Main[[#This Row],[Tech Start Date]]&lt;1/1/1990,"",IF(Main[[#This Row],[Class]]="C",WORKDAY(Main[[#This Row],[Tech Start Date]],9),IF(Main[[#This Row],[Class]]="B", WORKDAY(Main[[#This Row],[Tech Start Date]],6),IF(Main[[#This Row],[Class]]="A",WORKDAY(Main[[#This Row],[Tech Start Date]],2),""))))</f>
        <v/>
      </c>
      <c r="N780" s="77" t="str">
        <f>IF(Main[[#This Row],[Tech Start Date]]&lt;1/1/1990,"",IF(Main[[#This Row],[Class]]="C",WORKDAY(Main[[#This Row],[Tech Start Date]],19),IF(Main[[#This Row],[Class]]="B", WORKDAY(Main[[#This Row],[Tech Start Date]],12),IF(Main[[#This Row],[Class]]="A",WORKDAY(Main[[#This Row],[Tech Start Date]],4),""))))</f>
        <v/>
      </c>
      <c r="O780" s="77" t="str">
        <f>IF(Main[[#This Row],[Tech Start Date]]&lt;1/1/1990,"",IF(Main[[#This Row],[Class]]="C",WORKDAY(Main[[#This Row],[Tech Start Date]],23),IF(Main[[#This Row],[Class]]="B", WORKDAY(Main[[#This Row],[Tech Start Date]],15),IF(Main[[#This Row],[Class]]="A",WORKDAY(Main[[#This Row],[Tech Start Date]],5),""))))</f>
        <v/>
      </c>
      <c r="P780" s="77" t="str">
        <f>IF(Main[[#This Row],[Tech Start Date]]&lt;1/1/1990,"",IF(Main[[#This Row],[Class]]="C",WORKDAY(Main[[#This Row],[Tech Start Date]],28),IF(Main[[#This Row],[Class]]="B", WORKDAY(Main[[#This Row],[Tech Start Date]],19),IF(Main[[#This Row],[Class]]="A",WORKDAY(Main[[#This Row],[Tech Start Date]],9),""))))</f>
        <v/>
      </c>
      <c r="Q780" s="74">
        <v>40512</v>
      </c>
      <c r="R780" s="74"/>
      <c r="S780" s="72" t="s">
        <v>6</v>
      </c>
      <c r="T780" s="80" t="s">
        <v>4</v>
      </c>
      <c r="U780" s="72" t="s">
        <v>7</v>
      </c>
      <c r="V780" s="72" t="s">
        <v>1917</v>
      </c>
      <c r="W780" s="72" t="s">
        <v>4</v>
      </c>
      <c r="X780" s="72" t="s">
        <v>2825</v>
      </c>
      <c r="Y780" s="72" t="s">
        <v>2938</v>
      </c>
      <c r="Z780" s="72" t="s">
        <v>4</v>
      </c>
      <c r="AA780" s="146" t="s">
        <v>2825</v>
      </c>
    </row>
    <row r="781" spans="1:27" ht="18.600000000000001" customHeight="1">
      <c r="A781" s="139" t="str">
        <f>IF(priority(Main[[#This Row],[Comments]])&lt;&gt;0, priority(Main[[#This Row],[Comments]]),"")</f>
        <v/>
      </c>
      <c r="B781" s="89" t="s">
        <v>1847</v>
      </c>
      <c r="C781" s="72" t="s">
        <v>67</v>
      </c>
      <c r="D781" s="73" t="s">
        <v>903</v>
      </c>
      <c r="E781" s="74"/>
      <c r="F781" s="74"/>
      <c r="G781" s="75" t="str">
        <f>IF(stdProdLT(Main[[#This Row],[Comments]])=0.1,"N/A",IF(stdProdLT(Main[[#This Row],[Comments]])=0,"",stdProdLT(Main[[#This Row],[Comments]])))</f>
        <v/>
      </c>
      <c r="H781" s="76" t="str">
        <f>IF(AND(Main[[#This Row],[In Stock Date]]&lt;&gt;"",Main[[#This Row],[Revised Due Date]]&lt;&gt;""),Main[[#This Row],[In Stock Date]]-Main[[#This Row],[Revised Due Date]],"")</f>
        <v/>
      </c>
      <c r="I781" s="72" t="s">
        <v>163</v>
      </c>
      <c r="J781" s="72" t="s">
        <v>4</v>
      </c>
      <c r="K781" s="72" t="s">
        <v>1929</v>
      </c>
      <c r="L781" s="74"/>
      <c r="M781" s="77" t="str">
        <f>IF(Main[[#This Row],[Tech Start Date]]&lt;1/1/1990,"",IF(Main[[#This Row],[Class]]="C",WORKDAY(Main[[#This Row],[Tech Start Date]],9),IF(Main[[#This Row],[Class]]="B", WORKDAY(Main[[#This Row],[Tech Start Date]],6),IF(Main[[#This Row],[Class]]="A",WORKDAY(Main[[#This Row],[Tech Start Date]],2),""))))</f>
        <v/>
      </c>
      <c r="N781" s="77" t="str">
        <f>IF(Main[[#This Row],[Tech Start Date]]&lt;1/1/1990,"",IF(Main[[#This Row],[Class]]="C",WORKDAY(Main[[#This Row],[Tech Start Date]],19),IF(Main[[#This Row],[Class]]="B", WORKDAY(Main[[#This Row],[Tech Start Date]],12),IF(Main[[#This Row],[Class]]="A",WORKDAY(Main[[#This Row],[Tech Start Date]],4),""))))</f>
        <v/>
      </c>
      <c r="O781" s="77" t="str">
        <f>IF(Main[[#This Row],[Tech Start Date]]&lt;1/1/1990,"",IF(Main[[#This Row],[Class]]="C",WORKDAY(Main[[#This Row],[Tech Start Date]],23),IF(Main[[#This Row],[Class]]="B", WORKDAY(Main[[#This Row],[Tech Start Date]],15),IF(Main[[#This Row],[Class]]="A",WORKDAY(Main[[#This Row],[Tech Start Date]],5),""))))</f>
        <v/>
      </c>
      <c r="P781" s="77" t="str">
        <f>IF(Main[[#This Row],[Tech Start Date]]&lt;1/1/1990,"",IF(Main[[#This Row],[Class]]="C",WORKDAY(Main[[#This Row],[Tech Start Date]],28),IF(Main[[#This Row],[Class]]="B", WORKDAY(Main[[#This Row],[Tech Start Date]],19),IF(Main[[#This Row],[Class]]="A",WORKDAY(Main[[#This Row],[Tech Start Date]],9),""))))</f>
        <v/>
      </c>
      <c r="Q781" s="74">
        <v>39990</v>
      </c>
      <c r="R781" s="74">
        <v>40497</v>
      </c>
      <c r="S781" s="72" t="s">
        <v>17</v>
      </c>
      <c r="T781" s="80" t="s">
        <v>4</v>
      </c>
      <c r="U781" s="72" t="s">
        <v>14</v>
      </c>
      <c r="V781" s="72" t="s">
        <v>1920</v>
      </c>
      <c r="W781" s="72" t="s">
        <v>1922</v>
      </c>
      <c r="X781" s="72" t="s">
        <v>2826</v>
      </c>
      <c r="Y781" s="72" t="s">
        <v>2940</v>
      </c>
      <c r="Z781" s="72" t="s">
        <v>415</v>
      </c>
      <c r="AA781" s="146" t="s">
        <v>3392</v>
      </c>
    </row>
    <row r="782" spans="1:27" ht="18.600000000000001" customHeight="1">
      <c r="A782" s="139" t="str">
        <f>IF(priority(Main[[#This Row],[Comments]])&lt;&gt;0, priority(Main[[#This Row],[Comments]]),"")</f>
        <v/>
      </c>
      <c r="B782" s="89" t="s">
        <v>1599</v>
      </c>
      <c r="C782" s="72" t="s">
        <v>31</v>
      </c>
      <c r="D782" s="73" t="s">
        <v>674</v>
      </c>
      <c r="E782" s="74"/>
      <c r="F782" s="74">
        <v>40725</v>
      </c>
      <c r="G782" s="75" t="str">
        <f>IF(stdProdLT(Main[[#This Row],[Comments]])=0.1,"N/A",IF(stdProdLT(Main[[#This Row],[Comments]])=0,"",stdProdLT(Main[[#This Row],[Comments]])))</f>
        <v/>
      </c>
      <c r="H782" s="76" t="str">
        <f>IF(AND(Main[[#This Row],[In Stock Date]]&lt;&gt;"",Main[[#This Row],[Revised Due Date]]&lt;&gt;""),Main[[#This Row],[In Stock Date]]-Main[[#This Row],[Revised Due Date]],"")</f>
        <v/>
      </c>
      <c r="I782" s="72" t="s">
        <v>4</v>
      </c>
      <c r="J782" s="72" t="s">
        <v>4</v>
      </c>
      <c r="K782" s="72" t="s">
        <v>4</v>
      </c>
      <c r="L782" s="74"/>
      <c r="M782" s="77" t="str">
        <f>IF(Main[[#This Row],[Tech Start Date]]&lt;1/1/1990,"",IF(Main[[#This Row],[Class]]="C",WORKDAY(Main[[#This Row],[Tech Start Date]],9),IF(Main[[#This Row],[Class]]="B", WORKDAY(Main[[#This Row],[Tech Start Date]],6),IF(Main[[#This Row],[Class]]="A",WORKDAY(Main[[#This Row],[Tech Start Date]],2),""))))</f>
        <v/>
      </c>
      <c r="N782" s="77" t="str">
        <f>IF(Main[[#This Row],[Tech Start Date]]&lt;1/1/1990,"",IF(Main[[#This Row],[Class]]="C",WORKDAY(Main[[#This Row],[Tech Start Date]],19),IF(Main[[#This Row],[Class]]="B", WORKDAY(Main[[#This Row],[Tech Start Date]],12),IF(Main[[#This Row],[Class]]="A",WORKDAY(Main[[#This Row],[Tech Start Date]],4),""))))</f>
        <v/>
      </c>
      <c r="O782" s="77" t="str">
        <f>IF(Main[[#This Row],[Tech Start Date]]&lt;1/1/1990,"",IF(Main[[#This Row],[Class]]="C",WORKDAY(Main[[#This Row],[Tech Start Date]],23),IF(Main[[#This Row],[Class]]="B", WORKDAY(Main[[#This Row],[Tech Start Date]],15),IF(Main[[#This Row],[Class]]="A",WORKDAY(Main[[#This Row],[Tech Start Date]],5),""))))</f>
        <v/>
      </c>
      <c r="P782" s="77" t="str">
        <f>IF(Main[[#This Row],[Tech Start Date]]&lt;1/1/1990,"",IF(Main[[#This Row],[Class]]="C",WORKDAY(Main[[#This Row],[Tech Start Date]],28),IF(Main[[#This Row],[Class]]="B", WORKDAY(Main[[#This Row],[Tech Start Date]],19),IF(Main[[#This Row],[Class]]="A",WORKDAY(Main[[#This Row],[Tech Start Date]],9),""))))</f>
        <v/>
      </c>
      <c r="Q782" s="74">
        <v>40634</v>
      </c>
      <c r="R782" s="74"/>
      <c r="S782" s="72" t="s">
        <v>11</v>
      </c>
      <c r="T782" s="80" t="s">
        <v>4</v>
      </c>
      <c r="U782" s="72" t="s">
        <v>14</v>
      </c>
      <c r="V782" s="72" t="s">
        <v>1920</v>
      </c>
      <c r="W782" s="72" t="s">
        <v>1923</v>
      </c>
      <c r="X782" s="72" t="s">
        <v>2851</v>
      </c>
      <c r="Y782" s="72" t="s">
        <v>3071</v>
      </c>
      <c r="Z782" s="72" t="s">
        <v>4</v>
      </c>
      <c r="AA782" s="146" t="s">
        <v>2851</v>
      </c>
    </row>
    <row r="783" spans="1:27" ht="18.600000000000001" customHeight="1">
      <c r="A783" s="139" t="str">
        <f>IF(priority(Main[[#This Row],[Comments]])&lt;&gt;0, priority(Main[[#This Row],[Comments]]),"")</f>
        <v/>
      </c>
      <c r="B783" s="89" t="s">
        <v>1712</v>
      </c>
      <c r="C783" s="72" t="s">
        <v>31</v>
      </c>
      <c r="D783" s="73" t="s">
        <v>770</v>
      </c>
      <c r="E783" s="74"/>
      <c r="F783" s="74">
        <v>40664</v>
      </c>
      <c r="G783" s="75" t="str">
        <f>IF(stdProdLT(Main[[#This Row],[Comments]])=0.1,"N/A",IF(stdProdLT(Main[[#This Row],[Comments]])=0,"",stdProdLT(Main[[#This Row],[Comments]])))</f>
        <v/>
      </c>
      <c r="H783" s="76" t="str">
        <f>IF(AND(Main[[#This Row],[In Stock Date]]&lt;&gt;"",Main[[#This Row],[Revised Due Date]]&lt;&gt;""),Main[[#This Row],[In Stock Date]]-Main[[#This Row],[Revised Due Date]],"")</f>
        <v/>
      </c>
      <c r="I783" s="72" t="s">
        <v>4</v>
      </c>
      <c r="J783" s="72" t="s">
        <v>28</v>
      </c>
      <c r="K783" s="72" t="s">
        <v>4</v>
      </c>
      <c r="L783" s="74"/>
      <c r="M783" s="77" t="str">
        <f>IF(Main[[#This Row],[Tech Start Date]]&lt;1/1/1990,"",IF(Main[[#This Row],[Class]]="C",WORKDAY(Main[[#This Row],[Tech Start Date]],9),IF(Main[[#This Row],[Class]]="B", WORKDAY(Main[[#This Row],[Tech Start Date]],6),IF(Main[[#This Row],[Class]]="A",WORKDAY(Main[[#This Row],[Tech Start Date]],2),""))))</f>
        <v/>
      </c>
      <c r="N783" s="77" t="str">
        <f>IF(Main[[#This Row],[Tech Start Date]]&lt;1/1/1990,"",IF(Main[[#This Row],[Class]]="C",WORKDAY(Main[[#This Row],[Tech Start Date]],19),IF(Main[[#This Row],[Class]]="B", WORKDAY(Main[[#This Row],[Tech Start Date]],12),IF(Main[[#This Row],[Class]]="A",WORKDAY(Main[[#This Row],[Tech Start Date]],4),""))))</f>
        <v/>
      </c>
      <c r="O783" s="77" t="str">
        <f>IF(Main[[#This Row],[Tech Start Date]]&lt;1/1/1990,"",IF(Main[[#This Row],[Class]]="C",WORKDAY(Main[[#This Row],[Tech Start Date]],23),IF(Main[[#This Row],[Class]]="B", WORKDAY(Main[[#This Row],[Tech Start Date]],15),IF(Main[[#This Row],[Class]]="A",WORKDAY(Main[[#This Row],[Tech Start Date]],5),""))))</f>
        <v/>
      </c>
      <c r="P783" s="77" t="str">
        <f>IF(Main[[#This Row],[Tech Start Date]]&lt;1/1/1990,"",IF(Main[[#This Row],[Class]]="C",WORKDAY(Main[[#This Row],[Tech Start Date]],28),IF(Main[[#This Row],[Class]]="B", WORKDAY(Main[[#This Row],[Tech Start Date]],19),IF(Main[[#This Row],[Class]]="A",WORKDAY(Main[[#This Row],[Tech Start Date]],9),""))))</f>
        <v/>
      </c>
      <c r="Q783" s="74">
        <v>40589</v>
      </c>
      <c r="R783" s="74"/>
      <c r="S783" s="72" t="s">
        <v>11</v>
      </c>
      <c r="T783" s="80" t="s">
        <v>4</v>
      </c>
      <c r="U783" s="72" t="s">
        <v>14</v>
      </c>
      <c r="V783" s="72" t="s">
        <v>1920</v>
      </c>
      <c r="W783" s="72" t="s">
        <v>1923</v>
      </c>
      <c r="X783" s="72" t="s">
        <v>50</v>
      </c>
      <c r="Y783" s="72" t="s">
        <v>3126</v>
      </c>
      <c r="Z783" s="72" t="s">
        <v>30</v>
      </c>
      <c r="AA783" s="146" t="s">
        <v>2831</v>
      </c>
    </row>
    <row r="784" spans="1:27" ht="18.600000000000001" customHeight="1">
      <c r="A784" s="139" t="str">
        <f>IF(priority(Main[[#This Row],[Comments]])&lt;&gt;0, priority(Main[[#This Row],[Comments]]),"")</f>
        <v/>
      </c>
      <c r="B784" s="89" t="s">
        <v>3620</v>
      </c>
      <c r="C784" s="72" t="s">
        <v>3621</v>
      </c>
      <c r="D784" s="73" t="s">
        <v>3622</v>
      </c>
      <c r="E784" s="74">
        <v>40960.213784722226</v>
      </c>
      <c r="F784" s="74">
        <v>41146</v>
      </c>
      <c r="G784" s="75">
        <f>IF(stdProdLT(Main[[#This Row],[Comments]])=0.1,"N/A",IF(stdProdLT(Main[[#This Row],[Comments]])=0,"",stdProdLT(Main[[#This Row],[Comments]])))</f>
        <v>126</v>
      </c>
      <c r="H784" s="76" t="str">
        <f>IF(AND(Main[[#This Row],[In Stock Date]]&lt;&gt;"",Main[[#This Row],[Revised Due Date]]&lt;&gt;""),Main[[#This Row],[In Stock Date]]-Main[[#This Row],[Revised Due Date]],"")</f>
        <v/>
      </c>
      <c r="I784" s="72" t="s">
        <v>4</v>
      </c>
      <c r="J784" s="72" t="s">
        <v>4</v>
      </c>
      <c r="K784" s="72" t="s">
        <v>4</v>
      </c>
      <c r="L784" s="74"/>
      <c r="M784" s="77" t="str">
        <f>IF(Main[[#This Row],[Tech Start Date]]&lt;1/1/1990,"",IF(Main[[#This Row],[Class]]="C",WORKDAY(Main[[#This Row],[Tech Start Date]],9),IF(Main[[#This Row],[Class]]="B", WORKDAY(Main[[#This Row],[Tech Start Date]],6),IF(Main[[#This Row],[Class]]="A",WORKDAY(Main[[#This Row],[Tech Start Date]],2),""))))</f>
        <v/>
      </c>
      <c r="N784" s="77" t="str">
        <f>IF(Main[[#This Row],[Tech Start Date]]&lt;1/1/1990,"",IF(Main[[#This Row],[Class]]="C",WORKDAY(Main[[#This Row],[Tech Start Date]],19),IF(Main[[#This Row],[Class]]="B", WORKDAY(Main[[#This Row],[Tech Start Date]],12),IF(Main[[#This Row],[Class]]="A",WORKDAY(Main[[#This Row],[Tech Start Date]],4),""))))</f>
        <v/>
      </c>
      <c r="O784" s="77" t="str">
        <f>IF(Main[[#This Row],[Tech Start Date]]&lt;1/1/1990,"",IF(Main[[#This Row],[Class]]="C",WORKDAY(Main[[#This Row],[Tech Start Date]],23),IF(Main[[#This Row],[Class]]="B", WORKDAY(Main[[#This Row],[Tech Start Date]],15),IF(Main[[#This Row],[Class]]="A",WORKDAY(Main[[#This Row],[Tech Start Date]],5),""))))</f>
        <v/>
      </c>
      <c r="P784" s="77" t="str">
        <f>IF(Main[[#This Row],[Tech Start Date]]&lt;1/1/1990,"",IF(Main[[#This Row],[Class]]="C",WORKDAY(Main[[#This Row],[Tech Start Date]],28),IF(Main[[#This Row],[Class]]="B", WORKDAY(Main[[#This Row],[Tech Start Date]],19),IF(Main[[#This Row],[Class]]="A",WORKDAY(Main[[#This Row],[Tech Start Date]],9),""))))</f>
        <v/>
      </c>
      <c r="Q784" s="74"/>
      <c r="R784" s="74"/>
      <c r="S784" s="72" t="s">
        <v>11</v>
      </c>
      <c r="T784" s="80" t="s">
        <v>3623</v>
      </c>
      <c r="U784" s="72" t="s">
        <v>7</v>
      </c>
      <c r="V784" s="72" t="s">
        <v>1920</v>
      </c>
      <c r="W784" s="72" t="s">
        <v>1922</v>
      </c>
      <c r="X784" s="72" t="s">
        <v>2899</v>
      </c>
      <c r="Y784" s="72" t="s">
        <v>3061</v>
      </c>
      <c r="Z784" s="72" t="s">
        <v>4</v>
      </c>
      <c r="AA784" s="146" t="s">
        <v>2899</v>
      </c>
    </row>
    <row r="785" spans="1:27" ht="18.600000000000001" customHeight="1">
      <c r="A785" s="139" t="str">
        <f>IF(priority(Main[[#This Row],[Comments]])&lt;&gt;0, priority(Main[[#This Row],[Comments]]),"")</f>
        <v/>
      </c>
      <c r="B785" s="89" t="s">
        <v>1600</v>
      </c>
      <c r="C785" s="72" t="s">
        <v>4</v>
      </c>
      <c r="D785" s="73" t="s">
        <v>675</v>
      </c>
      <c r="E785" s="74"/>
      <c r="F785" s="74"/>
      <c r="G785" s="75" t="str">
        <f>IF(stdProdLT(Main[[#This Row],[Comments]])=0.1,"N/A",IF(stdProdLT(Main[[#This Row],[Comments]])=0,"",stdProdLT(Main[[#This Row],[Comments]])))</f>
        <v/>
      </c>
      <c r="H785" s="76" t="str">
        <f>IF(AND(Main[[#This Row],[In Stock Date]]&lt;&gt;"",Main[[#This Row],[Revised Due Date]]&lt;&gt;""),Main[[#This Row],[In Stock Date]]-Main[[#This Row],[Revised Due Date]],"")</f>
        <v/>
      </c>
      <c r="I785" s="72" t="s">
        <v>102</v>
      </c>
      <c r="J785" s="72" t="s">
        <v>4</v>
      </c>
      <c r="K785" s="72" t="s">
        <v>1924</v>
      </c>
      <c r="L785" s="74"/>
      <c r="M785" s="77" t="str">
        <f>IF(Main[[#This Row],[Tech Start Date]]&lt;1/1/1990,"",IF(Main[[#This Row],[Class]]="C",WORKDAY(Main[[#This Row],[Tech Start Date]],9),IF(Main[[#This Row],[Class]]="B", WORKDAY(Main[[#This Row],[Tech Start Date]],6),IF(Main[[#This Row],[Class]]="A",WORKDAY(Main[[#This Row],[Tech Start Date]],2),""))))</f>
        <v/>
      </c>
      <c r="N785" s="77" t="str">
        <f>IF(Main[[#This Row],[Tech Start Date]]&lt;1/1/1990,"",IF(Main[[#This Row],[Class]]="C",WORKDAY(Main[[#This Row],[Tech Start Date]],19),IF(Main[[#This Row],[Class]]="B", WORKDAY(Main[[#This Row],[Tech Start Date]],12),IF(Main[[#This Row],[Class]]="A",WORKDAY(Main[[#This Row],[Tech Start Date]],4),""))))</f>
        <v/>
      </c>
      <c r="O785" s="77" t="str">
        <f>IF(Main[[#This Row],[Tech Start Date]]&lt;1/1/1990,"",IF(Main[[#This Row],[Class]]="C",WORKDAY(Main[[#This Row],[Tech Start Date]],23),IF(Main[[#This Row],[Class]]="B", WORKDAY(Main[[#This Row],[Tech Start Date]],15),IF(Main[[#This Row],[Class]]="A",WORKDAY(Main[[#This Row],[Tech Start Date]],5),""))))</f>
        <v/>
      </c>
      <c r="P785" s="77" t="str">
        <f>IF(Main[[#This Row],[Tech Start Date]]&lt;1/1/1990,"",IF(Main[[#This Row],[Class]]="C",WORKDAY(Main[[#This Row],[Tech Start Date]],28),IF(Main[[#This Row],[Class]]="B", WORKDAY(Main[[#This Row],[Tech Start Date]],19),IF(Main[[#This Row],[Class]]="A",WORKDAY(Main[[#This Row],[Tech Start Date]],9),""))))</f>
        <v/>
      </c>
      <c r="Q785" s="74"/>
      <c r="R785" s="74"/>
      <c r="S785" s="72" t="s">
        <v>23</v>
      </c>
      <c r="T785" s="80" t="s">
        <v>4</v>
      </c>
      <c r="U785" s="72" t="s">
        <v>14</v>
      </c>
      <c r="V785" s="72" t="s">
        <v>1917</v>
      </c>
      <c r="W785" s="72" t="s">
        <v>1921</v>
      </c>
      <c r="X785" s="72" t="s">
        <v>306</v>
      </c>
      <c r="Y785" s="72" t="s">
        <v>4</v>
      </c>
      <c r="Z785" s="72" t="s">
        <v>4</v>
      </c>
      <c r="AA785" s="146" t="s">
        <v>3439</v>
      </c>
    </row>
    <row r="786" spans="1:27" ht="18.600000000000001" customHeight="1">
      <c r="A786" s="139" t="str">
        <f>IF(priority(Main[[#This Row],[Comments]])&lt;&gt;0, priority(Main[[#This Row],[Comments]]),"")</f>
        <v/>
      </c>
      <c r="B786" s="89" t="s">
        <v>1601</v>
      </c>
      <c r="C786" s="72" t="s">
        <v>4</v>
      </c>
      <c r="D786" s="73" t="s">
        <v>676</v>
      </c>
      <c r="E786" s="74">
        <v>40491.714780092596</v>
      </c>
      <c r="F786" s="74"/>
      <c r="G786" s="75" t="str">
        <f>IF(stdProdLT(Main[[#This Row],[Comments]])=0.1,"N/A",IF(stdProdLT(Main[[#This Row],[Comments]])=0,"",stdProdLT(Main[[#This Row],[Comments]])))</f>
        <v/>
      </c>
      <c r="H786" s="76" t="str">
        <f>IF(AND(Main[[#This Row],[In Stock Date]]&lt;&gt;"",Main[[#This Row],[Revised Due Date]]&lt;&gt;""),Main[[#This Row],[In Stock Date]]-Main[[#This Row],[Revised Due Date]],"")</f>
        <v/>
      </c>
      <c r="I786" s="72" t="s">
        <v>4</v>
      </c>
      <c r="J786" s="72" t="s">
        <v>28</v>
      </c>
      <c r="K786" s="81" t="s">
        <v>1924</v>
      </c>
      <c r="L786" s="74"/>
      <c r="M786" s="77" t="str">
        <f>IF(Main[[#This Row],[Tech Start Date]]&lt;1/1/1990,"",IF(Main[[#This Row],[Class]]="C",WORKDAY(Main[[#This Row],[Tech Start Date]],9),IF(Main[[#This Row],[Class]]="B", WORKDAY(Main[[#This Row],[Tech Start Date]],6),IF(Main[[#This Row],[Class]]="A",WORKDAY(Main[[#This Row],[Tech Start Date]],2),""))))</f>
        <v/>
      </c>
      <c r="N786" s="77" t="str">
        <f>IF(Main[[#This Row],[Tech Start Date]]&lt;1/1/1990,"",IF(Main[[#This Row],[Class]]="C",WORKDAY(Main[[#This Row],[Tech Start Date]],19),IF(Main[[#This Row],[Class]]="B", WORKDAY(Main[[#This Row],[Tech Start Date]],12),IF(Main[[#This Row],[Class]]="A",WORKDAY(Main[[#This Row],[Tech Start Date]],4),""))))</f>
        <v/>
      </c>
      <c r="O786" s="77" t="str">
        <f>IF(Main[[#This Row],[Tech Start Date]]&lt;1/1/1990,"",IF(Main[[#This Row],[Class]]="C",WORKDAY(Main[[#This Row],[Tech Start Date]],23),IF(Main[[#This Row],[Class]]="B", WORKDAY(Main[[#This Row],[Tech Start Date]],15),IF(Main[[#This Row],[Class]]="A",WORKDAY(Main[[#This Row],[Tech Start Date]],5),""))))</f>
        <v/>
      </c>
      <c r="P786" s="77" t="str">
        <f>IF(Main[[#This Row],[Tech Start Date]]&lt;1/1/1990,"",IF(Main[[#This Row],[Class]]="C",WORKDAY(Main[[#This Row],[Tech Start Date]],28),IF(Main[[#This Row],[Class]]="B", WORKDAY(Main[[#This Row],[Tech Start Date]],19),IF(Main[[#This Row],[Class]]="A",WORKDAY(Main[[#This Row],[Tech Start Date]],9),""))))</f>
        <v/>
      </c>
      <c r="Q786" s="74">
        <v>40520</v>
      </c>
      <c r="R786" s="74"/>
      <c r="S786" s="72" t="s">
        <v>6</v>
      </c>
      <c r="T786" s="80" t="s">
        <v>4</v>
      </c>
      <c r="U786" s="72" t="s">
        <v>7</v>
      </c>
      <c r="V786" s="72" t="s">
        <v>1917</v>
      </c>
      <c r="W786" s="72" t="s">
        <v>1919</v>
      </c>
      <c r="X786" s="72" t="s">
        <v>2827</v>
      </c>
      <c r="Y786" s="72" t="s">
        <v>2942</v>
      </c>
      <c r="Z786" s="72" t="s">
        <v>129</v>
      </c>
      <c r="AA786" s="146" t="s">
        <v>2827</v>
      </c>
    </row>
    <row r="787" spans="1:27" ht="18.600000000000001" customHeight="1">
      <c r="A787" s="139" t="str">
        <f>IF(priority(Main[[#This Row],[Comments]])&lt;&gt;0, priority(Main[[#This Row],[Comments]]),"")</f>
        <v/>
      </c>
      <c r="B787" s="89" t="s">
        <v>1602</v>
      </c>
      <c r="C787" s="72" t="s">
        <v>47</v>
      </c>
      <c r="D787" s="73" t="s">
        <v>677</v>
      </c>
      <c r="E787" s="74"/>
      <c r="F787" s="74"/>
      <c r="G787" s="75" t="str">
        <f>IF(stdProdLT(Main[[#This Row],[Comments]])=0.1,"N/A",IF(stdProdLT(Main[[#This Row],[Comments]])=0,"",stdProdLT(Main[[#This Row],[Comments]])))</f>
        <v/>
      </c>
      <c r="H787" s="76" t="str">
        <f>IF(AND(Main[[#This Row],[In Stock Date]]&lt;&gt;"",Main[[#This Row],[Revised Due Date]]&lt;&gt;""),Main[[#This Row],[In Stock Date]]-Main[[#This Row],[Revised Due Date]],"")</f>
        <v/>
      </c>
      <c r="I787" s="72" t="s">
        <v>4</v>
      </c>
      <c r="J787" s="72" t="s">
        <v>4</v>
      </c>
      <c r="K787" s="72" t="s">
        <v>4</v>
      </c>
      <c r="L787" s="74"/>
      <c r="M787" s="77" t="str">
        <f>IF(Main[[#This Row],[Tech Start Date]]&lt;1/1/1990,"",IF(Main[[#This Row],[Class]]="C",WORKDAY(Main[[#This Row],[Tech Start Date]],9),IF(Main[[#This Row],[Class]]="B", WORKDAY(Main[[#This Row],[Tech Start Date]],6),IF(Main[[#This Row],[Class]]="A",WORKDAY(Main[[#This Row],[Tech Start Date]],2),""))))</f>
        <v/>
      </c>
      <c r="N787" s="77" t="str">
        <f>IF(Main[[#This Row],[Tech Start Date]]&lt;1/1/1990,"",IF(Main[[#This Row],[Class]]="C",WORKDAY(Main[[#This Row],[Tech Start Date]],19),IF(Main[[#This Row],[Class]]="B", WORKDAY(Main[[#This Row],[Tech Start Date]],12),IF(Main[[#This Row],[Class]]="A",WORKDAY(Main[[#This Row],[Tech Start Date]],4),""))))</f>
        <v/>
      </c>
      <c r="O787" s="77" t="str">
        <f>IF(Main[[#This Row],[Tech Start Date]]&lt;1/1/1990,"",IF(Main[[#This Row],[Class]]="C",WORKDAY(Main[[#This Row],[Tech Start Date]],23),IF(Main[[#This Row],[Class]]="B", WORKDAY(Main[[#This Row],[Tech Start Date]],15),IF(Main[[#This Row],[Class]]="A",WORKDAY(Main[[#This Row],[Tech Start Date]],5),""))))</f>
        <v/>
      </c>
      <c r="P787" s="77" t="str">
        <f>IF(Main[[#This Row],[Tech Start Date]]&lt;1/1/1990,"",IF(Main[[#This Row],[Class]]="C",WORKDAY(Main[[#This Row],[Tech Start Date]],28),IF(Main[[#This Row],[Class]]="B", WORKDAY(Main[[#This Row],[Tech Start Date]],19),IF(Main[[#This Row],[Class]]="A",WORKDAY(Main[[#This Row],[Tech Start Date]],9),""))))</f>
        <v/>
      </c>
      <c r="Q787" s="74"/>
      <c r="R787" s="74"/>
      <c r="S787" s="72" t="s">
        <v>11</v>
      </c>
      <c r="T787" s="80" t="s">
        <v>4</v>
      </c>
      <c r="U787" s="72" t="s">
        <v>14</v>
      </c>
      <c r="V787" s="72" t="s">
        <v>1918</v>
      </c>
      <c r="W787" s="72" t="s">
        <v>1921</v>
      </c>
      <c r="X787" s="72" t="s">
        <v>306</v>
      </c>
      <c r="Y787" s="72" t="s">
        <v>2947</v>
      </c>
      <c r="Z787" s="72" t="s">
        <v>4</v>
      </c>
      <c r="AA787" s="146" t="s">
        <v>3388</v>
      </c>
    </row>
    <row r="788" spans="1:27" ht="18.600000000000001" customHeight="1">
      <c r="A788" s="139" t="str">
        <f>IF(priority(Main[[#This Row],[Comments]])&lt;&gt;0, priority(Main[[#This Row],[Comments]]),"")</f>
        <v/>
      </c>
      <c r="B788" s="89" t="s">
        <v>1603</v>
      </c>
      <c r="C788" s="72" t="s">
        <v>275</v>
      </c>
      <c r="D788" s="73" t="s">
        <v>586</v>
      </c>
      <c r="E788" s="74"/>
      <c r="F788" s="74">
        <v>40186</v>
      </c>
      <c r="G788" s="75" t="str">
        <f>IF(stdProdLT(Main[[#This Row],[Comments]])=0.1,"N/A",IF(stdProdLT(Main[[#This Row],[Comments]])=0,"",stdProdLT(Main[[#This Row],[Comments]])))</f>
        <v/>
      </c>
      <c r="H788" s="76" t="str">
        <f>IF(AND(Main[[#This Row],[In Stock Date]]&lt;&gt;"",Main[[#This Row],[Revised Due Date]]&lt;&gt;""),Main[[#This Row],[In Stock Date]]-Main[[#This Row],[Revised Due Date]],"")</f>
        <v/>
      </c>
      <c r="I788" s="72" t="s">
        <v>4</v>
      </c>
      <c r="J788" s="72" t="s">
        <v>4</v>
      </c>
      <c r="K788" s="81" t="s">
        <v>4</v>
      </c>
      <c r="L788" s="74"/>
      <c r="M788" s="77" t="str">
        <f>IF(Main[[#This Row],[Tech Start Date]]&lt;1/1/1990,"",IF(Main[[#This Row],[Class]]="C",WORKDAY(Main[[#This Row],[Tech Start Date]],9),IF(Main[[#This Row],[Class]]="B", WORKDAY(Main[[#This Row],[Tech Start Date]],6),IF(Main[[#This Row],[Class]]="A",WORKDAY(Main[[#This Row],[Tech Start Date]],2),""))))</f>
        <v/>
      </c>
      <c r="N788" s="77" t="str">
        <f>IF(Main[[#This Row],[Tech Start Date]]&lt;1/1/1990,"",IF(Main[[#This Row],[Class]]="C",WORKDAY(Main[[#This Row],[Tech Start Date]],19),IF(Main[[#This Row],[Class]]="B", WORKDAY(Main[[#This Row],[Tech Start Date]],12),IF(Main[[#This Row],[Class]]="A",WORKDAY(Main[[#This Row],[Tech Start Date]],4),""))))</f>
        <v/>
      </c>
      <c r="O788" s="77" t="str">
        <f>IF(Main[[#This Row],[Tech Start Date]]&lt;1/1/1990,"",IF(Main[[#This Row],[Class]]="C",WORKDAY(Main[[#This Row],[Tech Start Date]],23),IF(Main[[#This Row],[Class]]="B", WORKDAY(Main[[#This Row],[Tech Start Date]],15),IF(Main[[#This Row],[Class]]="A",WORKDAY(Main[[#This Row],[Tech Start Date]],5),""))))</f>
        <v/>
      </c>
      <c r="P788" s="77" t="str">
        <f>IF(Main[[#This Row],[Tech Start Date]]&lt;1/1/1990,"",IF(Main[[#This Row],[Class]]="C",WORKDAY(Main[[#This Row],[Tech Start Date]],28),IF(Main[[#This Row],[Class]]="B", WORKDAY(Main[[#This Row],[Tech Start Date]],19),IF(Main[[#This Row],[Class]]="A",WORKDAY(Main[[#This Row],[Tech Start Date]],9),""))))</f>
        <v/>
      </c>
      <c r="Q788" s="74">
        <v>40186</v>
      </c>
      <c r="R788" s="74"/>
      <c r="S788" s="72" t="s">
        <v>11</v>
      </c>
      <c r="T788" s="80" t="s">
        <v>4</v>
      </c>
      <c r="U788" s="72" t="s">
        <v>14</v>
      </c>
      <c r="V788" s="72" t="s">
        <v>1920</v>
      </c>
      <c r="W788" s="72" t="s">
        <v>1925</v>
      </c>
      <c r="X788" s="72" t="s">
        <v>2848</v>
      </c>
      <c r="Y788" s="72" t="s">
        <v>4</v>
      </c>
      <c r="Z788" s="72" t="s">
        <v>4</v>
      </c>
      <c r="AA788" s="146" t="s">
        <v>2848</v>
      </c>
    </row>
    <row r="789" spans="1:27" ht="18.600000000000001" customHeight="1">
      <c r="A789" s="139" t="str">
        <f>IF(priority(Main[[#This Row],[Comments]])&lt;&gt;0, priority(Main[[#This Row],[Comments]]),"")</f>
        <v/>
      </c>
      <c r="B789" s="89" t="s">
        <v>1057</v>
      </c>
      <c r="C789" s="72" t="s">
        <v>4</v>
      </c>
      <c r="D789" s="73" t="s">
        <v>39</v>
      </c>
      <c r="E789" s="74"/>
      <c r="F789" s="74"/>
      <c r="G789" s="75" t="str">
        <f>IF(stdProdLT(Main[[#This Row],[Comments]])=0.1,"N/A",IF(stdProdLT(Main[[#This Row],[Comments]])=0,"",stdProdLT(Main[[#This Row],[Comments]])))</f>
        <v/>
      </c>
      <c r="H789" s="76" t="str">
        <f>IF(AND(Main[[#This Row],[In Stock Date]]&lt;&gt;"",Main[[#This Row],[Revised Due Date]]&lt;&gt;""),Main[[#This Row],[In Stock Date]]-Main[[#This Row],[Revised Due Date]],"")</f>
        <v/>
      </c>
      <c r="I789" s="72" t="s">
        <v>489</v>
      </c>
      <c r="J789" s="72" t="s">
        <v>70</v>
      </c>
      <c r="K789" s="81" t="s">
        <v>1926</v>
      </c>
      <c r="L789" s="74"/>
      <c r="M789" s="77" t="str">
        <f>IF(Main[[#This Row],[Tech Start Date]]&lt;1/1/1990,"",IF(Main[[#This Row],[Class]]="C",WORKDAY(Main[[#This Row],[Tech Start Date]],9),IF(Main[[#This Row],[Class]]="B", WORKDAY(Main[[#This Row],[Tech Start Date]],6),IF(Main[[#This Row],[Class]]="A",WORKDAY(Main[[#This Row],[Tech Start Date]],2),""))))</f>
        <v/>
      </c>
      <c r="N789" s="77" t="str">
        <f>IF(Main[[#This Row],[Tech Start Date]]&lt;1/1/1990,"",IF(Main[[#This Row],[Class]]="C",WORKDAY(Main[[#This Row],[Tech Start Date]],19),IF(Main[[#This Row],[Class]]="B", WORKDAY(Main[[#This Row],[Tech Start Date]],12),IF(Main[[#This Row],[Class]]="A",WORKDAY(Main[[#This Row],[Tech Start Date]],4),""))))</f>
        <v/>
      </c>
      <c r="O789" s="77" t="str">
        <f>IF(Main[[#This Row],[Tech Start Date]]&lt;1/1/1990,"",IF(Main[[#This Row],[Class]]="C",WORKDAY(Main[[#This Row],[Tech Start Date]],23),IF(Main[[#This Row],[Class]]="B", WORKDAY(Main[[#This Row],[Tech Start Date]],15),IF(Main[[#This Row],[Class]]="A",WORKDAY(Main[[#This Row],[Tech Start Date]],5),""))))</f>
        <v/>
      </c>
      <c r="P789" s="77" t="str">
        <f>IF(Main[[#This Row],[Tech Start Date]]&lt;1/1/1990,"",IF(Main[[#This Row],[Class]]="C",WORKDAY(Main[[#This Row],[Tech Start Date]],28),IF(Main[[#This Row],[Class]]="B", WORKDAY(Main[[#This Row],[Tech Start Date]],19),IF(Main[[#This Row],[Class]]="A",WORKDAY(Main[[#This Row],[Tech Start Date]],9),""))))</f>
        <v/>
      </c>
      <c r="Q789" s="74">
        <v>40704</v>
      </c>
      <c r="R789" s="74"/>
      <c r="S789" s="72" t="s">
        <v>6</v>
      </c>
      <c r="T789" s="80" t="s">
        <v>4</v>
      </c>
      <c r="U789" s="72" t="s">
        <v>14</v>
      </c>
      <c r="V789" s="72" t="s">
        <v>1920</v>
      </c>
      <c r="W789" s="72" t="s">
        <v>1921</v>
      </c>
      <c r="X789" s="72" t="s">
        <v>2824</v>
      </c>
      <c r="Y789" s="72" t="s">
        <v>2935</v>
      </c>
      <c r="Z789" s="72" t="s">
        <v>30</v>
      </c>
      <c r="AA789" s="146" t="s">
        <v>2824</v>
      </c>
    </row>
    <row r="790" spans="1:27" ht="18.600000000000001" customHeight="1">
      <c r="A790" s="139" t="str">
        <f>IF(priority(Main[[#This Row],[Comments]])&lt;&gt;0, priority(Main[[#This Row],[Comments]]),"")</f>
        <v/>
      </c>
      <c r="B790" s="89" t="s">
        <v>1605</v>
      </c>
      <c r="C790" s="72" t="s">
        <v>4</v>
      </c>
      <c r="D790" s="73" t="s">
        <v>679</v>
      </c>
      <c r="E790" s="74">
        <v>40497.338240740741</v>
      </c>
      <c r="F790" s="74"/>
      <c r="G790" s="75" t="str">
        <f>IF(stdProdLT(Main[[#This Row],[Comments]])=0.1,"N/A",IF(stdProdLT(Main[[#This Row],[Comments]])=0,"",stdProdLT(Main[[#This Row],[Comments]])))</f>
        <v/>
      </c>
      <c r="H790" s="76" t="str">
        <f>IF(AND(Main[[#This Row],[In Stock Date]]&lt;&gt;"",Main[[#This Row],[Revised Due Date]]&lt;&gt;""),Main[[#This Row],[In Stock Date]]-Main[[#This Row],[Revised Due Date]],"")</f>
        <v/>
      </c>
      <c r="I790" s="72" t="s">
        <v>4</v>
      </c>
      <c r="J790" s="72" t="s">
        <v>4</v>
      </c>
      <c r="K790" s="72" t="s">
        <v>4</v>
      </c>
      <c r="L790" s="74"/>
      <c r="M790" s="77" t="str">
        <f>IF(Main[[#This Row],[Tech Start Date]]&lt;1/1/1990,"",IF(Main[[#This Row],[Class]]="C",WORKDAY(Main[[#This Row],[Tech Start Date]],9),IF(Main[[#This Row],[Class]]="B", WORKDAY(Main[[#This Row],[Tech Start Date]],6),IF(Main[[#This Row],[Class]]="A",WORKDAY(Main[[#This Row],[Tech Start Date]],2),""))))</f>
        <v/>
      </c>
      <c r="N790" s="77" t="str">
        <f>IF(Main[[#This Row],[Tech Start Date]]&lt;1/1/1990,"",IF(Main[[#This Row],[Class]]="C",WORKDAY(Main[[#This Row],[Tech Start Date]],19),IF(Main[[#This Row],[Class]]="B", WORKDAY(Main[[#This Row],[Tech Start Date]],12),IF(Main[[#This Row],[Class]]="A",WORKDAY(Main[[#This Row],[Tech Start Date]],4),""))))</f>
        <v/>
      </c>
      <c r="O790" s="77" t="str">
        <f>IF(Main[[#This Row],[Tech Start Date]]&lt;1/1/1990,"",IF(Main[[#This Row],[Class]]="C",WORKDAY(Main[[#This Row],[Tech Start Date]],23),IF(Main[[#This Row],[Class]]="B", WORKDAY(Main[[#This Row],[Tech Start Date]],15),IF(Main[[#This Row],[Class]]="A",WORKDAY(Main[[#This Row],[Tech Start Date]],5),""))))</f>
        <v/>
      </c>
      <c r="P790" s="77" t="str">
        <f>IF(Main[[#This Row],[Tech Start Date]]&lt;1/1/1990,"",IF(Main[[#This Row],[Class]]="C",WORKDAY(Main[[#This Row],[Tech Start Date]],28),IF(Main[[#This Row],[Class]]="B", WORKDAY(Main[[#This Row],[Tech Start Date]],19),IF(Main[[#This Row],[Class]]="A",WORKDAY(Main[[#This Row],[Tech Start Date]],9),""))))</f>
        <v/>
      </c>
      <c r="Q790" s="74">
        <v>40529</v>
      </c>
      <c r="R790" s="74"/>
      <c r="S790" s="72" t="s">
        <v>4</v>
      </c>
      <c r="T790" s="80" t="s">
        <v>4</v>
      </c>
      <c r="U790" s="72" t="s">
        <v>7</v>
      </c>
      <c r="V790" s="72" t="s">
        <v>1917</v>
      </c>
      <c r="W790" s="72" t="s">
        <v>4</v>
      </c>
      <c r="X790" s="72" t="s">
        <v>2824</v>
      </c>
      <c r="Y790" s="72" t="s">
        <v>2935</v>
      </c>
      <c r="Z790" s="72" t="s">
        <v>4</v>
      </c>
      <c r="AA790" s="146" t="s">
        <v>2824</v>
      </c>
    </row>
    <row r="791" spans="1:27" ht="18.600000000000001" customHeight="1">
      <c r="A791" s="139" t="str">
        <f>IF(priority(Main[[#This Row],[Comments]])&lt;&gt;0, priority(Main[[#This Row],[Comments]]),"")</f>
        <v/>
      </c>
      <c r="B791" s="89" t="s">
        <v>1606</v>
      </c>
      <c r="C791" s="72" t="s">
        <v>72</v>
      </c>
      <c r="D791" s="73" t="s">
        <v>647</v>
      </c>
      <c r="E791" s="74"/>
      <c r="F791" s="74"/>
      <c r="G791" s="75" t="str">
        <f>IF(stdProdLT(Main[[#This Row],[Comments]])=0.1,"N/A",IF(stdProdLT(Main[[#This Row],[Comments]])=0,"",stdProdLT(Main[[#This Row],[Comments]])))</f>
        <v/>
      </c>
      <c r="H791" s="76" t="str">
        <f>IF(AND(Main[[#This Row],[In Stock Date]]&lt;&gt;"",Main[[#This Row],[Revised Due Date]]&lt;&gt;""),Main[[#This Row],[In Stock Date]]-Main[[#This Row],[Revised Due Date]],"")</f>
        <v/>
      </c>
      <c r="I791" s="72" t="s">
        <v>4</v>
      </c>
      <c r="J791" s="72" t="s">
        <v>4</v>
      </c>
      <c r="K791" s="72" t="s">
        <v>4</v>
      </c>
      <c r="L791" s="74"/>
      <c r="M791" s="77" t="str">
        <f>IF(Main[[#This Row],[Tech Start Date]]&lt;1/1/1990,"",IF(Main[[#This Row],[Class]]="C",WORKDAY(Main[[#This Row],[Tech Start Date]],9),IF(Main[[#This Row],[Class]]="B", WORKDAY(Main[[#This Row],[Tech Start Date]],6),IF(Main[[#This Row],[Class]]="A",WORKDAY(Main[[#This Row],[Tech Start Date]],2),""))))</f>
        <v/>
      </c>
      <c r="N791" s="77" t="str">
        <f>IF(Main[[#This Row],[Tech Start Date]]&lt;1/1/1990,"",IF(Main[[#This Row],[Class]]="C",WORKDAY(Main[[#This Row],[Tech Start Date]],19),IF(Main[[#This Row],[Class]]="B", WORKDAY(Main[[#This Row],[Tech Start Date]],12),IF(Main[[#This Row],[Class]]="A",WORKDAY(Main[[#This Row],[Tech Start Date]],4),""))))</f>
        <v/>
      </c>
      <c r="O791" s="77" t="str">
        <f>IF(Main[[#This Row],[Tech Start Date]]&lt;1/1/1990,"",IF(Main[[#This Row],[Class]]="C",WORKDAY(Main[[#This Row],[Tech Start Date]],23),IF(Main[[#This Row],[Class]]="B", WORKDAY(Main[[#This Row],[Tech Start Date]],15),IF(Main[[#This Row],[Class]]="A",WORKDAY(Main[[#This Row],[Tech Start Date]],5),""))))</f>
        <v/>
      </c>
      <c r="P791" s="77" t="str">
        <f>IF(Main[[#This Row],[Tech Start Date]]&lt;1/1/1990,"",IF(Main[[#This Row],[Class]]="C",WORKDAY(Main[[#This Row],[Tech Start Date]],28),IF(Main[[#This Row],[Class]]="B", WORKDAY(Main[[#This Row],[Tech Start Date]],19),IF(Main[[#This Row],[Class]]="A",WORKDAY(Main[[#This Row],[Tech Start Date]],9),""))))</f>
        <v/>
      </c>
      <c r="Q791" s="74"/>
      <c r="R791" s="74"/>
      <c r="S791" s="72" t="s">
        <v>49</v>
      </c>
      <c r="T791" s="80" t="s">
        <v>4</v>
      </c>
      <c r="U791" s="72" t="s">
        <v>12</v>
      </c>
      <c r="V791" s="72" t="s">
        <v>1918</v>
      </c>
      <c r="W791" s="72" t="s">
        <v>1919</v>
      </c>
      <c r="X791" s="72" t="s">
        <v>2907</v>
      </c>
      <c r="Y791" s="72" t="s">
        <v>3085</v>
      </c>
      <c r="Z791" s="72" t="s">
        <v>4</v>
      </c>
      <c r="AA791" s="146" t="s">
        <v>2907</v>
      </c>
    </row>
    <row r="792" spans="1:27" ht="18.600000000000001" customHeight="1">
      <c r="A792" s="139" t="str">
        <f>IF(priority(Main[[#This Row],[Comments]])&lt;&gt;0, priority(Main[[#This Row],[Comments]]),"")</f>
        <v/>
      </c>
      <c r="B792" s="89" t="s">
        <v>1609</v>
      </c>
      <c r="C792" s="72" t="s">
        <v>4</v>
      </c>
      <c r="D792" s="73" t="s">
        <v>681</v>
      </c>
      <c r="E792" s="74">
        <v>40603.482094907406</v>
      </c>
      <c r="F792" s="74"/>
      <c r="G792" s="75" t="str">
        <f>IF(stdProdLT(Main[[#This Row],[Comments]])=0.1,"N/A",IF(stdProdLT(Main[[#This Row],[Comments]])=0,"",stdProdLT(Main[[#This Row],[Comments]])))</f>
        <v/>
      </c>
      <c r="H792" s="76" t="str">
        <f>IF(AND(Main[[#This Row],[In Stock Date]]&lt;&gt;"",Main[[#This Row],[Revised Due Date]]&lt;&gt;""),Main[[#This Row],[In Stock Date]]-Main[[#This Row],[Revised Due Date]],"")</f>
        <v/>
      </c>
      <c r="I792" s="72" t="s">
        <v>44</v>
      </c>
      <c r="J792" s="72" t="s">
        <v>28</v>
      </c>
      <c r="K792" s="72" t="s">
        <v>1926</v>
      </c>
      <c r="L792" s="74"/>
      <c r="M792" s="77" t="str">
        <f>IF(Main[[#This Row],[Tech Start Date]]&lt;1/1/1990,"",IF(Main[[#This Row],[Class]]="C",WORKDAY(Main[[#This Row],[Tech Start Date]],9),IF(Main[[#This Row],[Class]]="B", WORKDAY(Main[[#This Row],[Tech Start Date]],6),IF(Main[[#This Row],[Class]]="A",WORKDAY(Main[[#This Row],[Tech Start Date]],2),""))))</f>
        <v/>
      </c>
      <c r="N792" s="77" t="str">
        <f>IF(Main[[#This Row],[Tech Start Date]]&lt;1/1/1990,"",IF(Main[[#This Row],[Class]]="C",WORKDAY(Main[[#This Row],[Tech Start Date]],19),IF(Main[[#This Row],[Class]]="B", WORKDAY(Main[[#This Row],[Tech Start Date]],12),IF(Main[[#This Row],[Class]]="A",WORKDAY(Main[[#This Row],[Tech Start Date]],4),""))))</f>
        <v/>
      </c>
      <c r="O792" s="77" t="str">
        <f>IF(Main[[#This Row],[Tech Start Date]]&lt;1/1/1990,"",IF(Main[[#This Row],[Class]]="C",WORKDAY(Main[[#This Row],[Tech Start Date]],23),IF(Main[[#This Row],[Class]]="B", WORKDAY(Main[[#This Row],[Tech Start Date]],15),IF(Main[[#This Row],[Class]]="A",WORKDAY(Main[[#This Row],[Tech Start Date]],5),""))))</f>
        <v/>
      </c>
      <c r="P792" s="77" t="str">
        <f>IF(Main[[#This Row],[Tech Start Date]]&lt;1/1/1990,"",IF(Main[[#This Row],[Class]]="C",WORKDAY(Main[[#This Row],[Tech Start Date]],28),IF(Main[[#This Row],[Class]]="B", WORKDAY(Main[[#This Row],[Tech Start Date]],19),IF(Main[[#This Row],[Class]]="A",WORKDAY(Main[[#This Row],[Tech Start Date]],9),""))))</f>
        <v/>
      </c>
      <c r="Q792" s="74">
        <v>40637</v>
      </c>
      <c r="R792" s="74"/>
      <c r="S792" s="72" t="s">
        <v>6</v>
      </c>
      <c r="T792" s="80" t="s">
        <v>4</v>
      </c>
      <c r="U792" s="72" t="s">
        <v>7</v>
      </c>
      <c r="V792" s="72" t="s">
        <v>1917</v>
      </c>
      <c r="W792" s="72" t="s">
        <v>1919</v>
      </c>
      <c r="X792" s="72" t="s">
        <v>2828</v>
      </c>
      <c r="Y792" s="72" t="s">
        <v>2944</v>
      </c>
      <c r="Z792" s="72" t="s">
        <v>44</v>
      </c>
      <c r="AA792" s="146" t="s">
        <v>2828</v>
      </c>
    </row>
    <row r="793" spans="1:27" ht="18.600000000000001" customHeight="1">
      <c r="A793" s="139" t="str">
        <f>IF(priority(Main[[#This Row],[Comments]])&lt;&gt;0, priority(Main[[#This Row],[Comments]]),"")</f>
        <v/>
      </c>
      <c r="B793" s="89" t="s">
        <v>1610</v>
      </c>
      <c r="C793" s="72" t="s">
        <v>113</v>
      </c>
      <c r="D793" s="73" t="s">
        <v>682</v>
      </c>
      <c r="E793" s="74"/>
      <c r="F793" s="74">
        <v>40193</v>
      </c>
      <c r="G793" s="75" t="str">
        <f>IF(stdProdLT(Main[[#This Row],[Comments]])=0.1,"N/A",IF(stdProdLT(Main[[#This Row],[Comments]])=0,"",stdProdLT(Main[[#This Row],[Comments]])))</f>
        <v/>
      </c>
      <c r="H793" s="76" t="str">
        <f>IF(AND(Main[[#This Row],[In Stock Date]]&lt;&gt;"",Main[[#This Row],[Revised Due Date]]&lt;&gt;""),Main[[#This Row],[In Stock Date]]-Main[[#This Row],[Revised Due Date]],"")</f>
        <v/>
      </c>
      <c r="I793" s="72" t="s">
        <v>4</v>
      </c>
      <c r="J793" s="72" t="s">
        <v>4</v>
      </c>
      <c r="K793" s="72" t="s">
        <v>4</v>
      </c>
      <c r="L793" s="74"/>
      <c r="M793" s="77" t="str">
        <f>IF(Main[[#This Row],[Tech Start Date]]&lt;1/1/1990,"",IF(Main[[#This Row],[Class]]="C",WORKDAY(Main[[#This Row],[Tech Start Date]],9),IF(Main[[#This Row],[Class]]="B", WORKDAY(Main[[#This Row],[Tech Start Date]],6),IF(Main[[#This Row],[Class]]="A",WORKDAY(Main[[#This Row],[Tech Start Date]],2),""))))</f>
        <v/>
      </c>
      <c r="N793" s="77" t="str">
        <f>IF(Main[[#This Row],[Tech Start Date]]&lt;1/1/1990,"",IF(Main[[#This Row],[Class]]="C",WORKDAY(Main[[#This Row],[Tech Start Date]],19),IF(Main[[#This Row],[Class]]="B", WORKDAY(Main[[#This Row],[Tech Start Date]],12),IF(Main[[#This Row],[Class]]="A",WORKDAY(Main[[#This Row],[Tech Start Date]],4),""))))</f>
        <v/>
      </c>
      <c r="O793" s="77" t="str">
        <f>IF(Main[[#This Row],[Tech Start Date]]&lt;1/1/1990,"",IF(Main[[#This Row],[Class]]="C",WORKDAY(Main[[#This Row],[Tech Start Date]],23),IF(Main[[#This Row],[Class]]="B", WORKDAY(Main[[#This Row],[Tech Start Date]],15),IF(Main[[#This Row],[Class]]="A",WORKDAY(Main[[#This Row],[Tech Start Date]],5),""))))</f>
        <v/>
      </c>
      <c r="P793" s="77" t="str">
        <f>IF(Main[[#This Row],[Tech Start Date]]&lt;1/1/1990,"",IF(Main[[#This Row],[Class]]="C",WORKDAY(Main[[#This Row],[Tech Start Date]],28),IF(Main[[#This Row],[Class]]="B", WORKDAY(Main[[#This Row],[Tech Start Date]],19),IF(Main[[#This Row],[Class]]="A",WORKDAY(Main[[#This Row],[Tech Start Date]],9),""))))</f>
        <v/>
      </c>
      <c r="Q793" s="74">
        <v>40470</v>
      </c>
      <c r="R793" s="74"/>
      <c r="S793" s="72" t="s">
        <v>11</v>
      </c>
      <c r="T793" s="80" t="s">
        <v>4</v>
      </c>
      <c r="U793" s="72" t="s">
        <v>14</v>
      </c>
      <c r="V793" s="72" t="s">
        <v>1927</v>
      </c>
      <c r="W793" s="72" t="s">
        <v>1923</v>
      </c>
      <c r="X793" s="72" t="s">
        <v>2850</v>
      </c>
      <c r="Y793" s="72" t="s">
        <v>2983</v>
      </c>
      <c r="Z793" s="72" t="s">
        <v>4</v>
      </c>
      <c r="AA793" s="146" t="s">
        <v>2850</v>
      </c>
    </row>
    <row r="794" spans="1:27" ht="18.600000000000001" customHeight="1">
      <c r="A794" s="139" t="str">
        <f>IF(priority(Main[[#This Row],[Comments]])&lt;&gt;0, priority(Main[[#This Row],[Comments]]),"")</f>
        <v/>
      </c>
      <c r="B794" s="89" t="s">
        <v>1611</v>
      </c>
      <c r="C794" s="72" t="s">
        <v>4</v>
      </c>
      <c r="D794" s="73" t="s">
        <v>683</v>
      </c>
      <c r="E794" s="74"/>
      <c r="F794" s="74"/>
      <c r="G794" s="75" t="str">
        <f>IF(stdProdLT(Main[[#This Row],[Comments]])=0.1,"N/A",IF(stdProdLT(Main[[#This Row],[Comments]])=0,"",stdProdLT(Main[[#This Row],[Comments]])))</f>
        <v/>
      </c>
      <c r="H794" s="76" t="str">
        <f>IF(AND(Main[[#This Row],[In Stock Date]]&lt;&gt;"",Main[[#This Row],[Revised Due Date]]&lt;&gt;""),Main[[#This Row],[In Stock Date]]-Main[[#This Row],[Revised Due Date]],"")</f>
        <v/>
      </c>
      <c r="I794" s="72" t="s">
        <v>417</v>
      </c>
      <c r="J794" s="72" t="s">
        <v>4</v>
      </c>
      <c r="K794" s="72" t="s">
        <v>4</v>
      </c>
      <c r="L794" s="74"/>
      <c r="M794" s="77" t="str">
        <f>IF(Main[[#This Row],[Tech Start Date]]&lt;1/1/1990,"",IF(Main[[#This Row],[Class]]="C",WORKDAY(Main[[#This Row],[Tech Start Date]],9),IF(Main[[#This Row],[Class]]="B", WORKDAY(Main[[#This Row],[Tech Start Date]],6),IF(Main[[#This Row],[Class]]="A",WORKDAY(Main[[#This Row],[Tech Start Date]],2),""))))</f>
        <v/>
      </c>
      <c r="N794" s="77" t="str">
        <f>IF(Main[[#This Row],[Tech Start Date]]&lt;1/1/1990,"",IF(Main[[#This Row],[Class]]="C",WORKDAY(Main[[#This Row],[Tech Start Date]],19),IF(Main[[#This Row],[Class]]="B", WORKDAY(Main[[#This Row],[Tech Start Date]],12),IF(Main[[#This Row],[Class]]="A",WORKDAY(Main[[#This Row],[Tech Start Date]],4),""))))</f>
        <v/>
      </c>
      <c r="O794" s="77" t="str">
        <f>IF(Main[[#This Row],[Tech Start Date]]&lt;1/1/1990,"",IF(Main[[#This Row],[Class]]="C",WORKDAY(Main[[#This Row],[Tech Start Date]],23),IF(Main[[#This Row],[Class]]="B", WORKDAY(Main[[#This Row],[Tech Start Date]],15),IF(Main[[#This Row],[Class]]="A",WORKDAY(Main[[#This Row],[Tech Start Date]],5),""))))</f>
        <v/>
      </c>
      <c r="P794" s="77" t="str">
        <f>IF(Main[[#This Row],[Tech Start Date]]&lt;1/1/1990,"",IF(Main[[#This Row],[Class]]="C",WORKDAY(Main[[#This Row],[Tech Start Date]],28),IF(Main[[#This Row],[Class]]="B", WORKDAY(Main[[#This Row],[Tech Start Date]],19),IF(Main[[#This Row],[Class]]="A",WORKDAY(Main[[#This Row],[Tech Start Date]],9),""))))</f>
        <v/>
      </c>
      <c r="Q794" s="74"/>
      <c r="R794" s="74"/>
      <c r="S794" s="72" t="s">
        <v>23</v>
      </c>
      <c r="T794" s="80" t="s">
        <v>4</v>
      </c>
      <c r="U794" s="72" t="s">
        <v>14</v>
      </c>
      <c r="V794" s="72" t="s">
        <v>1920</v>
      </c>
      <c r="W794" s="72" t="s">
        <v>1921</v>
      </c>
      <c r="X794" s="72" t="s">
        <v>417</v>
      </c>
      <c r="Y794" s="72" t="s">
        <v>3094</v>
      </c>
      <c r="Z794" s="72" t="s">
        <v>30</v>
      </c>
      <c r="AA794" s="146" t="s">
        <v>3440</v>
      </c>
    </row>
    <row r="795" spans="1:27" ht="18.600000000000001" customHeight="1">
      <c r="A795" s="139" t="str">
        <f>IF(priority(Main[[#This Row],[Comments]])&lt;&gt;0, priority(Main[[#This Row],[Comments]]),"")</f>
        <v/>
      </c>
      <c r="B795" s="89" t="s">
        <v>1615</v>
      </c>
      <c r="C795" s="72" t="s">
        <v>687</v>
      </c>
      <c r="D795" s="73" t="s">
        <v>688</v>
      </c>
      <c r="E795" s="74"/>
      <c r="F795" s="74">
        <v>40527</v>
      </c>
      <c r="G795" s="75" t="str">
        <f>IF(stdProdLT(Main[[#This Row],[Comments]])=0.1,"N/A",IF(stdProdLT(Main[[#This Row],[Comments]])=0,"",stdProdLT(Main[[#This Row],[Comments]])))</f>
        <v/>
      </c>
      <c r="H795" s="76" t="str">
        <f>IF(AND(Main[[#This Row],[In Stock Date]]&lt;&gt;"",Main[[#This Row],[Revised Due Date]]&lt;&gt;""),Main[[#This Row],[In Stock Date]]-Main[[#This Row],[Revised Due Date]],"")</f>
        <v/>
      </c>
      <c r="I795" s="72" t="s">
        <v>4</v>
      </c>
      <c r="J795" s="72" t="s">
        <v>4</v>
      </c>
      <c r="K795" s="72" t="s">
        <v>4</v>
      </c>
      <c r="L795" s="74"/>
      <c r="M795" s="77" t="str">
        <f>IF(Main[[#This Row],[Tech Start Date]]&lt;1/1/1990,"",IF(Main[[#This Row],[Class]]="C",WORKDAY(Main[[#This Row],[Tech Start Date]],9),IF(Main[[#This Row],[Class]]="B", WORKDAY(Main[[#This Row],[Tech Start Date]],6),IF(Main[[#This Row],[Class]]="A",WORKDAY(Main[[#This Row],[Tech Start Date]],2),""))))</f>
        <v/>
      </c>
      <c r="N795" s="77" t="str">
        <f>IF(Main[[#This Row],[Tech Start Date]]&lt;1/1/1990,"",IF(Main[[#This Row],[Class]]="C",WORKDAY(Main[[#This Row],[Tech Start Date]],19),IF(Main[[#This Row],[Class]]="B", WORKDAY(Main[[#This Row],[Tech Start Date]],12),IF(Main[[#This Row],[Class]]="A",WORKDAY(Main[[#This Row],[Tech Start Date]],4),""))))</f>
        <v/>
      </c>
      <c r="O795" s="77" t="str">
        <f>IF(Main[[#This Row],[Tech Start Date]]&lt;1/1/1990,"",IF(Main[[#This Row],[Class]]="C",WORKDAY(Main[[#This Row],[Tech Start Date]],23),IF(Main[[#This Row],[Class]]="B", WORKDAY(Main[[#This Row],[Tech Start Date]],15),IF(Main[[#This Row],[Class]]="A",WORKDAY(Main[[#This Row],[Tech Start Date]],5),""))))</f>
        <v/>
      </c>
      <c r="P795" s="77" t="str">
        <f>IF(Main[[#This Row],[Tech Start Date]]&lt;1/1/1990,"",IF(Main[[#This Row],[Class]]="C",WORKDAY(Main[[#This Row],[Tech Start Date]],28),IF(Main[[#This Row],[Class]]="B", WORKDAY(Main[[#This Row],[Tech Start Date]],19),IF(Main[[#This Row],[Class]]="A",WORKDAY(Main[[#This Row],[Tech Start Date]],9),""))))</f>
        <v/>
      </c>
      <c r="Q795" s="74">
        <v>40480</v>
      </c>
      <c r="R795" s="74"/>
      <c r="S795" s="72" t="s">
        <v>11</v>
      </c>
      <c r="T795" s="80" t="s">
        <v>4</v>
      </c>
      <c r="U795" s="72" t="s">
        <v>14</v>
      </c>
      <c r="V795" s="72" t="s">
        <v>1918</v>
      </c>
      <c r="W795" s="72" t="s">
        <v>1923</v>
      </c>
      <c r="X795" s="72" t="s">
        <v>2885</v>
      </c>
      <c r="Y795" s="72" t="s">
        <v>3033</v>
      </c>
      <c r="Z795" s="72" t="s">
        <v>4</v>
      </c>
      <c r="AA795" s="146" t="s">
        <v>2885</v>
      </c>
    </row>
    <row r="796" spans="1:27" ht="18.600000000000001" customHeight="1">
      <c r="A796" s="139" t="str">
        <f>IF(priority(Main[[#This Row],[Comments]])&lt;&gt;0, priority(Main[[#This Row],[Comments]]),"")</f>
        <v/>
      </c>
      <c r="B796" s="89" t="s">
        <v>1616</v>
      </c>
      <c r="C796" s="72" t="s">
        <v>4</v>
      </c>
      <c r="D796" s="73" t="s">
        <v>689</v>
      </c>
      <c r="E796" s="74"/>
      <c r="F796" s="74"/>
      <c r="G796" s="75" t="str">
        <f>IF(stdProdLT(Main[[#This Row],[Comments]])=0.1,"N/A",IF(stdProdLT(Main[[#This Row],[Comments]])=0,"",stdProdLT(Main[[#This Row],[Comments]])))</f>
        <v/>
      </c>
      <c r="H796" s="76" t="str">
        <f>IF(AND(Main[[#This Row],[In Stock Date]]&lt;&gt;"",Main[[#This Row],[Revised Due Date]]&lt;&gt;""),Main[[#This Row],[In Stock Date]]-Main[[#This Row],[Revised Due Date]],"")</f>
        <v/>
      </c>
      <c r="I796" s="72" t="s">
        <v>4</v>
      </c>
      <c r="J796" s="72" t="s">
        <v>4</v>
      </c>
      <c r="K796" s="72" t="s">
        <v>4</v>
      </c>
      <c r="L796" s="74"/>
      <c r="M796" s="77" t="str">
        <f>IF(Main[[#This Row],[Tech Start Date]]&lt;1/1/1990,"",IF(Main[[#This Row],[Class]]="C",WORKDAY(Main[[#This Row],[Tech Start Date]],9),IF(Main[[#This Row],[Class]]="B", WORKDAY(Main[[#This Row],[Tech Start Date]],6),IF(Main[[#This Row],[Class]]="A",WORKDAY(Main[[#This Row],[Tech Start Date]],2),""))))</f>
        <v/>
      </c>
      <c r="N796" s="77" t="str">
        <f>IF(Main[[#This Row],[Tech Start Date]]&lt;1/1/1990,"",IF(Main[[#This Row],[Class]]="C",WORKDAY(Main[[#This Row],[Tech Start Date]],19),IF(Main[[#This Row],[Class]]="B", WORKDAY(Main[[#This Row],[Tech Start Date]],12),IF(Main[[#This Row],[Class]]="A",WORKDAY(Main[[#This Row],[Tech Start Date]],4),""))))</f>
        <v/>
      </c>
      <c r="O796" s="77" t="str">
        <f>IF(Main[[#This Row],[Tech Start Date]]&lt;1/1/1990,"",IF(Main[[#This Row],[Class]]="C",WORKDAY(Main[[#This Row],[Tech Start Date]],23),IF(Main[[#This Row],[Class]]="B", WORKDAY(Main[[#This Row],[Tech Start Date]],15),IF(Main[[#This Row],[Class]]="A",WORKDAY(Main[[#This Row],[Tech Start Date]],5),""))))</f>
        <v/>
      </c>
      <c r="P796" s="77" t="str">
        <f>IF(Main[[#This Row],[Tech Start Date]]&lt;1/1/1990,"",IF(Main[[#This Row],[Class]]="C",WORKDAY(Main[[#This Row],[Tech Start Date]],28),IF(Main[[#This Row],[Class]]="B", WORKDAY(Main[[#This Row],[Tech Start Date]],19),IF(Main[[#This Row],[Class]]="A",WORKDAY(Main[[#This Row],[Tech Start Date]],9),""))))</f>
        <v/>
      </c>
      <c r="Q796" s="74"/>
      <c r="R796" s="74"/>
      <c r="S796" s="72" t="s">
        <v>6</v>
      </c>
      <c r="T796" s="80" t="s">
        <v>4</v>
      </c>
      <c r="U796" s="72" t="s">
        <v>14</v>
      </c>
      <c r="V796" s="72" t="s">
        <v>1917</v>
      </c>
      <c r="W796" s="72" t="s">
        <v>1925</v>
      </c>
      <c r="X796" s="72" t="s">
        <v>2055</v>
      </c>
      <c r="Y796" s="72" t="s">
        <v>3008</v>
      </c>
      <c r="Z796" s="72" t="s">
        <v>4</v>
      </c>
      <c r="AA796" s="146" t="s">
        <v>2055</v>
      </c>
    </row>
    <row r="797" spans="1:27" ht="18.600000000000001" customHeight="1">
      <c r="A797" s="139" t="str">
        <f>IF(priority(Main[[#This Row],[Comments]])&lt;&gt;0, priority(Main[[#This Row],[Comments]]),"")</f>
        <v/>
      </c>
      <c r="B797" s="89" t="s">
        <v>1562</v>
      </c>
      <c r="C797" s="72" t="s">
        <v>93</v>
      </c>
      <c r="D797" s="73" t="s">
        <v>640</v>
      </c>
      <c r="E797" s="74"/>
      <c r="F797" s="74">
        <v>40132</v>
      </c>
      <c r="G797" s="75" t="str">
        <f>IF(stdProdLT(Main[[#This Row],[Comments]])=0.1,"N/A",IF(stdProdLT(Main[[#This Row],[Comments]])=0,"",stdProdLT(Main[[#This Row],[Comments]])))</f>
        <v/>
      </c>
      <c r="H797" s="76" t="str">
        <f>IF(AND(Main[[#This Row],[In Stock Date]]&lt;&gt;"",Main[[#This Row],[Revised Due Date]]&lt;&gt;""),Main[[#This Row],[In Stock Date]]-Main[[#This Row],[Revised Due Date]],"")</f>
        <v/>
      </c>
      <c r="I797" s="72" t="s">
        <v>4</v>
      </c>
      <c r="J797" s="72" t="s">
        <v>4</v>
      </c>
      <c r="K797" s="81" t="s">
        <v>4</v>
      </c>
      <c r="L797" s="74"/>
      <c r="M797" s="77" t="str">
        <f>IF(Main[[#This Row],[Tech Start Date]]&lt;1/1/1990,"",IF(Main[[#This Row],[Class]]="C",WORKDAY(Main[[#This Row],[Tech Start Date]],9),IF(Main[[#This Row],[Class]]="B", WORKDAY(Main[[#This Row],[Tech Start Date]],6),IF(Main[[#This Row],[Class]]="A",WORKDAY(Main[[#This Row],[Tech Start Date]],2),""))))</f>
        <v/>
      </c>
      <c r="N797" s="77" t="str">
        <f>IF(Main[[#This Row],[Tech Start Date]]&lt;1/1/1990,"",IF(Main[[#This Row],[Class]]="C",WORKDAY(Main[[#This Row],[Tech Start Date]],19),IF(Main[[#This Row],[Class]]="B", WORKDAY(Main[[#This Row],[Tech Start Date]],12),IF(Main[[#This Row],[Class]]="A",WORKDAY(Main[[#This Row],[Tech Start Date]],4),""))))</f>
        <v/>
      </c>
      <c r="O797" s="77" t="str">
        <f>IF(Main[[#This Row],[Tech Start Date]]&lt;1/1/1990,"",IF(Main[[#This Row],[Class]]="C",WORKDAY(Main[[#This Row],[Tech Start Date]],23),IF(Main[[#This Row],[Class]]="B", WORKDAY(Main[[#This Row],[Tech Start Date]],15),IF(Main[[#This Row],[Class]]="A",WORKDAY(Main[[#This Row],[Tech Start Date]],5),""))))</f>
        <v/>
      </c>
      <c r="P797" s="77" t="str">
        <f>IF(Main[[#This Row],[Tech Start Date]]&lt;1/1/1990,"",IF(Main[[#This Row],[Class]]="C",WORKDAY(Main[[#This Row],[Tech Start Date]],28),IF(Main[[#This Row],[Class]]="B", WORKDAY(Main[[#This Row],[Tech Start Date]],19),IF(Main[[#This Row],[Class]]="A",WORKDAY(Main[[#This Row],[Tech Start Date]],9),""))))</f>
        <v/>
      </c>
      <c r="Q797" s="74">
        <v>40132</v>
      </c>
      <c r="R797" s="74"/>
      <c r="S797" s="72" t="s">
        <v>11</v>
      </c>
      <c r="T797" s="80" t="s">
        <v>4</v>
      </c>
      <c r="U797" s="72" t="s">
        <v>14</v>
      </c>
      <c r="V797" s="72" t="s">
        <v>1920</v>
      </c>
      <c r="W797" s="72" t="s">
        <v>1928</v>
      </c>
      <c r="X797" s="72" t="s">
        <v>2862</v>
      </c>
      <c r="Y797" s="72" t="s">
        <v>4</v>
      </c>
      <c r="Z797" s="72" t="s">
        <v>4</v>
      </c>
      <c r="AA797" s="146" t="s">
        <v>2862</v>
      </c>
    </row>
    <row r="798" spans="1:27" ht="18.600000000000001" customHeight="1">
      <c r="A798" s="139" t="str">
        <f>IF(priority(Main[[#This Row],[Comments]])&lt;&gt;0, priority(Main[[#This Row],[Comments]]),"")</f>
        <v/>
      </c>
      <c r="B798" s="89" t="s">
        <v>3262</v>
      </c>
      <c r="C798" s="72" t="s">
        <v>3263</v>
      </c>
      <c r="D798" s="73" t="s">
        <v>3264</v>
      </c>
      <c r="E798" s="74">
        <v>40931.373113425929</v>
      </c>
      <c r="F798" s="74"/>
      <c r="G798" s="75" t="str">
        <f>IF(stdProdLT(Main[[#This Row],[Comments]])=0.1,"N/A",IF(stdProdLT(Main[[#This Row],[Comments]])=0,"",stdProdLT(Main[[#This Row],[Comments]])))</f>
        <v/>
      </c>
      <c r="H798" s="76" t="str">
        <f>IF(AND(Main[[#This Row],[In Stock Date]]&lt;&gt;"",Main[[#This Row],[Revised Due Date]]&lt;&gt;""),Main[[#This Row],[In Stock Date]]-Main[[#This Row],[Revised Due Date]],"")</f>
        <v/>
      </c>
      <c r="I798" s="72" t="s">
        <v>943</v>
      </c>
      <c r="J798" s="72" t="s">
        <v>28</v>
      </c>
      <c r="K798" s="72" t="s">
        <v>1926</v>
      </c>
      <c r="L798" s="74"/>
      <c r="M798" s="77" t="str">
        <f>IF(Main[[#This Row],[Tech Start Date]]&lt;1/1/1990,"",IF(Main[[#This Row],[Class]]="C",WORKDAY(Main[[#This Row],[Tech Start Date]],9),IF(Main[[#This Row],[Class]]="B", WORKDAY(Main[[#This Row],[Tech Start Date]],6),IF(Main[[#This Row],[Class]]="A",WORKDAY(Main[[#This Row],[Tech Start Date]],2),""))))</f>
        <v/>
      </c>
      <c r="N798" s="77" t="str">
        <f>IF(Main[[#This Row],[Tech Start Date]]&lt;1/1/1990,"",IF(Main[[#This Row],[Class]]="C",WORKDAY(Main[[#This Row],[Tech Start Date]],19),IF(Main[[#This Row],[Class]]="B", WORKDAY(Main[[#This Row],[Tech Start Date]],12),IF(Main[[#This Row],[Class]]="A",WORKDAY(Main[[#This Row],[Tech Start Date]],4),""))))</f>
        <v/>
      </c>
      <c r="O798" s="77" t="str">
        <f>IF(Main[[#This Row],[Tech Start Date]]&lt;1/1/1990,"",IF(Main[[#This Row],[Class]]="C",WORKDAY(Main[[#This Row],[Tech Start Date]],23),IF(Main[[#This Row],[Class]]="B", WORKDAY(Main[[#This Row],[Tech Start Date]],15),IF(Main[[#This Row],[Class]]="A",WORKDAY(Main[[#This Row],[Tech Start Date]],5),""))))</f>
        <v/>
      </c>
      <c r="P798" s="77" t="str">
        <f>IF(Main[[#This Row],[Tech Start Date]]&lt;1/1/1990,"",IF(Main[[#This Row],[Class]]="C",WORKDAY(Main[[#This Row],[Tech Start Date]],28),IF(Main[[#This Row],[Class]]="B", WORKDAY(Main[[#This Row],[Tech Start Date]],19),IF(Main[[#This Row],[Class]]="A",WORKDAY(Main[[#This Row],[Tech Start Date]],9),""))))</f>
        <v/>
      </c>
      <c r="Q798" s="74"/>
      <c r="R798" s="74"/>
      <c r="S798" s="72" t="s">
        <v>6</v>
      </c>
      <c r="T798" s="80" t="s">
        <v>3265</v>
      </c>
      <c r="U798" s="72" t="s">
        <v>29</v>
      </c>
      <c r="V798" s="72" t="s">
        <v>1918</v>
      </c>
      <c r="W798" s="72" t="s">
        <v>1921</v>
      </c>
      <c r="X798" s="72" t="s">
        <v>2822</v>
      </c>
      <c r="Y798" s="72" t="s">
        <v>2999</v>
      </c>
      <c r="Z798" s="72" t="s">
        <v>2056</v>
      </c>
      <c r="AA798" s="146" t="s">
        <v>2822</v>
      </c>
    </row>
    <row r="799" spans="1:27" ht="18.600000000000001" customHeight="1">
      <c r="A799" s="139" t="str">
        <f>IF(priority(Main[[#This Row],[Comments]])&lt;&gt;0, priority(Main[[#This Row],[Comments]]),"")</f>
        <v/>
      </c>
      <c r="B799" s="89" t="s">
        <v>1563</v>
      </c>
      <c r="C799" s="72" t="s">
        <v>4</v>
      </c>
      <c r="D799" s="73" t="s">
        <v>641</v>
      </c>
      <c r="E799" s="74"/>
      <c r="F799" s="74">
        <v>40602</v>
      </c>
      <c r="G799" s="75" t="str">
        <f>IF(stdProdLT(Main[[#This Row],[Comments]])=0.1,"N/A",IF(stdProdLT(Main[[#This Row],[Comments]])=0,"",stdProdLT(Main[[#This Row],[Comments]])))</f>
        <v/>
      </c>
      <c r="H799" s="76" t="str">
        <f>IF(AND(Main[[#This Row],[In Stock Date]]&lt;&gt;"",Main[[#This Row],[Revised Due Date]]&lt;&gt;""),Main[[#This Row],[In Stock Date]]-Main[[#This Row],[Revised Due Date]],"")</f>
        <v/>
      </c>
      <c r="I799" s="72" t="s">
        <v>399</v>
      </c>
      <c r="J799" s="72" t="s">
        <v>75</v>
      </c>
      <c r="K799" s="72" t="s">
        <v>1926</v>
      </c>
      <c r="L799" s="74"/>
      <c r="M799" s="77" t="str">
        <f>IF(Main[[#This Row],[Tech Start Date]]&lt;1/1/1990,"",IF(Main[[#This Row],[Class]]="C",WORKDAY(Main[[#This Row],[Tech Start Date]],9),IF(Main[[#This Row],[Class]]="B", WORKDAY(Main[[#This Row],[Tech Start Date]],6),IF(Main[[#This Row],[Class]]="A",WORKDAY(Main[[#This Row],[Tech Start Date]],2),""))))</f>
        <v/>
      </c>
      <c r="N799" s="77" t="str">
        <f>IF(Main[[#This Row],[Tech Start Date]]&lt;1/1/1990,"",IF(Main[[#This Row],[Class]]="C",WORKDAY(Main[[#This Row],[Tech Start Date]],19),IF(Main[[#This Row],[Class]]="B", WORKDAY(Main[[#This Row],[Tech Start Date]],12),IF(Main[[#This Row],[Class]]="A",WORKDAY(Main[[#This Row],[Tech Start Date]],4),""))))</f>
        <v/>
      </c>
      <c r="O799" s="77" t="str">
        <f>IF(Main[[#This Row],[Tech Start Date]]&lt;1/1/1990,"",IF(Main[[#This Row],[Class]]="C",WORKDAY(Main[[#This Row],[Tech Start Date]],23),IF(Main[[#This Row],[Class]]="B", WORKDAY(Main[[#This Row],[Tech Start Date]],15),IF(Main[[#This Row],[Class]]="A",WORKDAY(Main[[#This Row],[Tech Start Date]],5),""))))</f>
        <v/>
      </c>
      <c r="P799" s="77" t="str">
        <f>IF(Main[[#This Row],[Tech Start Date]]&lt;1/1/1990,"",IF(Main[[#This Row],[Class]]="C",WORKDAY(Main[[#This Row],[Tech Start Date]],28),IF(Main[[#This Row],[Class]]="B", WORKDAY(Main[[#This Row],[Tech Start Date]],19),IF(Main[[#This Row],[Class]]="A",WORKDAY(Main[[#This Row],[Tech Start Date]],9),""))))</f>
        <v/>
      </c>
      <c r="Q799" s="74"/>
      <c r="R799" s="74"/>
      <c r="S799" s="72" t="s">
        <v>11</v>
      </c>
      <c r="T799" s="80" t="s">
        <v>4</v>
      </c>
      <c r="U799" s="72" t="s">
        <v>14</v>
      </c>
      <c r="V799" s="72" t="s">
        <v>1920</v>
      </c>
      <c r="W799" s="72" t="s">
        <v>1923</v>
      </c>
      <c r="X799" s="72" t="s">
        <v>50</v>
      </c>
      <c r="Y799" s="72" t="s">
        <v>2967</v>
      </c>
      <c r="Z799" s="72" t="s">
        <v>306</v>
      </c>
      <c r="AA799" s="146" t="s">
        <v>50</v>
      </c>
    </row>
    <row r="800" spans="1:27" ht="18.600000000000001" customHeight="1">
      <c r="A800" s="139" t="str">
        <f>IF(priority(Main[[#This Row],[Comments]])&lt;&gt;0, priority(Main[[#This Row],[Comments]]),"")</f>
        <v/>
      </c>
      <c r="B800" s="89" t="s">
        <v>1564</v>
      </c>
      <c r="C800" s="72" t="s">
        <v>4</v>
      </c>
      <c r="D800" s="73" t="s">
        <v>642</v>
      </c>
      <c r="E800" s="74"/>
      <c r="F800" s="74">
        <v>40711</v>
      </c>
      <c r="G800" s="75" t="str">
        <f>IF(stdProdLT(Main[[#This Row],[Comments]])=0.1,"N/A",IF(stdProdLT(Main[[#This Row],[Comments]])=0,"",stdProdLT(Main[[#This Row],[Comments]])))</f>
        <v/>
      </c>
      <c r="H800" s="76" t="str">
        <f>IF(AND(Main[[#This Row],[In Stock Date]]&lt;&gt;"",Main[[#This Row],[Revised Due Date]]&lt;&gt;""),Main[[#This Row],[In Stock Date]]-Main[[#This Row],[Revised Due Date]],"")</f>
        <v/>
      </c>
      <c r="I800" s="72" t="s">
        <v>4</v>
      </c>
      <c r="J800" s="72" t="s">
        <v>4</v>
      </c>
      <c r="K800" s="72" t="s">
        <v>4</v>
      </c>
      <c r="L800" s="74"/>
      <c r="M800" s="77" t="str">
        <f>IF(Main[[#This Row],[Tech Start Date]]&lt;1/1/1990,"",IF(Main[[#This Row],[Class]]="C",WORKDAY(Main[[#This Row],[Tech Start Date]],9),IF(Main[[#This Row],[Class]]="B", WORKDAY(Main[[#This Row],[Tech Start Date]],6),IF(Main[[#This Row],[Class]]="A",WORKDAY(Main[[#This Row],[Tech Start Date]],2),""))))</f>
        <v/>
      </c>
      <c r="N800" s="77" t="str">
        <f>IF(Main[[#This Row],[Tech Start Date]]&lt;1/1/1990,"",IF(Main[[#This Row],[Class]]="C",WORKDAY(Main[[#This Row],[Tech Start Date]],19),IF(Main[[#This Row],[Class]]="B", WORKDAY(Main[[#This Row],[Tech Start Date]],12),IF(Main[[#This Row],[Class]]="A",WORKDAY(Main[[#This Row],[Tech Start Date]],4),""))))</f>
        <v/>
      </c>
      <c r="O800" s="77" t="str">
        <f>IF(Main[[#This Row],[Tech Start Date]]&lt;1/1/1990,"",IF(Main[[#This Row],[Class]]="C",WORKDAY(Main[[#This Row],[Tech Start Date]],23),IF(Main[[#This Row],[Class]]="B", WORKDAY(Main[[#This Row],[Tech Start Date]],15),IF(Main[[#This Row],[Class]]="A",WORKDAY(Main[[#This Row],[Tech Start Date]],5),""))))</f>
        <v/>
      </c>
      <c r="P800" s="77" t="str">
        <f>IF(Main[[#This Row],[Tech Start Date]]&lt;1/1/1990,"",IF(Main[[#This Row],[Class]]="C",WORKDAY(Main[[#This Row],[Tech Start Date]],28),IF(Main[[#This Row],[Class]]="B", WORKDAY(Main[[#This Row],[Tech Start Date]],19),IF(Main[[#This Row],[Class]]="A",WORKDAY(Main[[#This Row],[Tech Start Date]],9),""))))</f>
        <v/>
      </c>
      <c r="Q800" s="74"/>
      <c r="R800" s="74"/>
      <c r="S800" s="72" t="s">
        <v>11</v>
      </c>
      <c r="T800" s="80" t="s">
        <v>4</v>
      </c>
      <c r="U800" s="72" t="s">
        <v>14</v>
      </c>
      <c r="V800" s="72" t="s">
        <v>1918</v>
      </c>
      <c r="W800" s="72" t="s">
        <v>1922</v>
      </c>
      <c r="X800" s="72" t="s">
        <v>943</v>
      </c>
      <c r="Y800" s="72" t="s">
        <v>3001</v>
      </c>
      <c r="Z800" s="72" t="s">
        <v>4</v>
      </c>
      <c r="AA800" s="146" t="s">
        <v>943</v>
      </c>
    </row>
    <row r="801" spans="1:27" ht="18.600000000000001" customHeight="1">
      <c r="A801" s="139" t="str">
        <f>IF(priority(Main[[#This Row],[Comments]])&lt;&gt;0, priority(Main[[#This Row],[Comments]]),"")</f>
        <v/>
      </c>
      <c r="B801" s="89" t="s">
        <v>1565</v>
      </c>
      <c r="C801" s="72" t="s">
        <v>180</v>
      </c>
      <c r="D801" s="73" t="s">
        <v>643</v>
      </c>
      <c r="E801" s="74"/>
      <c r="F801" s="74">
        <v>40389</v>
      </c>
      <c r="G801" s="75" t="str">
        <f>IF(stdProdLT(Main[[#This Row],[Comments]])=0.1,"N/A",IF(stdProdLT(Main[[#This Row],[Comments]])=0,"",stdProdLT(Main[[#This Row],[Comments]])))</f>
        <v/>
      </c>
      <c r="H801" s="76" t="str">
        <f>IF(AND(Main[[#This Row],[In Stock Date]]&lt;&gt;"",Main[[#This Row],[Revised Due Date]]&lt;&gt;""),Main[[#This Row],[In Stock Date]]-Main[[#This Row],[Revised Due Date]],"")</f>
        <v/>
      </c>
      <c r="I801" s="72" t="s">
        <v>4</v>
      </c>
      <c r="J801" s="72" t="s">
        <v>4</v>
      </c>
      <c r="K801" s="72" t="s">
        <v>4</v>
      </c>
      <c r="L801" s="74"/>
      <c r="M801" s="77" t="str">
        <f>IF(Main[[#This Row],[Tech Start Date]]&lt;1/1/1990,"",IF(Main[[#This Row],[Class]]="C",WORKDAY(Main[[#This Row],[Tech Start Date]],9),IF(Main[[#This Row],[Class]]="B", WORKDAY(Main[[#This Row],[Tech Start Date]],6),IF(Main[[#This Row],[Class]]="A",WORKDAY(Main[[#This Row],[Tech Start Date]],2),""))))</f>
        <v/>
      </c>
      <c r="N801" s="77" t="str">
        <f>IF(Main[[#This Row],[Tech Start Date]]&lt;1/1/1990,"",IF(Main[[#This Row],[Class]]="C",WORKDAY(Main[[#This Row],[Tech Start Date]],19),IF(Main[[#This Row],[Class]]="B", WORKDAY(Main[[#This Row],[Tech Start Date]],12),IF(Main[[#This Row],[Class]]="A",WORKDAY(Main[[#This Row],[Tech Start Date]],4),""))))</f>
        <v/>
      </c>
      <c r="O801" s="77" t="str">
        <f>IF(Main[[#This Row],[Tech Start Date]]&lt;1/1/1990,"",IF(Main[[#This Row],[Class]]="C",WORKDAY(Main[[#This Row],[Tech Start Date]],23),IF(Main[[#This Row],[Class]]="B", WORKDAY(Main[[#This Row],[Tech Start Date]],15),IF(Main[[#This Row],[Class]]="A",WORKDAY(Main[[#This Row],[Tech Start Date]],5),""))))</f>
        <v/>
      </c>
      <c r="P801" s="77" t="str">
        <f>IF(Main[[#This Row],[Tech Start Date]]&lt;1/1/1990,"",IF(Main[[#This Row],[Class]]="C",WORKDAY(Main[[#This Row],[Tech Start Date]],28),IF(Main[[#This Row],[Class]]="B", WORKDAY(Main[[#This Row],[Tech Start Date]],19),IF(Main[[#This Row],[Class]]="A",WORKDAY(Main[[#This Row],[Tech Start Date]],9),""))))</f>
        <v/>
      </c>
      <c r="Q801" s="74">
        <v>40298</v>
      </c>
      <c r="R801" s="74"/>
      <c r="S801" s="72" t="s">
        <v>11</v>
      </c>
      <c r="T801" s="80" t="s">
        <v>4</v>
      </c>
      <c r="U801" s="72" t="s">
        <v>14</v>
      </c>
      <c r="V801" s="72" t="s">
        <v>1917</v>
      </c>
      <c r="W801" s="72" t="s">
        <v>1923</v>
      </c>
      <c r="X801" s="72" t="s">
        <v>2830</v>
      </c>
      <c r="Y801" s="72" t="s">
        <v>2949</v>
      </c>
      <c r="Z801" s="72" t="s">
        <v>4</v>
      </c>
      <c r="AA801" s="146" t="s">
        <v>2830</v>
      </c>
    </row>
    <row r="802" spans="1:27" ht="18.600000000000001" customHeight="1">
      <c r="A802" s="139" t="str">
        <f>IF(priority(Main[[#This Row],[Comments]])&lt;&gt;0, priority(Main[[#This Row],[Comments]]),"")</f>
        <v/>
      </c>
      <c r="B802" s="89" t="s">
        <v>1566</v>
      </c>
      <c r="C802" s="72" t="s">
        <v>4</v>
      </c>
      <c r="D802" s="73" t="s">
        <v>644</v>
      </c>
      <c r="E802" s="74"/>
      <c r="F802" s="74"/>
      <c r="G802" s="75" t="str">
        <f>IF(stdProdLT(Main[[#This Row],[Comments]])=0.1,"N/A",IF(stdProdLT(Main[[#This Row],[Comments]])=0,"",stdProdLT(Main[[#This Row],[Comments]])))</f>
        <v/>
      </c>
      <c r="H802" s="76" t="str">
        <f>IF(AND(Main[[#This Row],[In Stock Date]]&lt;&gt;"",Main[[#This Row],[Revised Due Date]]&lt;&gt;""),Main[[#This Row],[In Stock Date]]-Main[[#This Row],[Revised Due Date]],"")</f>
        <v/>
      </c>
      <c r="I802" s="72" t="s">
        <v>4</v>
      </c>
      <c r="J802" s="72" t="s">
        <v>4</v>
      </c>
      <c r="K802" s="72" t="s">
        <v>4</v>
      </c>
      <c r="L802" s="74"/>
      <c r="M802" s="77" t="str">
        <f>IF(Main[[#This Row],[Tech Start Date]]&lt;1/1/1990,"",IF(Main[[#This Row],[Class]]="C",WORKDAY(Main[[#This Row],[Tech Start Date]],9),IF(Main[[#This Row],[Class]]="B", WORKDAY(Main[[#This Row],[Tech Start Date]],6),IF(Main[[#This Row],[Class]]="A",WORKDAY(Main[[#This Row],[Tech Start Date]],2),""))))</f>
        <v/>
      </c>
      <c r="N802" s="77" t="str">
        <f>IF(Main[[#This Row],[Tech Start Date]]&lt;1/1/1990,"",IF(Main[[#This Row],[Class]]="C",WORKDAY(Main[[#This Row],[Tech Start Date]],19),IF(Main[[#This Row],[Class]]="B", WORKDAY(Main[[#This Row],[Tech Start Date]],12),IF(Main[[#This Row],[Class]]="A",WORKDAY(Main[[#This Row],[Tech Start Date]],4),""))))</f>
        <v/>
      </c>
      <c r="O802" s="77" t="str">
        <f>IF(Main[[#This Row],[Tech Start Date]]&lt;1/1/1990,"",IF(Main[[#This Row],[Class]]="C",WORKDAY(Main[[#This Row],[Tech Start Date]],23),IF(Main[[#This Row],[Class]]="B", WORKDAY(Main[[#This Row],[Tech Start Date]],15),IF(Main[[#This Row],[Class]]="A",WORKDAY(Main[[#This Row],[Tech Start Date]],5),""))))</f>
        <v/>
      </c>
      <c r="P802" s="77" t="str">
        <f>IF(Main[[#This Row],[Tech Start Date]]&lt;1/1/1990,"",IF(Main[[#This Row],[Class]]="C",WORKDAY(Main[[#This Row],[Tech Start Date]],28),IF(Main[[#This Row],[Class]]="B", WORKDAY(Main[[#This Row],[Tech Start Date]],19),IF(Main[[#This Row],[Class]]="A",WORKDAY(Main[[#This Row],[Tech Start Date]],9),""))))</f>
        <v/>
      </c>
      <c r="Q802" s="74"/>
      <c r="R802" s="74"/>
      <c r="S802" s="72" t="s">
        <v>11</v>
      </c>
      <c r="T802" s="80" t="s">
        <v>4</v>
      </c>
      <c r="U802" s="72" t="s">
        <v>12</v>
      </c>
      <c r="V802" s="72" t="s">
        <v>1917</v>
      </c>
      <c r="W802" s="72" t="s">
        <v>1921</v>
      </c>
      <c r="X802" s="72" t="s">
        <v>888</v>
      </c>
      <c r="Y802" s="72" t="s">
        <v>3088</v>
      </c>
      <c r="Z802" s="72" t="s">
        <v>4</v>
      </c>
      <c r="AA802" s="146" t="s">
        <v>888</v>
      </c>
    </row>
    <row r="803" spans="1:27" ht="18.600000000000001" customHeight="1">
      <c r="A803" s="139" t="str">
        <f>IF(priority(Main[[#This Row],[Comments]])&lt;&gt;0, priority(Main[[#This Row],[Comments]]),"")</f>
        <v/>
      </c>
      <c r="B803" s="89" t="s">
        <v>2353</v>
      </c>
      <c r="C803" s="72" t="s">
        <v>4</v>
      </c>
      <c r="D803" s="73" t="s">
        <v>3565</v>
      </c>
      <c r="E803" s="74">
        <v>40849.308981481481</v>
      </c>
      <c r="F803" s="74"/>
      <c r="G803" s="75" t="str">
        <f>IF(stdProdLT(Main[[#This Row],[Comments]])=0.1,"N/A",IF(stdProdLT(Main[[#This Row],[Comments]])=0,"",stdProdLT(Main[[#This Row],[Comments]])))</f>
        <v/>
      </c>
      <c r="H803" s="76" t="str">
        <f>IF(AND(Main[[#This Row],[In Stock Date]]&lt;&gt;"",Main[[#This Row],[Revised Due Date]]&lt;&gt;""),Main[[#This Row],[In Stock Date]]-Main[[#This Row],[Revised Due Date]],"")</f>
        <v/>
      </c>
      <c r="I803" s="72" t="s">
        <v>939</v>
      </c>
      <c r="J803" s="72" t="s">
        <v>21</v>
      </c>
      <c r="K803" s="72" t="s">
        <v>1924</v>
      </c>
      <c r="L803" s="74"/>
      <c r="M803" s="77" t="str">
        <f>IF(Main[[#This Row],[Tech Start Date]]&lt;1/1/1990,"",IF(Main[[#This Row],[Class]]="C",WORKDAY(Main[[#This Row],[Tech Start Date]],9),IF(Main[[#This Row],[Class]]="B", WORKDAY(Main[[#This Row],[Tech Start Date]],6),IF(Main[[#This Row],[Class]]="A",WORKDAY(Main[[#This Row],[Tech Start Date]],2),""))))</f>
        <v/>
      </c>
      <c r="N803" s="77" t="str">
        <f>IF(Main[[#This Row],[Tech Start Date]]&lt;1/1/1990,"",IF(Main[[#This Row],[Class]]="C",WORKDAY(Main[[#This Row],[Tech Start Date]],19),IF(Main[[#This Row],[Class]]="B", WORKDAY(Main[[#This Row],[Tech Start Date]],12),IF(Main[[#This Row],[Class]]="A",WORKDAY(Main[[#This Row],[Tech Start Date]],4),""))))</f>
        <v/>
      </c>
      <c r="O803" s="77" t="str">
        <f>IF(Main[[#This Row],[Tech Start Date]]&lt;1/1/1990,"",IF(Main[[#This Row],[Class]]="C",WORKDAY(Main[[#This Row],[Tech Start Date]],23),IF(Main[[#This Row],[Class]]="B", WORKDAY(Main[[#This Row],[Tech Start Date]],15),IF(Main[[#This Row],[Class]]="A",WORKDAY(Main[[#This Row],[Tech Start Date]],5),""))))</f>
        <v/>
      </c>
      <c r="P803" s="77" t="str">
        <f>IF(Main[[#This Row],[Tech Start Date]]&lt;1/1/1990,"",IF(Main[[#This Row],[Class]]="C",WORKDAY(Main[[#This Row],[Tech Start Date]],28),IF(Main[[#This Row],[Class]]="B", WORKDAY(Main[[#This Row],[Tech Start Date]],19),IF(Main[[#This Row],[Class]]="A",WORKDAY(Main[[#This Row],[Tech Start Date]],9),""))))</f>
        <v/>
      </c>
      <c r="Q803" s="74"/>
      <c r="R803" s="74"/>
      <c r="S803" s="72" t="s">
        <v>6</v>
      </c>
      <c r="T803" s="80" t="s">
        <v>4</v>
      </c>
      <c r="U803" s="72" t="s">
        <v>29</v>
      </c>
      <c r="V803" s="72" t="s">
        <v>1917</v>
      </c>
      <c r="W803" s="72" t="s">
        <v>1921</v>
      </c>
      <c r="X803" s="72" t="s">
        <v>939</v>
      </c>
      <c r="Y803" s="72" t="s">
        <v>2990</v>
      </c>
      <c r="Z803" s="72" t="s">
        <v>939</v>
      </c>
      <c r="AA803" s="146" t="s">
        <v>939</v>
      </c>
    </row>
    <row r="804" spans="1:27" ht="18.600000000000001" customHeight="1">
      <c r="A804" s="139" t="str">
        <f>IF(priority(Main[[#This Row],[Comments]])&lt;&gt;0, priority(Main[[#This Row],[Comments]]),"")</f>
        <v/>
      </c>
      <c r="B804" s="89" t="s">
        <v>1567</v>
      </c>
      <c r="C804" s="72" t="s">
        <v>645</v>
      </c>
      <c r="D804" s="73" t="s">
        <v>646</v>
      </c>
      <c r="E804" s="74"/>
      <c r="F804" s="74">
        <v>40632</v>
      </c>
      <c r="G804" s="75" t="str">
        <f>IF(stdProdLT(Main[[#This Row],[Comments]])=0.1,"N/A",IF(stdProdLT(Main[[#This Row],[Comments]])=0,"",stdProdLT(Main[[#This Row],[Comments]])))</f>
        <v/>
      </c>
      <c r="H804" s="76" t="str">
        <f>IF(AND(Main[[#This Row],[In Stock Date]]&lt;&gt;"",Main[[#This Row],[Revised Due Date]]&lt;&gt;""),Main[[#This Row],[In Stock Date]]-Main[[#This Row],[Revised Due Date]],"")</f>
        <v/>
      </c>
      <c r="I804" s="72" t="s">
        <v>4</v>
      </c>
      <c r="J804" s="72" t="s">
        <v>4</v>
      </c>
      <c r="K804" s="72" t="s">
        <v>4</v>
      </c>
      <c r="L804" s="74"/>
      <c r="M804" s="77" t="str">
        <f>IF(Main[[#This Row],[Tech Start Date]]&lt;1/1/1990,"",IF(Main[[#This Row],[Class]]="C",WORKDAY(Main[[#This Row],[Tech Start Date]],9),IF(Main[[#This Row],[Class]]="B", WORKDAY(Main[[#This Row],[Tech Start Date]],6),IF(Main[[#This Row],[Class]]="A",WORKDAY(Main[[#This Row],[Tech Start Date]],2),""))))</f>
        <v/>
      </c>
      <c r="N804" s="77" t="str">
        <f>IF(Main[[#This Row],[Tech Start Date]]&lt;1/1/1990,"",IF(Main[[#This Row],[Class]]="C",WORKDAY(Main[[#This Row],[Tech Start Date]],19),IF(Main[[#This Row],[Class]]="B", WORKDAY(Main[[#This Row],[Tech Start Date]],12),IF(Main[[#This Row],[Class]]="A",WORKDAY(Main[[#This Row],[Tech Start Date]],4),""))))</f>
        <v/>
      </c>
      <c r="O804" s="77" t="str">
        <f>IF(Main[[#This Row],[Tech Start Date]]&lt;1/1/1990,"",IF(Main[[#This Row],[Class]]="C",WORKDAY(Main[[#This Row],[Tech Start Date]],23),IF(Main[[#This Row],[Class]]="B", WORKDAY(Main[[#This Row],[Tech Start Date]],15),IF(Main[[#This Row],[Class]]="A",WORKDAY(Main[[#This Row],[Tech Start Date]],5),""))))</f>
        <v/>
      </c>
      <c r="P804" s="77" t="str">
        <f>IF(Main[[#This Row],[Tech Start Date]]&lt;1/1/1990,"",IF(Main[[#This Row],[Class]]="C",WORKDAY(Main[[#This Row],[Tech Start Date]],28),IF(Main[[#This Row],[Class]]="B", WORKDAY(Main[[#This Row],[Tech Start Date]],19),IF(Main[[#This Row],[Class]]="A",WORKDAY(Main[[#This Row],[Tech Start Date]],9),""))))</f>
        <v/>
      </c>
      <c r="Q804" s="74">
        <v>40613</v>
      </c>
      <c r="R804" s="74"/>
      <c r="S804" s="72" t="s">
        <v>11</v>
      </c>
      <c r="T804" s="80" t="s">
        <v>4</v>
      </c>
      <c r="U804" s="72" t="s">
        <v>14</v>
      </c>
      <c r="V804" s="72" t="s">
        <v>1920</v>
      </c>
      <c r="W804" s="72" t="s">
        <v>1925</v>
      </c>
      <c r="X804" s="72" t="s">
        <v>2874</v>
      </c>
      <c r="Y804" s="72" t="s">
        <v>3018</v>
      </c>
      <c r="Z804" s="72" t="s">
        <v>4</v>
      </c>
      <c r="AA804" s="146" t="s">
        <v>2874</v>
      </c>
    </row>
    <row r="805" spans="1:27" ht="18.600000000000001" customHeight="1">
      <c r="A805" s="139" t="str">
        <f>IF(priority(Main[[#This Row],[Comments]])&lt;&gt;0, priority(Main[[#This Row],[Comments]]),"")</f>
        <v/>
      </c>
      <c r="B805" s="89" t="s">
        <v>2385</v>
      </c>
      <c r="C805" s="72" t="s">
        <v>4</v>
      </c>
      <c r="D805" s="73" t="s">
        <v>2386</v>
      </c>
      <c r="E805" s="74"/>
      <c r="F805" s="74"/>
      <c r="G805" s="75" t="str">
        <f>IF(stdProdLT(Main[[#This Row],[Comments]])=0.1,"N/A",IF(stdProdLT(Main[[#This Row],[Comments]])=0,"",stdProdLT(Main[[#This Row],[Comments]])))</f>
        <v/>
      </c>
      <c r="H805" s="76" t="str">
        <f>IF(AND(Main[[#This Row],[In Stock Date]]&lt;&gt;"",Main[[#This Row],[Revised Due Date]]&lt;&gt;""),Main[[#This Row],[In Stock Date]]-Main[[#This Row],[Revised Due Date]],"")</f>
        <v/>
      </c>
      <c r="I805" s="72" t="s">
        <v>4</v>
      </c>
      <c r="J805" s="72" t="s">
        <v>70</v>
      </c>
      <c r="K805" s="72" t="s">
        <v>4</v>
      </c>
      <c r="L805" s="74"/>
      <c r="M805" s="77" t="str">
        <f>IF(Main[[#This Row],[Tech Start Date]]&lt;1/1/1990,"",IF(Main[[#This Row],[Class]]="C",WORKDAY(Main[[#This Row],[Tech Start Date]],9),IF(Main[[#This Row],[Class]]="B", WORKDAY(Main[[#This Row],[Tech Start Date]],6),IF(Main[[#This Row],[Class]]="A",WORKDAY(Main[[#This Row],[Tech Start Date]],2),""))))</f>
        <v/>
      </c>
      <c r="N805" s="77" t="str">
        <f>IF(Main[[#This Row],[Tech Start Date]]&lt;1/1/1990,"",IF(Main[[#This Row],[Class]]="C",WORKDAY(Main[[#This Row],[Tech Start Date]],19),IF(Main[[#This Row],[Class]]="B", WORKDAY(Main[[#This Row],[Tech Start Date]],12),IF(Main[[#This Row],[Class]]="A",WORKDAY(Main[[#This Row],[Tech Start Date]],4),""))))</f>
        <v/>
      </c>
      <c r="O805" s="77" t="str">
        <f>IF(Main[[#This Row],[Tech Start Date]]&lt;1/1/1990,"",IF(Main[[#This Row],[Class]]="C",WORKDAY(Main[[#This Row],[Tech Start Date]],23),IF(Main[[#This Row],[Class]]="B", WORKDAY(Main[[#This Row],[Tech Start Date]],15),IF(Main[[#This Row],[Class]]="A",WORKDAY(Main[[#This Row],[Tech Start Date]],5),""))))</f>
        <v/>
      </c>
      <c r="P805" s="77" t="str">
        <f>IF(Main[[#This Row],[Tech Start Date]]&lt;1/1/1990,"",IF(Main[[#This Row],[Class]]="C",WORKDAY(Main[[#This Row],[Tech Start Date]],28),IF(Main[[#This Row],[Class]]="B", WORKDAY(Main[[#This Row],[Tech Start Date]],19),IF(Main[[#This Row],[Class]]="A",WORKDAY(Main[[#This Row],[Tech Start Date]],9),""))))</f>
        <v/>
      </c>
      <c r="Q805" s="74">
        <v>40877</v>
      </c>
      <c r="R805" s="74"/>
      <c r="S805" s="72" t="s">
        <v>6</v>
      </c>
      <c r="T805" s="80" t="s">
        <v>4</v>
      </c>
      <c r="U805" s="72" t="s">
        <v>14</v>
      </c>
      <c r="V805" s="72" t="s">
        <v>1920</v>
      </c>
      <c r="W805" s="72" t="s">
        <v>1921</v>
      </c>
      <c r="X805" s="72" t="s">
        <v>30</v>
      </c>
      <c r="Y805" s="72" t="s">
        <v>3096</v>
      </c>
      <c r="Z805" s="72" t="s">
        <v>30</v>
      </c>
      <c r="AA805" s="146" t="s">
        <v>74</v>
      </c>
    </row>
    <row r="806" spans="1:27" ht="18.600000000000001" customHeight="1">
      <c r="A806" s="139" t="str">
        <f>IF(priority(Main[[#This Row],[Comments]])&lt;&gt;0, priority(Main[[#This Row],[Comments]]),"")</f>
        <v/>
      </c>
      <c r="B806" s="89" t="s">
        <v>1617</v>
      </c>
      <c r="C806" s="72" t="s">
        <v>4</v>
      </c>
      <c r="D806" s="73" t="s">
        <v>690</v>
      </c>
      <c r="E806" s="74"/>
      <c r="F806" s="74"/>
      <c r="G806" s="75" t="str">
        <f>IF(stdProdLT(Main[[#This Row],[Comments]])=0.1,"N/A",IF(stdProdLT(Main[[#This Row],[Comments]])=0,"",stdProdLT(Main[[#This Row],[Comments]])))</f>
        <v/>
      </c>
      <c r="H806" s="76" t="str">
        <f>IF(AND(Main[[#This Row],[In Stock Date]]&lt;&gt;"",Main[[#This Row],[Revised Due Date]]&lt;&gt;""),Main[[#This Row],[In Stock Date]]-Main[[#This Row],[Revised Due Date]],"")</f>
        <v/>
      </c>
      <c r="I806" s="72" t="s">
        <v>4</v>
      </c>
      <c r="J806" s="72" t="s">
        <v>4</v>
      </c>
      <c r="K806" s="72" t="s">
        <v>4</v>
      </c>
      <c r="L806" s="74"/>
      <c r="M806" s="77" t="str">
        <f>IF(Main[[#This Row],[Tech Start Date]]&lt;1/1/1990,"",IF(Main[[#This Row],[Class]]="C",WORKDAY(Main[[#This Row],[Tech Start Date]],9),IF(Main[[#This Row],[Class]]="B", WORKDAY(Main[[#This Row],[Tech Start Date]],6),IF(Main[[#This Row],[Class]]="A",WORKDAY(Main[[#This Row],[Tech Start Date]],2),""))))</f>
        <v/>
      </c>
      <c r="N806" s="77" t="str">
        <f>IF(Main[[#This Row],[Tech Start Date]]&lt;1/1/1990,"",IF(Main[[#This Row],[Class]]="C",WORKDAY(Main[[#This Row],[Tech Start Date]],19),IF(Main[[#This Row],[Class]]="B", WORKDAY(Main[[#This Row],[Tech Start Date]],12),IF(Main[[#This Row],[Class]]="A",WORKDAY(Main[[#This Row],[Tech Start Date]],4),""))))</f>
        <v/>
      </c>
      <c r="O806" s="77" t="str">
        <f>IF(Main[[#This Row],[Tech Start Date]]&lt;1/1/1990,"",IF(Main[[#This Row],[Class]]="C",WORKDAY(Main[[#This Row],[Tech Start Date]],23),IF(Main[[#This Row],[Class]]="B", WORKDAY(Main[[#This Row],[Tech Start Date]],15),IF(Main[[#This Row],[Class]]="A",WORKDAY(Main[[#This Row],[Tech Start Date]],5),""))))</f>
        <v/>
      </c>
      <c r="P806" s="77" t="str">
        <f>IF(Main[[#This Row],[Tech Start Date]]&lt;1/1/1990,"",IF(Main[[#This Row],[Class]]="C",WORKDAY(Main[[#This Row],[Tech Start Date]],28),IF(Main[[#This Row],[Class]]="B", WORKDAY(Main[[#This Row],[Tech Start Date]],19),IF(Main[[#This Row],[Class]]="A",WORKDAY(Main[[#This Row],[Tech Start Date]],9),""))))</f>
        <v/>
      </c>
      <c r="Q806" s="74"/>
      <c r="R806" s="74"/>
      <c r="S806" s="72" t="s">
        <v>6</v>
      </c>
      <c r="T806" s="80" t="s">
        <v>4</v>
      </c>
      <c r="U806" s="72" t="s">
        <v>14</v>
      </c>
      <c r="V806" s="72" t="s">
        <v>1917</v>
      </c>
      <c r="W806" s="72" t="s">
        <v>4</v>
      </c>
      <c r="X806" s="72" t="s">
        <v>710</v>
      </c>
      <c r="Y806" s="72" t="s">
        <v>3076</v>
      </c>
      <c r="Z806" s="72" t="s">
        <v>4</v>
      </c>
      <c r="AA806" s="146" t="s">
        <v>710</v>
      </c>
    </row>
    <row r="807" spans="1:27" ht="18.600000000000001" customHeight="1">
      <c r="A807" s="139" t="str">
        <f>IF(priority(Main[[#This Row],[Comments]])&lt;&gt;0, priority(Main[[#This Row],[Comments]]),"")</f>
        <v/>
      </c>
      <c r="B807" s="89" t="s">
        <v>1618</v>
      </c>
      <c r="C807" s="72" t="s">
        <v>691</v>
      </c>
      <c r="D807" s="73" t="s">
        <v>692</v>
      </c>
      <c r="E807" s="74"/>
      <c r="F807" s="74">
        <v>40664</v>
      </c>
      <c r="G807" s="75" t="str">
        <f>IF(stdProdLT(Main[[#This Row],[Comments]])=0.1,"N/A",IF(stdProdLT(Main[[#This Row],[Comments]])=0,"",stdProdLT(Main[[#This Row],[Comments]])))</f>
        <v/>
      </c>
      <c r="H807" s="76" t="str">
        <f>IF(AND(Main[[#This Row],[In Stock Date]]&lt;&gt;"",Main[[#This Row],[Revised Due Date]]&lt;&gt;""),Main[[#This Row],[In Stock Date]]-Main[[#This Row],[Revised Due Date]],"")</f>
        <v/>
      </c>
      <c r="I807" s="72" t="s">
        <v>4</v>
      </c>
      <c r="J807" s="72" t="s">
        <v>4</v>
      </c>
      <c r="K807" s="72" t="s">
        <v>4</v>
      </c>
      <c r="L807" s="74"/>
      <c r="M807" s="77" t="str">
        <f>IF(Main[[#This Row],[Tech Start Date]]&lt;1/1/1990,"",IF(Main[[#This Row],[Class]]="C",WORKDAY(Main[[#This Row],[Tech Start Date]],9),IF(Main[[#This Row],[Class]]="B", WORKDAY(Main[[#This Row],[Tech Start Date]],6),IF(Main[[#This Row],[Class]]="A",WORKDAY(Main[[#This Row],[Tech Start Date]],2),""))))</f>
        <v/>
      </c>
      <c r="N807" s="77" t="str">
        <f>IF(Main[[#This Row],[Tech Start Date]]&lt;1/1/1990,"",IF(Main[[#This Row],[Class]]="C",WORKDAY(Main[[#This Row],[Tech Start Date]],19),IF(Main[[#This Row],[Class]]="B", WORKDAY(Main[[#This Row],[Tech Start Date]],12),IF(Main[[#This Row],[Class]]="A",WORKDAY(Main[[#This Row],[Tech Start Date]],4),""))))</f>
        <v/>
      </c>
      <c r="O807" s="77" t="str">
        <f>IF(Main[[#This Row],[Tech Start Date]]&lt;1/1/1990,"",IF(Main[[#This Row],[Class]]="C",WORKDAY(Main[[#This Row],[Tech Start Date]],23),IF(Main[[#This Row],[Class]]="B", WORKDAY(Main[[#This Row],[Tech Start Date]],15),IF(Main[[#This Row],[Class]]="A",WORKDAY(Main[[#This Row],[Tech Start Date]],5),""))))</f>
        <v/>
      </c>
      <c r="P807" s="77" t="str">
        <f>IF(Main[[#This Row],[Tech Start Date]]&lt;1/1/1990,"",IF(Main[[#This Row],[Class]]="C",WORKDAY(Main[[#This Row],[Tech Start Date]],28),IF(Main[[#This Row],[Class]]="B", WORKDAY(Main[[#This Row],[Tech Start Date]],19),IF(Main[[#This Row],[Class]]="A",WORKDAY(Main[[#This Row],[Tech Start Date]],9),""))))</f>
        <v/>
      </c>
      <c r="Q807" s="74">
        <v>40557</v>
      </c>
      <c r="R807" s="74"/>
      <c r="S807" s="72" t="s">
        <v>11</v>
      </c>
      <c r="T807" s="80" t="s">
        <v>4</v>
      </c>
      <c r="U807" s="72" t="s">
        <v>14</v>
      </c>
      <c r="V807" s="72" t="s">
        <v>1917</v>
      </c>
      <c r="W807" s="72" t="s">
        <v>1925</v>
      </c>
      <c r="X807" s="72" t="s">
        <v>2834</v>
      </c>
      <c r="Y807" s="72" t="s">
        <v>3097</v>
      </c>
      <c r="Z807" s="72" t="s">
        <v>4</v>
      </c>
      <c r="AA807" s="146" t="s">
        <v>2834</v>
      </c>
    </row>
    <row r="808" spans="1:27" ht="18.600000000000001" customHeight="1">
      <c r="A808" s="139" t="str">
        <f>IF(priority(Main[[#This Row],[Comments]])&lt;&gt;0, priority(Main[[#This Row],[Comments]]),"")</f>
        <v/>
      </c>
      <c r="B808" s="89" t="s">
        <v>1619</v>
      </c>
      <c r="C808" s="72" t="s">
        <v>4</v>
      </c>
      <c r="D808" s="73" t="s">
        <v>693</v>
      </c>
      <c r="E808" s="74"/>
      <c r="F808" s="74"/>
      <c r="G808" s="75" t="str">
        <f>IF(stdProdLT(Main[[#This Row],[Comments]])=0.1,"N/A",IF(stdProdLT(Main[[#This Row],[Comments]])=0,"",stdProdLT(Main[[#This Row],[Comments]])))</f>
        <v/>
      </c>
      <c r="H808" s="76" t="str">
        <f>IF(AND(Main[[#This Row],[In Stock Date]]&lt;&gt;"",Main[[#This Row],[Revised Due Date]]&lt;&gt;""),Main[[#This Row],[In Stock Date]]-Main[[#This Row],[Revised Due Date]],"")</f>
        <v/>
      </c>
      <c r="I808" s="72" t="s">
        <v>4</v>
      </c>
      <c r="J808" s="72" t="s">
        <v>4</v>
      </c>
      <c r="K808" s="72" t="s">
        <v>4</v>
      </c>
      <c r="L808" s="74"/>
      <c r="M808" s="77" t="str">
        <f>IF(Main[[#This Row],[Tech Start Date]]&lt;1/1/1990,"",IF(Main[[#This Row],[Class]]="C",WORKDAY(Main[[#This Row],[Tech Start Date]],9),IF(Main[[#This Row],[Class]]="B", WORKDAY(Main[[#This Row],[Tech Start Date]],6),IF(Main[[#This Row],[Class]]="A",WORKDAY(Main[[#This Row],[Tech Start Date]],2),""))))</f>
        <v/>
      </c>
      <c r="N808" s="77" t="str">
        <f>IF(Main[[#This Row],[Tech Start Date]]&lt;1/1/1990,"",IF(Main[[#This Row],[Class]]="C",WORKDAY(Main[[#This Row],[Tech Start Date]],19),IF(Main[[#This Row],[Class]]="B", WORKDAY(Main[[#This Row],[Tech Start Date]],12),IF(Main[[#This Row],[Class]]="A",WORKDAY(Main[[#This Row],[Tech Start Date]],4),""))))</f>
        <v/>
      </c>
      <c r="O808" s="77" t="str">
        <f>IF(Main[[#This Row],[Tech Start Date]]&lt;1/1/1990,"",IF(Main[[#This Row],[Class]]="C",WORKDAY(Main[[#This Row],[Tech Start Date]],23),IF(Main[[#This Row],[Class]]="B", WORKDAY(Main[[#This Row],[Tech Start Date]],15),IF(Main[[#This Row],[Class]]="A",WORKDAY(Main[[#This Row],[Tech Start Date]],5),""))))</f>
        <v/>
      </c>
      <c r="P808" s="77" t="str">
        <f>IF(Main[[#This Row],[Tech Start Date]]&lt;1/1/1990,"",IF(Main[[#This Row],[Class]]="C",WORKDAY(Main[[#This Row],[Tech Start Date]],28),IF(Main[[#This Row],[Class]]="B", WORKDAY(Main[[#This Row],[Tech Start Date]],19),IF(Main[[#This Row],[Class]]="A",WORKDAY(Main[[#This Row],[Tech Start Date]],9),""))))</f>
        <v/>
      </c>
      <c r="Q808" s="74"/>
      <c r="R808" s="74"/>
      <c r="S808" s="72" t="s">
        <v>11</v>
      </c>
      <c r="T808" s="80" t="s">
        <v>4</v>
      </c>
      <c r="U808" s="72" t="s">
        <v>14</v>
      </c>
      <c r="V808" s="72" t="s">
        <v>1917</v>
      </c>
      <c r="W808" s="72" t="s">
        <v>4</v>
      </c>
      <c r="X808" s="72" t="s">
        <v>710</v>
      </c>
      <c r="Y808" s="72" t="s">
        <v>3028</v>
      </c>
      <c r="Z808" s="72" t="s">
        <v>4</v>
      </c>
      <c r="AA808" s="146" t="s">
        <v>3413</v>
      </c>
    </row>
    <row r="809" spans="1:27" ht="18.600000000000001" customHeight="1">
      <c r="A809" s="139" t="str">
        <f>IF(priority(Main[[#This Row],[Comments]])&lt;&gt;0, priority(Main[[#This Row],[Comments]]),"")</f>
        <v/>
      </c>
      <c r="B809" s="89" t="s">
        <v>1808</v>
      </c>
      <c r="C809" s="72" t="s">
        <v>4</v>
      </c>
      <c r="D809" s="73" t="s">
        <v>838</v>
      </c>
      <c r="E809" s="74">
        <v>40430.597812499997</v>
      </c>
      <c r="F809" s="74">
        <v>40574</v>
      </c>
      <c r="G809" s="75" t="str">
        <f>IF(stdProdLT(Main[[#This Row],[Comments]])=0.1,"N/A",IF(stdProdLT(Main[[#This Row],[Comments]])=0,"",stdProdLT(Main[[#This Row],[Comments]])))</f>
        <v/>
      </c>
      <c r="H809" s="76">
        <f>IF(AND(Main[[#This Row],[In Stock Date]]&lt;&gt;"",Main[[#This Row],[Revised Due Date]]&lt;&gt;""),Main[[#This Row],[In Stock Date]]-Main[[#This Row],[Revised Due Date]],"")</f>
        <v>384</v>
      </c>
      <c r="I809" s="72" t="s">
        <v>81</v>
      </c>
      <c r="J809" s="72" t="s">
        <v>52</v>
      </c>
      <c r="K809" s="72" t="s">
        <v>1929</v>
      </c>
      <c r="L809" s="74"/>
      <c r="M809" s="77" t="str">
        <f>IF(Main[[#This Row],[Tech Start Date]]&lt;1/1/1990,"",IF(Main[[#This Row],[Class]]="C",WORKDAY(Main[[#This Row],[Tech Start Date]],9),IF(Main[[#This Row],[Class]]="B", WORKDAY(Main[[#This Row],[Tech Start Date]],6),IF(Main[[#This Row],[Class]]="A",WORKDAY(Main[[#This Row],[Tech Start Date]],2),""))))</f>
        <v/>
      </c>
      <c r="N809" s="77" t="str">
        <f>IF(Main[[#This Row],[Tech Start Date]]&lt;1/1/1990,"",IF(Main[[#This Row],[Class]]="C",WORKDAY(Main[[#This Row],[Tech Start Date]],19),IF(Main[[#This Row],[Class]]="B", WORKDAY(Main[[#This Row],[Tech Start Date]],12),IF(Main[[#This Row],[Class]]="A",WORKDAY(Main[[#This Row],[Tech Start Date]],4),""))))</f>
        <v/>
      </c>
      <c r="O809" s="77" t="str">
        <f>IF(Main[[#This Row],[Tech Start Date]]&lt;1/1/1990,"",IF(Main[[#This Row],[Class]]="C",WORKDAY(Main[[#This Row],[Tech Start Date]],23),IF(Main[[#This Row],[Class]]="B", WORKDAY(Main[[#This Row],[Tech Start Date]],15),IF(Main[[#This Row],[Class]]="A",WORKDAY(Main[[#This Row],[Tech Start Date]],5),""))))</f>
        <v/>
      </c>
      <c r="P809" s="77" t="str">
        <f>IF(Main[[#This Row],[Tech Start Date]]&lt;1/1/1990,"",IF(Main[[#This Row],[Class]]="C",WORKDAY(Main[[#This Row],[Tech Start Date]],28),IF(Main[[#This Row],[Class]]="B", WORKDAY(Main[[#This Row],[Tech Start Date]],19),IF(Main[[#This Row],[Class]]="A",WORKDAY(Main[[#This Row],[Tech Start Date]],9),""))))</f>
        <v/>
      </c>
      <c r="Q809" s="74">
        <v>40190</v>
      </c>
      <c r="R809" s="74">
        <v>40190</v>
      </c>
      <c r="S809" s="72" t="s">
        <v>17</v>
      </c>
      <c r="T809" s="80" t="s">
        <v>4</v>
      </c>
      <c r="U809" s="72" t="s">
        <v>29</v>
      </c>
      <c r="V809" s="72" t="s">
        <v>1920</v>
      </c>
      <c r="W809" s="72" t="s">
        <v>1922</v>
      </c>
      <c r="X809" s="72" t="s">
        <v>50</v>
      </c>
      <c r="Y809" s="72" t="s">
        <v>2991</v>
      </c>
      <c r="Z809" s="72" t="s">
        <v>81</v>
      </c>
      <c r="AA809" s="146" t="s">
        <v>65</v>
      </c>
    </row>
    <row r="810" spans="1:27" ht="18.600000000000001" customHeight="1">
      <c r="A810" s="139" t="str">
        <f>IF(priority(Main[[#This Row],[Comments]])&lt;&gt;0, priority(Main[[#This Row],[Comments]]),"")</f>
        <v/>
      </c>
      <c r="B810" s="89" t="s">
        <v>2106</v>
      </c>
      <c r="C810" s="72" t="s">
        <v>2091</v>
      </c>
      <c r="D810" s="73" t="s">
        <v>2092</v>
      </c>
      <c r="E810" s="74"/>
      <c r="F810" s="74">
        <v>40831</v>
      </c>
      <c r="G810" s="75" t="str">
        <f>IF(stdProdLT(Main[[#This Row],[Comments]])=0.1,"N/A",IF(stdProdLT(Main[[#This Row],[Comments]])=0,"",stdProdLT(Main[[#This Row],[Comments]])))</f>
        <v/>
      </c>
      <c r="H810" s="76" t="str">
        <f>IF(AND(Main[[#This Row],[In Stock Date]]&lt;&gt;"",Main[[#This Row],[Revised Due Date]]&lt;&gt;""),Main[[#This Row],[In Stock Date]]-Main[[#This Row],[Revised Due Date]],"")</f>
        <v/>
      </c>
      <c r="I810" s="72" t="s">
        <v>4</v>
      </c>
      <c r="J810" s="72" t="s">
        <v>4</v>
      </c>
      <c r="K810" s="72" t="s">
        <v>4</v>
      </c>
      <c r="L810" s="74"/>
      <c r="M810" s="77" t="str">
        <f>IF(Main[[#This Row],[Tech Start Date]]&lt;1/1/1990,"",IF(Main[[#This Row],[Class]]="C",WORKDAY(Main[[#This Row],[Tech Start Date]],9),IF(Main[[#This Row],[Class]]="B", WORKDAY(Main[[#This Row],[Tech Start Date]],6),IF(Main[[#This Row],[Class]]="A",WORKDAY(Main[[#This Row],[Tech Start Date]],2),""))))</f>
        <v/>
      </c>
      <c r="N810" s="77" t="str">
        <f>IF(Main[[#This Row],[Tech Start Date]]&lt;1/1/1990,"",IF(Main[[#This Row],[Class]]="C",WORKDAY(Main[[#This Row],[Tech Start Date]],19),IF(Main[[#This Row],[Class]]="B", WORKDAY(Main[[#This Row],[Tech Start Date]],12),IF(Main[[#This Row],[Class]]="A",WORKDAY(Main[[#This Row],[Tech Start Date]],4),""))))</f>
        <v/>
      </c>
      <c r="O810" s="77" t="str">
        <f>IF(Main[[#This Row],[Tech Start Date]]&lt;1/1/1990,"",IF(Main[[#This Row],[Class]]="C",WORKDAY(Main[[#This Row],[Tech Start Date]],23),IF(Main[[#This Row],[Class]]="B", WORKDAY(Main[[#This Row],[Tech Start Date]],15),IF(Main[[#This Row],[Class]]="A",WORKDAY(Main[[#This Row],[Tech Start Date]],5),""))))</f>
        <v/>
      </c>
      <c r="P810" s="77" t="str">
        <f>IF(Main[[#This Row],[Tech Start Date]]&lt;1/1/1990,"",IF(Main[[#This Row],[Class]]="C",WORKDAY(Main[[#This Row],[Tech Start Date]],28),IF(Main[[#This Row],[Class]]="B", WORKDAY(Main[[#This Row],[Tech Start Date]],19),IF(Main[[#This Row],[Class]]="A",WORKDAY(Main[[#This Row],[Tech Start Date]],9),""))))</f>
        <v/>
      </c>
      <c r="Q810" s="74">
        <v>40786</v>
      </c>
      <c r="R810" s="74"/>
      <c r="S810" s="72" t="s">
        <v>11</v>
      </c>
      <c r="T810" s="80" t="s">
        <v>4</v>
      </c>
      <c r="U810" s="72" t="s">
        <v>12</v>
      </c>
      <c r="V810" s="72" t="s">
        <v>1920</v>
      </c>
      <c r="W810" s="72" t="s">
        <v>1925</v>
      </c>
      <c r="X810" s="72" t="s">
        <v>2837</v>
      </c>
      <c r="Y810" s="72" t="s">
        <v>2960</v>
      </c>
      <c r="Z810" s="72" t="s">
        <v>4</v>
      </c>
      <c r="AA810" s="146" t="s">
        <v>2837</v>
      </c>
    </row>
    <row r="811" spans="1:27" ht="18.600000000000001" customHeight="1">
      <c r="A811" s="139" t="str">
        <f>IF(priority(Main[[#This Row],[Comments]])&lt;&gt;0, priority(Main[[#This Row],[Comments]]),"")</f>
        <v/>
      </c>
      <c r="B811" s="89" t="s">
        <v>2084</v>
      </c>
      <c r="C811" s="72" t="s">
        <v>4</v>
      </c>
      <c r="D811" s="73" t="s">
        <v>2085</v>
      </c>
      <c r="E811" s="74"/>
      <c r="F811" s="74"/>
      <c r="G811" s="75" t="str">
        <f>IF(stdProdLT(Main[[#This Row],[Comments]])=0.1,"N/A",IF(stdProdLT(Main[[#This Row],[Comments]])=0,"",stdProdLT(Main[[#This Row],[Comments]])))</f>
        <v/>
      </c>
      <c r="H811" s="76" t="str">
        <f>IF(AND(Main[[#This Row],[In Stock Date]]&lt;&gt;"",Main[[#This Row],[Revised Due Date]]&lt;&gt;""),Main[[#This Row],[In Stock Date]]-Main[[#This Row],[Revised Due Date]],"")</f>
        <v/>
      </c>
      <c r="I811" s="72" t="s">
        <v>530</v>
      </c>
      <c r="J811" s="72" t="s">
        <v>28</v>
      </c>
      <c r="K811" s="72" t="s">
        <v>1926</v>
      </c>
      <c r="L811" s="74"/>
      <c r="M811" s="77" t="str">
        <f>IF(Main[[#This Row],[Tech Start Date]]&lt;1/1/1990,"",IF(Main[[#This Row],[Class]]="C",WORKDAY(Main[[#This Row],[Tech Start Date]],9),IF(Main[[#This Row],[Class]]="B", WORKDAY(Main[[#This Row],[Tech Start Date]],6),IF(Main[[#This Row],[Class]]="A",WORKDAY(Main[[#This Row],[Tech Start Date]],2),""))))</f>
        <v/>
      </c>
      <c r="N811" s="77" t="str">
        <f>IF(Main[[#This Row],[Tech Start Date]]&lt;1/1/1990,"",IF(Main[[#This Row],[Class]]="C",WORKDAY(Main[[#This Row],[Tech Start Date]],19),IF(Main[[#This Row],[Class]]="B", WORKDAY(Main[[#This Row],[Tech Start Date]],12),IF(Main[[#This Row],[Class]]="A",WORKDAY(Main[[#This Row],[Tech Start Date]],4),""))))</f>
        <v/>
      </c>
      <c r="O811" s="77" t="str">
        <f>IF(Main[[#This Row],[Tech Start Date]]&lt;1/1/1990,"",IF(Main[[#This Row],[Class]]="C",WORKDAY(Main[[#This Row],[Tech Start Date]],23),IF(Main[[#This Row],[Class]]="B", WORKDAY(Main[[#This Row],[Tech Start Date]],15),IF(Main[[#This Row],[Class]]="A",WORKDAY(Main[[#This Row],[Tech Start Date]],5),""))))</f>
        <v/>
      </c>
      <c r="P811" s="77" t="str">
        <f>IF(Main[[#This Row],[Tech Start Date]]&lt;1/1/1990,"",IF(Main[[#This Row],[Class]]="C",WORKDAY(Main[[#This Row],[Tech Start Date]],28),IF(Main[[#This Row],[Class]]="B", WORKDAY(Main[[#This Row],[Tech Start Date]],19),IF(Main[[#This Row],[Class]]="A",WORKDAY(Main[[#This Row],[Tech Start Date]],9),""))))</f>
        <v/>
      </c>
      <c r="Q811" s="74"/>
      <c r="R811" s="74"/>
      <c r="S811" s="72" t="s">
        <v>6</v>
      </c>
      <c r="T811" s="80" t="s">
        <v>4</v>
      </c>
      <c r="U811" s="72" t="s">
        <v>14</v>
      </c>
      <c r="V811" s="72" t="s">
        <v>1920</v>
      </c>
      <c r="W811" s="72" t="s">
        <v>1921</v>
      </c>
      <c r="X811" s="72" t="s">
        <v>2872</v>
      </c>
      <c r="Y811" s="72" t="s">
        <v>3006</v>
      </c>
      <c r="Z811" s="72" t="s">
        <v>44</v>
      </c>
      <c r="AA811" s="146" t="s">
        <v>2872</v>
      </c>
    </row>
    <row r="812" spans="1:27" ht="18.600000000000001" customHeight="1">
      <c r="A812" s="139" t="str">
        <f>IF(priority(Main[[#This Row],[Comments]])&lt;&gt;0, priority(Main[[#This Row],[Comments]]),"")</f>
        <v/>
      </c>
      <c r="B812" s="89" t="s">
        <v>1399</v>
      </c>
      <c r="C812" s="72" t="s">
        <v>4</v>
      </c>
      <c r="D812" s="73" t="s">
        <v>481</v>
      </c>
      <c r="E812" s="74">
        <v>40485.329618055555</v>
      </c>
      <c r="F812" s="74"/>
      <c r="G812" s="75" t="str">
        <f>IF(stdProdLT(Main[[#This Row],[Comments]])=0.1,"N/A",IF(stdProdLT(Main[[#This Row],[Comments]])=0,"",stdProdLT(Main[[#This Row],[Comments]])))</f>
        <v/>
      </c>
      <c r="H812" s="76" t="str">
        <f>IF(AND(Main[[#This Row],[In Stock Date]]&lt;&gt;"",Main[[#This Row],[Revised Due Date]]&lt;&gt;""),Main[[#This Row],[In Stock Date]]-Main[[#This Row],[Revised Due Date]],"")</f>
        <v/>
      </c>
      <c r="I812" s="72" t="s">
        <v>4</v>
      </c>
      <c r="J812" s="72" t="s">
        <v>28</v>
      </c>
      <c r="K812" s="72" t="s">
        <v>1929</v>
      </c>
      <c r="L812" s="74"/>
      <c r="M812" s="77" t="str">
        <f>IF(Main[[#This Row],[Tech Start Date]]&lt;1/1/1990,"",IF(Main[[#This Row],[Class]]="C",WORKDAY(Main[[#This Row],[Tech Start Date]],9),IF(Main[[#This Row],[Class]]="B", WORKDAY(Main[[#This Row],[Tech Start Date]],6),IF(Main[[#This Row],[Class]]="A",WORKDAY(Main[[#This Row],[Tech Start Date]],2),""))))</f>
        <v/>
      </c>
      <c r="N812" s="77" t="str">
        <f>IF(Main[[#This Row],[Tech Start Date]]&lt;1/1/1990,"",IF(Main[[#This Row],[Class]]="C",WORKDAY(Main[[#This Row],[Tech Start Date]],19),IF(Main[[#This Row],[Class]]="B", WORKDAY(Main[[#This Row],[Tech Start Date]],12),IF(Main[[#This Row],[Class]]="A",WORKDAY(Main[[#This Row],[Tech Start Date]],4),""))))</f>
        <v/>
      </c>
      <c r="O812" s="77" t="str">
        <f>IF(Main[[#This Row],[Tech Start Date]]&lt;1/1/1990,"",IF(Main[[#This Row],[Class]]="C",WORKDAY(Main[[#This Row],[Tech Start Date]],23),IF(Main[[#This Row],[Class]]="B", WORKDAY(Main[[#This Row],[Tech Start Date]],15),IF(Main[[#This Row],[Class]]="A",WORKDAY(Main[[#This Row],[Tech Start Date]],5),""))))</f>
        <v/>
      </c>
      <c r="P812" s="77" t="str">
        <f>IF(Main[[#This Row],[Tech Start Date]]&lt;1/1/1990,"",IF(Main[[#This Row],[Class]]="C",WORKDAY(Main[[#This Row],[Tech Start Date]],28),IF(Main[[#This Row],[Class]]="B", WORKDAY(Main[[#This Row],[Tech Start Date]],19),IF(Main[[#This Row],[Class]]="A",WORKDAY(Main[[#This Row],[Tech Start Date]],9),""))))</f>
        <v/>
      </c>
      <c r="Q812" s="74"/>
      <c r="R812" s="74"/>
      <c r="S812" s="72" t="s">
        <v>17</v>
      </c>
      <c r="T812" s="80" t="s">
        <v>4</v>
      </c>
      <c r="U812" s="72" t="s">
        <v>29</v>
      </c>
      <c r="V812" s="72" t="s">
        <v>1917</v>
      </c>
      <c r="W812" s="72" t="s">
        <v>1931</v>
      </c>
      <c r="X812" s="72" t="s">
        <v>2055</v>
      </c>
      <c r="Y812" s="72" t="s">
        <v>3008</v>
      </c>
      <c r="Z812" s="72" t="s">
        <v>4</v>
      </c>
      <c r="AA812" s="146" t="s">
        <v>2055</v>
      </c>
    </row>
    <row r="813" spans="1:27" ht="18.600000000000001" customHeight="1">
      <c r="A813" s="139" t="str">
        <f>IF(priority(Main[[#This Row],[Comments]])&lt;&gt;0, priority(Main[[#This Row],[Comments]]),"")</f>
        <v/>
      </c>
      <c r="B813" s="89" t="s">
        <v>1820</v>
      </c>
      <c r="C813" s="72" t="s">
        <v>42</v>
      </c>
      <c r="D813" s="73" t="s">
        <v>871</v>
      </c>
      <c r="E813" s="74">
        <v>39932.455243055556</v>
      </c>
      <c r="F813" s="74"/>
      <c r="G813" s="75" t="str">
        <f>IF(stdProdLT(Main[[#This Row],[Comments]])=0.1,"N/A",IF(stdProdLT(Main[[#This Row],[Comments]])=0,"",stdProdLT(Main[[#This Row],[Comments]])))</f>
        <v/>
      </c>
      <c r="H813" s="76" t="str">
        <f>IF(AND(Main[[#This Row],[In Stock Date]]&lt;&gt;"",Main[[#This Row],[Revised Due Date]]&lt;&gt;""),Main[[#This Row],[In Stock Date]]-Main[[#This Row],[Revised Due Date]],"")</f>
        <v/>
      </c>
      <c r="I813" s="72" t="s">
        <v>4</v>
      </c>
      <c r="J813" s="72" t="s">
        <v>4</v>
      </c>
      <c r="K813" s="72" t="s">
        <v>4</v>
      </c>
      <c r="L813" s="74"/>
      <c r="M813" s="77" t="str">
        <f>IF(Main[[#This Row],[Tech Start Date]]&lt;1/1/1990,"",IF(Main[[#This Row],[Class]]="C",WORKDAY(Main[[#This Row],[Tech Start Date]],9),IF(Main[[#This Row],[Class]]="B", WORKDAY(Main[[#This Row],[Tech Start Date]],6),IF(Main[[#This Row],[Class]]="A",WORKDAY(Main[[#This Row],[Tech Start Date]],2),""))))</f>
        <v/>
      </c>
      <c r="N813" s="77" t="str">
        <f>IF(Main[[#This Row],[Tech Start Date]]&lt;1/1/1990,"",IF(Main[[#This Row],[Class]]="C",WORKDAY(Main[[#This Row],[Tech Start Date]],19),IF(Main[[#This Row],[Class]]="B", WORKDAY(Main[[#This Row],[Tech Start Date]],12),IF(Main[[#This Row],[Class]]="A",WORKDAY(Main[[#This Row],[Tech Start Date]],4),""))))</f>
        <v/>
      </c>
      <c r="O813" s="77" t="str">
        <f>IF(Main[[#This Row],[Tech Start Date]]&lt;1/1/1990,"",IF(Main[[#This Row],[Class]]="C",WORKDAY(Main[[#This Row],[Tech Start Date]],23),IF(Main[[#This Row],[Class]]="B", WORKDAY(Main[[#This Row],[Tech Start Date]],15),IF(Main[[#This Row],[Class]]="A",WORKDAY(Main[[#This Row],[Tech Start Date]],5),""))))</f>
        <v/>
      </c>
      <c r="P813" s="77" t="str">
        <f>IF(Main[[#This Row],[Tech Start Date]]&lt;1/1/1990,"",IF(Main[[#This Row],[Class]]="C",WORKDAY(Main[[#This Row],[Tech Start Date]],28),IF(Main[[#This Row],[Class]]="B", WORKDAY(Main[[#This Row],[Tech Start Date]],19),IF(Main[[#This Row],[Class]]="A",WORKDAY(Main[[#This Row],[Tech Start Date]],9),""))))</f>
        <v/>
      </c>
      <c r="Q813" s="74">
        <v>40165</v>
      </c>
      <c r="R813" s="74">
        <v>40298</v>
      </c>
      <c r="S813" s="72" t="s">
        <v>17</v>
      </c>
      <c r="T813" s="80" t="s">
        <v>4</v>
      </c>
      <c r="U813" s="72" t="s">
        <v>29</v>
      </c>
      <c r="V813" s="72" t="s">
        <v>1918</v>
      </c>
      <c r="W813" s="72" t="s">
        <v>1921</v>
      </c>
      <c r="X813" s="72" t="s">
        <v>399</v>
      </c>
      <c r="Y813" s="72" t="s">
        <v>4</v>
      </c>
      <c r="Z813" s="72" t="s">
        <v>4</v>
      </c>
      <c r="AA813" s="146" t="s">
        <v>3442</v>
      </c>
    </row>
    <row r="814" spans="1:27" ht="18.600000000000001" customHeight="1">
      <c r="A814" s="139" t="str">
        <f>IF(priority(Main[[#This Row],[Comments]])&lt;&gt;0, priority(Main[[#This Row],[Comments]]),"")</f>
        <v/>
      </c>
      <c r="B814" s="89" t="s">
        <v>1621</v>
      </c>
      <c r="C814" s="72" t="s">
        <v>4</v>
      </c>
      <c r="D814" s="73" t="s">
        <v>697</v>
      </c>
      <c r="E814" s="74"/>
      <c r="F814" s="74"/>
      <c r="G814" s="75" t="str">
        <f>IF(stdProdLT(Main[[#This Row],[Comments]])=0.1,"N/A",IF(stdProdLT(Main[[#This Row],[Comments]])=0,"",stdProdLT(Main[[#This Row],[Comments]])))</f>
        <v/>
      </c>
      <c r="H814" s="76" t="str">
        <f>IF(AND(Main[[#This Row],[In Stock Date]]&lt;&gt;"",Main[[#This Row],[Revised Due Date]]&lt;&gt;""),Main[[#This Row],[In Stock Date]]-Main[[#This Row],[Revised Due Date]],"")</f>
        <v/>
      </c>
      <c r="I814" s="72" t="s">
        <v>4</v>
      </c>
      <c r="J814" s="72" t="s">
        <v>4</v>
      </c>
      <c r="K814" s="81" t="s">
        <v>4</v>
      </c>
      <c r="L814" s="74"/>
      <c r="M814" s="77" t="str">
        <f>IF(Main[[#This Row],[Tech Start Date]]&lt;1/1/1990,"",IF(Main[[#This Row],[Class]]="C",WORKDAY(Main[[#This Row],[Tech Start Date]],9),IF(Main[[#This Row],[Class]]="B", WORKDAY(Main[[#This Row],[Tech Start Date]],6),IF(Main[[#This Row],[Class]]="A",WORKDAY(Main[[#This Row],[Tech Start Date]],2),""))))</f>
        <v/>
      </c>
      <c r="N814" s="77" t="str">
        <f>IF(Main[[#This Row],[Tech Start Date]]&lt;1/1/1990,"",IF(Main[[#This Row],[Class]]="C",WORKDAY(Main[[#This Row],[Tech Start Date]],19),IF(Main[[#This Row],[Class]]="B", WORKDAY(Main[[#This Row],[Tech Start Date]],12),IF(Main[[#This Row],[Class]]="A",WORKDAY(Main[[#This Row],[Tech Start Date]],4),""))))</f>
        <v/>
      </c>
      <c r="O814" s="77" t="str">
        <f>IF(Main[[#This Row],[Tech Start Date]]&lt;1/1/1990,"",IF(Main[[#This Row],[Class]]="C",WORKDAY(Main[[#This Row],[Tech Start Date]],23),IF(Main[[#This Row],[Class]]="B", WORKDAY(Main[[#This Row],[Tech Start Date]],15),IF(Main[[#This Row],[Class]]="A",WORKDAY(Main[[#This Row],[Tech Start Date]],5),""))))</f>
        <v/>
      </c>
      <c r="P814" s="77" t="str">
        <f>IF(Main[[#This Row],[Tech Start Date]]&lt;1/1/1990,"",IF(Main[[#This Row],[Class]]="C",WORKDAY(Main[[#This Row],[Tech Start Date]],28),IF(Main[[#This Row],[Class]]="B", WORKDAY(Main[[#This Row],[Tech Start Date]],19),IF(Main[[#This Row],[Class]]="A",WORKDAY(Main[[#This Row],[Tech Start Date]],9),""))))</f>
        <v/>
      </c>
      <c r="Q814" s="74"/>
      <c r="R814" s="74"/>
      <c r="S814" s="72" t="s">
        <v>23</v>
      </c>
      <c r="T814" s="80" t="s">
        <v>4</v>
      </c>
      <c r="U814" s="72" t="s">
        <v>14</v>
      </c>
      <c r="V814" s="72" t="s">
        <v>1920</v>
      </c>
      <c r="W814" s="72" t="s">
        <v>1921</v>
      </c>
      <c r="X814" s="72" t="s">
        <v>399</v>
      </c>
      <c r="Y814" s="72" t="s">
        <v>4</v>
      </c>
      <c r="Z814" s="72" t="s">
        <v>4</v>
      </c>
      <c r="AA814" s="146" t="s">
        <v>3443</v>
      </c>
    </row>
    <row r="815" spans="1:27" ht="18.600000000000001" customHeight="1">
      <c r="A815" s="139" t="str">
        <f>IF(priority(Main[[#This Row],[Comments]])&lt;&gt;0, priority(Main[[#This Row],[Comments]]),"")</f>
        <v/>
      </c>
      <c r="B815" s="89" t="s">
        <v>1622</v>
      </c>
      <c r="C815" s="72" t="s">
        <v>122</v>
      </c>
      <c r="D815" s="73" t="s">
        <v>698</v>
      </c>
      <c r="E815" s="74"/>
      <c r="F815" s="74"/>
      <c r="G815" s="75" t="str">
        <f>IF(stdProdLT(Main[[#This Row],[Comments]])=0.1,"N/A",IF(stdProdLT(Main[[#This Row],[Comments]])=0,"",stdProdLT(Main[[#This Row],[Comments]])))</f>
        <v/>
      </c>
      <c r="H815" s="76" t="str">
        <f>IF(AND(Main[[#This Row],[In Stock Date]]&lt;&gt;"",Main[[#This Row],[Revised Due Date]]&lt;&gt;""),Main[[#This Row],[In Stock Date]]-Main[[#This Row],[Revised Due Date]],"")</f>
        <v/>
      </c>
      <c r="I815" s="72" t="s">
        <v>4</v>
      </c>
      <c r="J815" s="72" t="s">
        <v>4</v>
      </c>
      <c r="K815" s="72" t="s">
        <v>4</v>
      </c>
      <c r="L815" s="74"/>
      <c r="M815" s="77" t="str">
        <f>IF(Main[[#This Row],[Tech Start Date]]&lt;1/1/1990,"",IF(Main[[#This Row],[Class]]="C",WORKDAY(Main[[#This Row],[Tech Start Date]],9),IF(Main[[#This Row],[Class]]="B", WORKDAY(Main[[#This Row],[Tech Start Date]],6),IF(Main[[#This Row],[Class]]="A",WORKDAY(Main[[#This Row],[Tech Start Date]],2),""))))</f>
        <v/>
      </c>
      <c r="N815" s="77" t="str">
        <f>IF(Main[[#This Row],[Tech Start Date]]&lt;1/1/1990,"",IF(Main[[#This Row],[Class]]="C",WORKDAY(Main[[#This Row],[Tech Start Date]],19),IF(Main[[#This Row],[Class]]="B", WORKDAY(Main[[#This Row],[Tech Start Date]],12),IF(Main[[#This Row],[Class]]="A",WORKDAY(Main[[#This Row],[Tech Start Date]],4),""))))</f>
        <v/>
      </c>
      <c r="O815" s="77" t="str">
        <f>IF(Main[[#This Row],[Tech Start Date]]&lt;1/1/1990,"",IF(Main[[#This Row],[Class]]="C",WORKDAY(Main[[#This Row],[Tech Start Date]],23),IF(Main[[#This Row],[Class]]="B", WORKDAY(Main[[#This Row],[Tech Start Date]],15),IF(Main[[#This Row],[Class]]="A",WORKDAY(Main[[#This Row],[Tech Start Date]],5),""))))</f>
        <v/>
      </c>
      <c r="P815" s="77" t="str">
        <f>IF(Main[[#This Row],[Tech Start Date]]&lt;1/1/1990,"",IF(Main[[#This Row],[Class]]="C",WORKDAY(Main[[#This Row],[Tech Start Date]],28),IF(Main[[#This Row],[Class]]="B", WORKDAY(Main[[#This Row],[Tech Start Date]],19),IF(Main[[#This Row],[Class]]="A",WORKDAY(Main[[#This Row],[Tech Start Date]],9),""))))</f>
        <v/>
      </c>
      <c r="Q815" s="74"/>
      <c r="R815" s="74"/>
      <c r="S815" s="72" t="s">
        <v>11</v>
      </c>
      <c r="T815" s="80" t="s">
        <v>4</v>
      </c>
      <c r="U815" s="72" t="s">
        <v>14</v>
      </c>
      <c r="V815" s="72" t="s">
        <v>1917</v>
      </c>
      <c r="W815" s="72" t="s">
        <v>1928</v>
      </c>
      <c r="X815" s="72" t="s">
        <v>2826</v>
      </c>
      <c r="Y815" s="72" t="s">
        <v>3098</v>
      </c>
      <c r="Z815" s="72" t="s">
        <v>4</v>
      </c>
      <c r="AA815" s="146" t="s">
        <v>3444</v>
      </c>
    </row>
    <row r="816" spans="1:27" ht="18.600000000000001" customHeight="1">
      <c r="A816" s="139" t="str">
        <f>IF(priority(Main[[#This Row],[Comments]])&lt;&gt;0, priority(Main[[#This Row],[Comments]]),"")</f>
        <v/>
      </c>
      <c r="B816" s="89" t="s">
        <v>1624</v>
      </c>
      <c r="C816" s="72" t="s">
        <v>4</v>
      </c>
      <c r="D816" s="73" t="s">
        <v>699</v>
      </c>
      <c r="E816" s="74"/>
      <c r="F816" s="74">
        <v>40598</v>
      </c>
      <c r="G816" s="75" t="str">
        <f>IF(stdProdLT(Main[[#This Row],[Comments]])=0.1,"N/A",IF(stdProdLT(Main[[#This Row],[Comments]])=0,"",stdProdLT(Main[[#This Row],[Comments]])))</f>
        <v/>
      </c>
      <c r="H816" s="76" t="str">
        <f>IF(AND(Main[[#This Row],[In Stock Date]]&lt;&gt;"",Main[[#This Row],[Revised Due Date]]&lt;&gt;""),Main[[#This Row],[In Stock Date]]-Main[[#This Row],[Revised Due Date]],"")</f>
        <v/>
      </c>
      <c r="I816" s="72" t="s">
        <v>399</v>
      </c>
      <c r="J816" s="72" t="s">
        <v>75</v>
      </c>
      <c r="K816" s="72" t="s">
        <v>4</v>
      </c>
      <c r="L816" s="74"/>
      <c r="M816" s="77" t="str">
        <f>IF(Main[[#This Row],[Tech Start Date]]&lt;1/1/1990,"",IF(Main[[#This Row],[Class]]="C",WORKDAY(Main[[#This Row],[Tech Start Date]],9),IF(Main[[#This Row],[Class]]="B", WORKDAY(Main[[#This Row],[Tech Start Date]],6),IF(Main[[#This Row],[Class]]="A",WORKDAY(Main[[#This Row],[Tech Start Date]],2),""))))</f>
        <v/>
      </c>
      <c r="N816" s="77" t="str">
        <f>IF(Main[[#This Row],[Tech Start Date]]&lt;1/1/1990,"",IF(Main[[#This Row],[Class]]="C",WORKDAY(Main[[#This Row],[Tech Start Date]],19),IF(Main[[#This Row],[Class]]="B", WORKDAY(Main[[#This Row],[Tech Start Date]],12),IF(Main[[#This Row],[Class]]="A",WORKDAY(Main[[#This Row],[Tech Start Date]],4),""))))</f>
        <v/>
      </c>
      <c r="O816" s="77" t="str">
        <f>IF(Main[[#This Row],[Tech Start Date]]&lt;1/1/1990,"",IF(Main[[#This Row],[Class]]="C",WORKDAY(Main[[#This Row],[Tech Start Date]],23),IF(Main[[#This Row],[Class]]="B", WORKDAY(Main[[#This Row],[Tech Start Date]],15),IF(Main[[#This Row],[Class]]="A",WORKDAY(Main[[#This Row],[Tech Start Date]],5),""))))</f>
        <v/>
      </c>
      <c r="P816" s="77" t="str">
        <f>IF(Main[[#This Row],[Tech Start Date]]&lt;1/1/1990,"",IF(Main[[#This Row],[Class]]="C",WORKDAY(Main[[#This Row],[Tech Start Date]],28),IF(Main[[#This Row],[Class]]="B", WORKDAY(Main[[#This Row],[Tech Start Date]],19),IF(Main[[#This Row],[Class]]="A",WORKDAY(Main[[#This Row],[Tech Start Date]],9),""))))</f>
        <v/>
      </c>
      <c r="Q816" s="74">
        <v>40598</v>
      </c>
      <c r="R816" s="74"/>
      <c r="S816" s="72" t="s">
        <v>6</v>
      </c>
      <c r="T816" s="80" t="s">
        <v>4</v>
      </c>
      <c r="U816" s="72" t="s">
        <v>14</v>
      </c>
      <c r="V816" s="72" t="s">
        <v>1927</v>
      </c>
      <c r="W816" s="72" t="s">
        <v>1923</v>
      </c>
      <c r="X816" s="72" t="s">
        <v>2854</v>
      </c>
      <c r="Y816" s="72" t="s">
        <v>2985</v>
      </c>
      <c r="Z816" s="72" t="s">
        <v>306</v>
      </c>
      <c r="AA816" s="146" t="s">
        <v>2854</v>
      </c>
    </row>
    <row r="817" spans="1:27" ht="18.600000000000001" customHeight="1">
      <c r="A817" s="139" t="str">
        <f>IF(priority(Main[[#This Row],[Comments]])&lt;&gt;0, priority(Main[[#This Row],[Comments]]),"")</f>
        <v/>
      </c>
      <c r="B817" s="89" t="s">
        <v>2168</v>
      </c>
      <c r="C817" s="72" t="s">
        <v>2163</v>
      </c>
      <c r="D817" s="73" t="s">
        <v>2738</v>
      </c>
      <c r="E817" s="74">
        <v>40781.401631944442</v>
      </c>
      <c r="F817" s="74"/>
      <c r="G817" s="75" t="str">
        <f>IF(stdProdLT(Main[[#This Row],[Comments]])=0.1,"N/A",IF(stdProdLT(Main[[#This Row],[Comments]])=0,"",stdProdLT(Main[[#This Row],[Comments]])))</f>
        <v/>
      </c>
      <c r="H817" s="76" t="str">
        <f>IF(AND(Main[[#This Row],[In Stock Date]]&lt;&gt;"",Main[[#This Row],[Revised Due Date]]&lt;&gt;""),Main[[#This Row],[In Stock Date]]-Main[[#This Row],[Revised Due Date]],"")</f>
        <v/>
      </c>
      <c r="I817" s="72" t="s">
        <v>2054</v>
      </c>
      <c r="J817" s="72" t="s">
        <v>70</v>
      </c>
      <c r="K817" s="72" t="s">
        <v>1926</v>
      </c>
      <c r="L817" s="74"/>
      <c r="M817" s="77" t="str">
        <f>IF(Main[[#This Row],[Tech Start Date]]&lt;1/1/1990,"",IF(Main[[#This Row],[Class]]="C",WORKDAY(Main[[#This Row],[Tech Start Date]],9),IF(Main[[#This Row],[Class]]="B", WORKDAY(Main[[#This Row],[Tech Start Date]],6),IF(Main[[#This Row],[Class]]="A",WORKDAY(Main[[#This Row],[Tech Start Date]],2),""))))</f>
        <v/>
      </c>
      <c r="N817" s="77" t="str">
        <f>IF(Main[[#This Row],[Tech Start Date]]&lt;1/1/1990,"",IF(Main[[#This Row],[Class]]="C",WORKDAY(Main[[#This Row],[Tech Start Date]],19),IF(Main[[#This Row],[Class]]="B", WORKDAY(Main[[#This Row],[Tech Start Date]],12),IF(Main[[#This Row],[Class]]="A",WORKDAY(Main[[#This Row],[Tech Start Date]],4),""))))</f>
        <v/>
      </c>
      <c r="O817" s="77" t="str">
        <f>IF(Main[[#This Row],[Tech Start Date]]&lt;1/1/1990,"",IF(Main[[#This Row],[Class]]="C",WORKDAY(Main[[#This Row],[Tech Start Date]],23),IF(Main[[#This Row],[Class]]="B", WORKDAY(Main[[#This Row],[Tech Start Date]],15),IF(Main[[#This Row],[Class]]="A",WORKDAY(Main[[#This Row],[Tech Start Date]],5),""))))</f>
        <v/>
      </c>
      <c r="P817" s="77" t="str">
        <f>IF(Main[[#This Row],[Tech Start Date]]&lt;1/1/1990,"",IF(Main[[#This Row],[Class]]="C",WORKDAY(Main[[#This Row],[Tech Start Date]],28),IF(Main[[#This Row],[Class]]="B", WORKDAY(Main[[#This Row],[Tech Start Date]],19),IF(Main[[#This Row],[Class]]="A",WORKDAY(Main[[#This Row],[Tech Start Date]],9),""))))</f>
        <v/>
      </c>
      <c r="Q817" s="74">
        <v>40836</v>
      </c>
      <c r="R817" s="74"/>
      <c r="S817" s="72" t="s">
        <v>6</v>
      </c>
      <c r="T817" s="80" t="s">
        <v>4</v>
      </c>
      <c r="U817" s="72" t="s">
        <v>29</v>
      </c>
      <c r="V817" s="72" t="s">
        <v>1920</v>
      </c>
      <c r="W817" s="72" t="s">
        <v>1921</v>
      </c>
      <c r="X817" s="72" t="s">
        <v>2842</v>
      </c>
      <c r="Y817" s="72" t="s">
        <v>2971</v>
      </c>
      <c r="Z817" s="72" t="s">
        <v>30</v>
      </c>
      <c r="AA817" s="146" t="s">
        <v>2842</v>
      </c>
    </row>
    <row r="818" spans="1:27" ht="18.600000000000001" customHeight="1">
      <c r="A818" s="139" t="str">
        <f>IF(priority(Main[[#This Row],[Comments]])&lt;&gt;0, priority(Main[[#This Row],[Comments]]),"")</f>
        <v/>
      </c>
      <c r="B818" s="89" t="s">
        <v>2077</v>
      </c>
      <c r="C818" s="72" t="s">
        <v>4</v>
      </c>
      <c r="D818" s="73" t="s">
        <v>2392</v>
      </c>
      <c r="E818" s="74">
        <v>40760.554780092592</v>
      </c>
      <c r="F818" s="74"/>
      <c r="G818" s="75" t="str">
        <f>IF(stdProdLT(Main[[#This Row],[Comments]])=0.1,"N/A",IF(stdProdLT(Main[[#This Row],[Comments]])=0,"",stdProdLT(Main[[#This Row],[Comments]])))</f>
        <v/>
      </c>
      <c r="H818" s="76" t="str">
        <f>IF(AND(Main[[#This Row],[In Stock Date]]&lt;&gt;"",Main[[#This Row],[Revised Due Date]]&lt;&gt;""),Main[[#This Row],[In Stock Date]]-Main[[#This Row],[Revised Due Date]],"")</f>
        <v/>
      </c>
      <c r="I818" s="72" t="s">
        <v>4</v>
      </c>
      <c r="J818" s="72" t="s">
        <v>4</v>
      </c>
      <c r="K818" s="72" t="s">
        <v>4</v>
      </c>
      <c r="L818" s="74"/>
      <c r="M818" s="77" t="str">
        <f>IF(Main[[#This Row],[Tech Start Date]]&lt;1/1/1990,"",IF(Main[[#This Row],[Class]]="C",WORKDAY(Main[[#This Row],[Tech Start Date]],9),IF(Main[[#This Row],[Class]]="B", WORKDAY(Main[[#This Row],[Tech Start Date]],6),IF(Main[[#This Row],[Class]]="A",WORKDAY(Main[[#This Row],[Tech Start Date]],2),""))))</f>
        <v/>
      </c>
      <c r="N818" s="77" t="str">
        <f>IF(Main[[#This Row],[Tech Start Date]]&lt;1/1/1990,"",IF(Main[[#This Row],[Class]]="C",WORKDAY(Main[[#This Row],[Tech Start Date]],19),IF(Main[[#This Row],[Class]]="B", WORKDAY(Main[[#This Row],[Tech Start Date]],12),IF(Main[[#This Row],[Class]]="A",WORKDAY(Main[[#This Row],[Tech Start Date]],4),""))))</f>
        <v/>
      </c>
      <c r="O818" s="77" t="str">
        <f>IF(Main[[#This Row],[Tech Start Date]]&lt;1/1/1990,"",IF(Main[[#This Row],[Class]]="C",WORKDAY(Main[[#This Row],[Tech Start Date]],23),IF(Main[[#This Row],[Class]]="B", WORKDAY(Main[[#This Row],[Tech Start Date]],15),IF(Main[[#This Row],[Class]]="A",WORKDAY(Main[[#This Row],[Tech Start Date]],5),""))))</f>
        <v/>
      </c>
      <c r="P818" s="77" t="str">
        <f>IF(Main[[#This Row],[Tech Start Date]]&lt;1/1/1990,"",IF(Main[[#This Row],[Class]]="C",WORKDAY(Main[[#This Row],[Tech Start Date]],28),IF(Main[[#This Row],[Class]]="B", WORKDAY(Main[[#This Row],[Tech Start Date]],19),IF(Main[[#This Row],[Class]]="A",WORKDAY(Main[[#This Row],[Tech Start Date]],9),""))))</f>
        <v/>
      </c>
      <c r="Q818" s="74"/>
      <c r="R818" s="74"/>
      <c r="S818" s="72" t="s">
        <v>6</v>
      </c>
      <c r="T818" s="80" t="s">
        <v>4</v>
      </c>
      <c r="U818" s="72" t="s">
        <v>7</v>
      </c>
      <c r="V818" s="72" t="s">
        <v>1917</v>
      </c>
      <c r="W818" s="72" t="s">
        <v>1921</v>
      </c>
      <c r="X818" s="72" t="s">
        <v>306</v>
      </c>
      <c r="Y818" s="72" t="s">
        <v>4</v>
      </c>
      <c r="Z818" s="72" t="s">
        <v>4</v>
      </c>
      <c r="AA818" s="146" t="s">
        <v>4</v>
      </c>
    </row>
    <row r="819" spans="1:27" ht="18.600000000000001" customHeight="1">
      <c r="A819" s="139" t="str">
        <f>IF(priority(Main[[#This Row],[Comments]])&lt;&gt;0, priority(Main[[#This Row],[Comments]]),"")</f>
        <v/>
      </c>
      <c r="B819" s="89" t="s">
        <v>1625</v>
      </c>
      <c r="C819" s="72" t="s">
        <v>4</v>
      </c>
      <c r="D819" s="73" t="s">
        <v>700</v>
      </c>
      <c r="E819" s="74"/>
      <c r="F819" s="74"/>
      <c r="G819" s="75" t="str">
        <f>IF(stdProdLT(Main[[#This Row],[Comments]])=0.1,"N/A",IF(stdProdLT(Main[[#This Row],[Comments]])=0,"",stdProdLT(Main[[#This Row],[Comments]])))</f>
        <v/>
      </c>
      <c r="H819" s="76" t="str">
        <f>IF(AND(Main[[#This Row],[In Stock Date]]&lt;&gt;"",Main[[#This Row],[Revised Due Date]]&lt;&gt;""),Main[[#This Row],[In Stock Date]]-Main[[#This Row],[Revised Due Date]],"")</f>
        <v/>
      </c>
      <c r="I819" s="72" t="s">
        <v>4</v>
      </c>
      <c r="J819" s="72" t="s">
        <v>4</v>
      </c>
      <c r="K819" s="72" t="s">
        <v>4</v>
      </c>
      <c r="L819" s="74"/>
      <c r="M819" s="77" t="str">
        <f>IF(Main[[#This Row],[Tech Start Date]]&lt;1/1/1990,"",IF(Main[[#This Row],[Class]]="C",WORKDAY(Main[[#This Row],[Tech Start Date]],9),IF(Main[[#This Row],[Class]]="B", WORKDAY(Main[[#This Row],[Tech Start Date]],6),IF(Main[[#This Row],[Class]]="A",WORKDAY(Main[[#This Row],[Tech Start Date]],2),""))))</f>
        <v/>
      </c>
      <c r="N819" s="77" t="str">
        <f>IF(Main[[#This Row],[Tech Start Date]]&lt;1/1/1990,"",IF(Main[[#This Row],[Class]]="C",WORKDAY(Main[[#This Row],[Tech Start Date]],19),IF(Main[[#This Row],[Class]]="B", WORKDAY(Main[[#This Row],[Tech Start Date]],12),IF(Main[[#This Row],[Class]]="A",WORKDAY(Main[[#This Row],[Tech Start Date]],4),""))))</f>
        <v/>
      </c>
      <c r="O819" s="77" t="str">
        <f>IF(Main[[#This Row],[Tech Start Date]]&lt;1/1/1990,"",IF(Main[[#This Row],[Class]]="C",WORKDAY(Main[[#This Row],[Tech Start Date]],23),IF(Main[[#This Row],[Class]]="B", WORKDAY(Main[[#This Row],[Tech Start Date]],15),IF(Main[[#This Row],[Class]]="A",WORKDAY(Main[[#This Row],[Tech Start Date]],5),""))))</f>
        <v/>
      </c>
      <c r="P819" s="77" t="str">
        <f>IF(Main[[#This Row],[Tech Start Date]]&lt;1/1/1990,"",IF(Main[[#This Row],[Class]]="C",WORKDAY(Main[[#This Row],[Tech Start Date]],28),IF(Main[[#This Row],[Class]]="B", WORKDAY(Main[[#This Row],[Tech Start Date]],19),IF(Main[[#This Row],[Class]]="A",WORKDAY(Main[[#This Row],[Tech Start Date]],9),""))))</f>
        <v/>
      </c>
      <c r="Q819" s="74"/>
      <c r="R819" s="74"/>
      <c r="S819" s="72" t="s">
        <v>49</v>
      </c>
      <c r="T819" s="80" t="s">
        <v>4</v>
      </c>
      <c r="U819" s="72" t="s">
        <v>14</v>
      </c>
      <c r="V819" s="72" t="s">
        <v>1917</v>
      </c>
      <c r="W819" s="72" t="s">
        <v>1921</v>
      </c>
      <c r="X819" s="72" t="s">
        <v>306</v>
      </c>
      <c r="Y819" s="72" t="s">
        <v>4</v>
      </c>
      <c r="Z819" s="72" t="s">
        <v>4</v>
      </c>
      <c r="AA819" s="146" t="s">
        <v>4</v>
      </c>
    </row>
    <row r="820" spans="1:27" ht="18.600000000000001" customHeight="1">
      <c r="A820" s="139" t="str">
        <f>IF(priority(Main[[#This Row],[Comments]])&lt;&gt;0, priority(Main[[#This Row],[Comments]]),"")</f>
        <v/>
      </c>
      <c r="B820" s="89" t="s">
        <v>1626</v>
      </c>
      <c r="C820" s="72" t="s">
        <v>4</v>
      </c>
      <c r="D820" s="73" t="s">
        <v>701</v>
      </c>
      <c r="E820" s="74"/>
      <c r="F820" s="74"/>
      <c r="G820" s="75" t="str">
        <f>IF(stdProdLT(Main[[#This Row],[Comments]])=0.1,"N/A",IF(stdProdLT(Main[[#This Row],[Comments]])=0,"",stdProdLT(Main[[#This Row],[Comments]])))</f>
        <v/>
      </c>
      <c r="H820" s="76" t="str">
        <f>IF(AND(Main[[#This Row],[In Stock Date]]&lt;&gt;"",Main[[#This Row],[Revised Due Date]]&lt;&gt;""),Main[[#This Row],[In Stock Date]]-Main[[#This Row],[Revised Due Date]],"")</f>
        <v/>
      </c>
      <c r="I820" s="72" t="s">
        <v>4</v>
      </c>
      <c r="J820" s="72" t="s">
        <v>4</v>
      </c>
      <c r="K820" s="72" t="s">
        <v>4</v>
      </c>
      <c r="L820" s="74"/>
      <c r="M820" s="77" t="str">
        <f>IF(Main[[#This Row],[Tech Start Date]]&lt;1/1/1990,"",IF(Main[[#This Row],[Class]]="C",WORKDAY(Main[[#This Row],[Tech Start Date]],9),IF(Main[[#This Row],[Class]]="B", WORKDAY(Main[[#This Row],[Tech Start Date]],6),IF(Main[[#This Row],[Class]]="A",WORKDAY(Main[[#This Row],[Tech Start Date]],2),""))))</f>
        <v/>
      </c>
      <c r="N820" s="77" t="str">
        <f>IF(Main[[#This Row],[Tech Start Date]]&lt;1/1/1990,"",IF(Main[[#This Row],[Class]]="C",WORKDAY(Main[[#This Row],[Tech Start Date]],19),IF(Main[[#This Row],[Class]]="B", WORKDAY(Main[[#This Row],[Tech Start Date]],12),IF(Main[[#This Row],[Class]]="A",WORKDAY(Main[[#This Row],[Tech Start Date]],4),""))))</f>
        <v/>
      </c>
      <c r="O820" s="77" t="str">
        <f>IF(Main[[#This Row],[Tech Start Date]]&lt;1/1/1990,"",IF(Main[[#This Row],[Class]]="C",WORKDAY(Main[[#This Row],[Tech Start Date]],23),IF(Main[[#This Row],[Class]]="B", WORKDAY(Main[[#This Row],[Tech Start Date]],15),IF(Main[[#This Row],[Class]]="A",WORKDAY(Main[[#This Row],[Tech Start Date]],5),""))))</f>
        <v/>
      </c>
      <c r="P820" s="77" t="str">
        <f>IF(Main[[#This Row],[Tech Start Date]]&lt;1/1/1990,"",IF(Main[[#This Row],[Class]]="C",WORKDAY(Main[[#This Row],[Tech Start Date]],28),IF(Main[[#This Row],[Class]]="B", WORKDAY(Main[[#This Row],[Tech Start Date]],19),IF(Main[[#This Row],[Class]]="A",WORKDAY(Main[[#This Row],[Tech Start Date]],9),""))))</f>
        <v/>
      </c>
      <c r="Q820" s="74"/>
      <c r="R820" s="74"/>
      <c r="S820" s="72" t="s">
        <v>11</v>
      </c>
      <c r="T820" s="80" t="s">
        <v>4</v>
      </c>
      <c r="U820" s="72" t="s">
        <v>14</v>
      </c>
      <c r="V820" s="72" t="s">
        <v>1920</v>
      </c>
      <c r="W820" s="72" t="s">
        <v>1925</v>
      </c>
      <c r="X820" s="72" t="s">
        <v>306</v>
      </c>
      <c r="Y820" s="72" t="s">
        <v>4</v>
      </c>
      <c r="Z820" s="72" t="s">
        <v>4</v>
      </c>
      <c r="AA820" s="146" t="s">
        <v>4</v>
      </c>
    </row>
    <row r="821" spans="1:27" ht="18.600000000000001" customHeight="1">
      <c r="A821" s="139" t="str">
        <f>IF(priority(Main[[#This Row],[Comments]])&lt;&gt;0, priority(Main[[#This Row],[Comments]]),"")</f>
        <v/>
      </c>
      <c r="B821" s="89" t="s">
        <v>1627</v>
      </c>
      <c r="C821" s="72" t="s">
        <v>211</v>
      </c>
      <c r="D821" s="73" t="s">
        <v>212</v>
      </c>
      <c r="E821" s="74"/>
      <c r="F821" s="74">
        <v>40452</v>
      </c>
      <c r="G821" s="75" t="str">
        <f>IF(stdProdLT(Main[[#This Row],[Comments]])=0.1,"N/A",IF(stdProdLT(Main[[#This Row],[Comments]])=0,"",stdProdLT(Main[[#This Row],[Comments]])))</f>
        <v/>
      </c>
      <c r="H821" s="76" t="str">
        <f>IF(AND(Main[[#This Row],[In Stock Date]]&lt;&gt;"",Main[[#This Row],[Revised Due Date]]&lt;&gt;""),Main[[#This Row],[In Stock Date]]-Main[[#This Row],[Revised Due Date]],"")</f>
        <v/>
      </c>
      <c r="I821" s="72" t="s">
        <v>4</v>
      </c>
      <c r="J821" s="72" t="s">
        <v>4</v>
      </c>
      <c r="K821" s="81" t="s">
        <v>4</v>
      </c>
      <c r="L821" s="74"/>
      <c r="M821" s="77" t="str">
        <f>IF(Main[[#This Row],[Tech Start Date]]&lt;1/1/1990,"",IF(Main[[#This Row],[Class]]="C",WORKDAY(Main[[#This Row],[Tech Start Date]],9),IF(Main[[#This Row],[Class]]="B", WORKDAY(Main[[#This Row],[Tech Start Date]],6),IF(Main[[#This Row],[Class]]="A",WORKDAY(Main[[#This Row],[Tech Start Date]],2),""))))</f>
        <v/>
      </c>
      <c r="N821" s="77" t="str">
        <f>IF(Main[[#This Row],[Tech Start Date]]&lt;1/1/1990,"",IF(Main[[#This Row],[Class]]="C",WORKDAY(Main[[#This Row],[Tech Start Date]],19),IF(Main[[#This Row],[Class]]="B", WORKDAY(Main[[#This Row],[Tech Start Date]],12),IF(Main[[#This Row],[Class]]="A",WORKDAY(Main[[#This Row],[Tech Start Date]],4),""))))</f>
        <v/>
      </c>
      <c r="O821" s="77" t="str">
        <f>IF(Main[[#This Row],[Tech Start Date]]&lt;1/1/1990,"",IF(Main[[#This Row],[Class]]="C",WORKDAY(Main[[#This Row],[Tech Start Date]],23),IF(Main[[#This Row],[Class]]="B", WORKDAY(Main[[#This Row],[Tech Start Date]],15),IF(Main[[#This Row],[Class]]="A",WORKDAY(Main[[#This Row],[Tech Start Date]],5),""))))</f>
        <v/>
      </c>
      <c r="P821" s="77" t="str">
        <f>IF(Main[[#This Row],[Tech Start Date]]&lt;1/1/1990,"",IF(Main[[#This Row],[Class]]="C",WORKDAY(Main[[#This Row],[Tech Start Date]],28),IF(Main[[#This Row],[Class]]="B", WORKDAY(Main[[#This Row],[Tech Start Date]],19),IF(Main[[#This Row],[Class]]="A",WORKDAY(Main[[#This Row],[Tech Start Date]],9),""))))</f>
        <v/>
      </c>
      <c r="Q821" s="74">
        <v>40357</v>
      </c>
      <c r="R821" s="74"/>
      <c r="S821" s="72" t="s">
        <v>11</v>
      </c>
      <c r="T821" s="80" t="s">
        <v>4</v>
      </c>
      <c r="U821" s="72" t="s">
        <v>12</v>
      </c>
      <c r="V821" s="72" t="s">
        <v>1917</v>
      </c>
      <c r="W821" s="72" t="s">
        <v>1925</v>
      </c>
      <c r="X821" s="72" t="s">
        <v>2839</v>
      </c>
      <c r="Y821" s="72" t="s">
        <v>4</v>
      </c>
      <c r="Z821" s="72" t="s">
        <v>4</v>
      </c>
      <c r="AA821" s="146" t="s">
        <v>2839</v>
      </c>
    </row>
    <row r="822" spans="1:27" ht="18.600000000000001" customHeight="1">
      <c r="A822" s="139" t="str">
        <f>IF(priority(Main[[#This Row],[Comments]])&lt;&gt;0, priority(Main[[#This Row],[Comments]]),"")</f>
        <v/>
      </c>
      <c r="B822" s="89" t="s">
        <v>2231</v>
      </c>
      <c r="C822" s="72" t="s">
        <v>4</v>
      </c>
      <c r="D822" s="73" t="s">
        <v>2232</v>
      </c>
      <c r="E822" s="74">
        <v>40802.257071759261</v>
      </c>
      <c r="F822" s="74"/>
      <c r="G822" s="75" t="str">
        <f>IF(stdProdLT(Main[[#This Row],[Comments]])=0.1,"N/A",IF(stdProdLT(Main[[#This Row],[Comments]])=0,"",stdProdLT(Main[[#This Row],[Comments]])))</f>
        <v/>
      </c>
      <c r="H822" s="76" t="str">
        <f>IF(AND(Main[[#This Row],[In Stock Date]]&lt;&gt;"",Main[[#This Row],[Revised Due Date]]&lt;&gt;""),Main[[#This Row],[In Stock Date]]-Main[[#This Row],[Revised Due Date]],"")</f>
        <v/>
      </c>
      <c r="I822" s="72" t="s">
        <v>4</v>
      </c>
      <c r="J822" s="72" t="s">
        <v>4</v>
      </c>
      <c r="K822" s="72" t="s">
        <v>4</v>
      </c>
      <c r="L822" s="74"/>
      <c r="M822" s="77" t="str">
        <f>IF(Main[[#This Row],[Tech Start Date]]&lt;1/1/1990,"",IF(Main[[#This Row],[Class]]="C",WORKDAY(Main[[#This Row],[Tech Start Date]],9),IF(Main[[#This Row],[Class]]="B", WORKDAY(Main[[#This Row],[Tech Start Date]],6),IF(Main[[#This Row],[Class]]="A",WORKDAY(Main[[#This Row],[Tech Start Date]],2),""))))</f>
        <v/>
      </c>
      <c r="N822" s="77" t="str">
        <f>IF(Main[[#This Row],[Tech Start Date]]&lt;1/1/1990,"",IF(Main[[#This Row],[Class]]="C",WORKDAY(Main[[#This Row],[Tech Start Date]],19),IF(Main[[#This Row],[Class]]="B", WORKDAY(Main[[#This Row],[Tech Start Date]],12),IF(Main[[#This Row],[Class]]="A",WORKDAY(Main[[#This Row],[Tech Start Date]],4),""))))</f>
        <v/>
      </c>
      <c r="O822" s="77" t="str">
        <f>IF(Main[[#This Row],[Tech Start Date]]&lt;1/1/1990,"",IF(Main[[#This Row],[Class]]="C",WORKDAY(Main[[#This Row],[Tech Start Date]],23),IF(Main[[#This Row],[Class]]="B", WORKDAY(Main[[#This Row],[Tech Start Date]],15),IF(Main[[#This Row],[Class]]="A",WORKDAY(Main[[#This Row],[Tech Start Date]],5),""))))</f>
        <v/>
      </c>
      <c r="P822" s="77" t="str">
        <f>IF(Main[[#This Row],[Tech Start Date]]&lt;1/1/1990,"",IF(Main[[#This Row],[Class]]="C",WORKDAY(Main[[#This Row],[Tech Start Date]],28),IF(Main[[#This Row],[Class]]="B", WORKDAY(Main[[#This Row],[Tech Start Date]],19),IF(Main[[#This Row],[Class]]="A",WORKDAY(Main[[#This Row],[Tech Start Date]],9),""))))</f>
        <v/>
      </c>
      <c r="Q822" s="74">
        <v>40816</v>
      </c>
      <c r="R822" s="74"/>
      <c r="S822" s="72" t="s">
        <v>6</v>
      </c>
      <c r="T822" s="80" t="s">
        <v>4</v>
      </c>
      <c r="U822" s="72" t="s">
        <v>7</v>
      </c>
      <c r="V822" s="72" t="s">
        <v>1917</v>
      </c>
      <c r="W822" s="72" t="s">
        <v>1925</v>
      </c>
      <c r="X822" s="72" t="s">
        <v>2827</v>
      </c>
      <c r="Y822" s="72" t="s">
        <v>2942</v>
      </c>
      <c r="Z822" s="72" t="s">
        <v>4</v>
      </c>
      <c r="AA822" s="146" t="s">
        <v>2827</v>
      </c>
    </row>
    <row r="823" spans="1:27" ht="18.600000000000001" customHeight="1">
      <c r="A823" s="139" t="str">
        <f>IF(priority(Main[[#This Row],[Comments]])&lt;&gt;0, priority(Main[[#This Row],[Comments]]),"")</f>
        <v/>
      </c>
      <c r="B823" s="89" t="s">
        <v>1629</v>
      </c>
      <c r="C823" s="72" t="s">
        <v>347</v>
      </c>
      <c r="D823" s="73" t="s">
        <v>703</v>
      </c>
      <c r="E823" s="74"/>
      <c r="F823" s="74">
        <v>40664</v>
      </c>
      <c r="G823" s="75" t="str">
        <f>IF(stdProdLT(Main[[#This Row],[Comments]])=0.1,"N/A",IF(stdProdLT(Main[[#This Row],[Comments]])=0,"",stdProdLT(Main[[#This Row],[Comments]])))</f>
        <v/>
      </c>
      <c r="H823" s="76" t="str">
        <f>IF(AND(Main[[#This Row],[In Stock Date]]&lt;&gt;"",Main[[#This Row],[Revised Due Date]]&lt;&gt;""),Main[[#This Row],[In Stock Date]]-Main[[#This Row],[Revised Due Date]],"")</f>
        <v/>
      </c>
      <c r="I823" s="72" t="s">
        <v>399</v>
      </c>
      <c r="J823" s="72" t="s">
        <v>75</v>
      </c>
      <c r="K823" s="72" t="s">
        <v>1924</v>
      </c>
      <c r="L823" s="74"/>
      <c r="M823" s="77" t="str">
        <f>IF(Main[[#This Row],[Tech Start Date]]&lt;1/1/1990,"",IF(Main[[#This Row],[Class]]="C",WORKDAY(Main[[#This Row],[Tech Start Date]],9),IF(Main[[#This Row],[Class]]="B", WORKDAY(Main[[#This Row],[Tech Start Date]],6),IF(Main[[#This Row],[Class]]="A",WORKDAY(Main[[#This Row],[Tech Start Date]],2),""))))</f>
        <v/>
      </c>
      <c r="N823" s="77" t="str">
        <f>IF(Main[[#This Row],[Tech Start Date]]&lt;1/1/1990,"",IF(Main[[#This Row],[Class]]="C",WORKDAY(Main[[#This Row],[Tech Start Date]],19),IF(Main[[#This Row],[Class]]="B", WORKDAY(Main[[#This Row],[Tech Start Date]],12),IF(Main[[#This Row],[Class]]="A",WORKDAY(Main[[#This Row],[Tech Start Date]],4),""))))</f>
        <v/>
      </c>
      <c r="O823" s="77" t="str">
        <f>IF(Main[[#This Row],[Tech Start Date]]&lt;1/1/1990,"",IF(Main[[#This Row],[Class]]="C",WORKDAY(Main[[#This Row],[Tech Start Date]],23),IF(Main[[#This Row],[Class]]="B", WORKDAY(Main[[#This Row],[Tech Start Date]],15),IF(Main[[#This Row],[Class]]="A",WORKDAY(Main[[#This Row],[Tech Start Date]],5),""))))</f>
        <v/>
      </c>
      <c r="P823" s="77" t="str">
        <f>IF(Main[[#This Row],[Tech Start Date]]&lt;1/1/1990,"",IF(Main[[#This Row],[Class]]="C",WORKDAY(Main[[#This Row],[Tech Start Date]],28),IF(Main[[#This Row],[Class]]="B", WORKDAY(Main[[#This Row],[Tech Start Date]],19),IF(Main[[#This Row],[Class]]="A",WORKDAY(Main[[#This Row],[Tech Start Date]],9),""))))</f>
        <v/>
      </c>
      <c r="Q823" s="74"/>
      <c r="R823" s="154"/>
      <c r="S823" s="72" t="s">
        <v>11</v>
      </c>
      <c r="T823" s="80" t="s">
        <v>4</v>
      </c>
      <c r="U823" s="72" t="s">
        <v>14</v>
      </c>
      <c r="V823" s="72" t="s">
        <v>1920</v>
      </c>
      <c r="W823" s="72" t="s">
        <v>1923</v>
      </c>
      <c r="X823" s="72" t="s">
        <v>50</v>
      </c>
      <c r="Y823" s="72" t="s">
        <v>3099</v>
      </c>
      <c r="Z823" s="72" t="s">
        <v>306</v>
      </c>
      <c r="AA823" s="146" t="s">
        <v>2878</v>
      </c>
    </row>
    <row r="824" spans="1:27" ht="18.600000000000001" customHeight="1">
      <c r="A824" s="139" t="str">
        <f>IF(priority(Main[[#This Row],[Comments]])&lt;&gt;0, priority(Main[[#This Row],[Comments]]),"")</f>
        <v/>
      </c>
      <c r="B824" s="89" t="s">
        <v>1630</v>
      </c>
      <c r="C824" s="72" t="s">
        <v>4</v>
      </c>
      <c r="D824" s="73" t="s">
        <v>97</v>
      </c>
      <c r="E824" s="74"/>
      <c r="F824" s="74"/>
      <c r="G824" s="75" t="str">
        <f>IF(stdProdLT(Main[[#This Row],[Comments]])=0.1,"N/A",IF(stdProdLT(Main[[#This Row],[Comments]])=0,"",stdProdLT(Main[[#This Row],[Comments]])))</f>
        <v/>
      </c>
      <c r="H824" s="76" t="str">
        <f>IF(AND(Main[[#This Row],[In Stock Date]]&lt;&gt;"",Main[[#This Row],[Revised Due Date]]&lt;&gt;""),Main[[#This Row],[In Stock Date]]-Main[[#This Row],[Revised Due Date]],"")</f>
        <v/>
      </c>
      <c r="I824" s="72" t="s">
        <v>4</v>
      </c>
      <c r="J824" s="72" t="s">
        <v>4</v>
      </c>
      <c r="K824" s="72" t="s">
        <v>4</v>
      </c>
      <c r="L824" s="74"/>
      <c r="M824" s="77" t="str">
        <f>IF(Main[[#This Row],[Tech Start Date]]&lt;1/1/1990,"",IF(Main[[#This Row],[Class]]="C",WORKDAY(Main[[#This Row],[Tech Start Date]],9),IF(Main[[#This Row],[Class]]="B", WORKDAY(Main[[#This Row],[Tech Start Date]],6),IF(Main[[#This Row],[Class]]="A",WORKDAY(Main[[#This Row],[Tech Start Date]],2),""))))</f>
        <v/>
      </c>
      <c r="N824" s="77" t="str">
        <f>IF(Main[[#This Row],[Tech Start Date]]&lt;1/1/1990,"",IF(Main[[#This Row],[Class]]="C",WORKDAY(Main[[#This Row],[Tech Start Date]],19),IF(Main[[#This Row],[Class]]="B", WORKDAY(Main[[#This Row],[Tech Start Date]],12),IF(Main[[#This Row],[Class]]="A",WORKDAY(Main[[#This Row],[Tech Start Date]],4),""))))</f>
        <v/>
      </c>
      <c r="O824" s="77" t="str">
        <f>IF(Main[[#This Row],[Tech Start Date]]&lt;1/1/1990,"",IF(Main[[#This Row],[Class]]="C",WORKDAY(Main[[#This Row],[Tech Start Date]],23),IF(Main[[#This Row],[Class]]="B", WORKDAY(Main[[#This Row],[Tech Start Date]],15),IF(Main[[#This Row],[Class]]="A",WORKDAY(Main[[#This Row],[Tech Start Date]],5),""))))</f>
        <v/>
      </c>
      <c r="P824" s="77" t="str">
        <f>IF(Main[[#This Row],[Tech Start Date]]&lt;1/1/1990,"",IF(Main[[#This Row],[Class]]="C",WORKDAY(Main[[#This Row],[Tech Start Date]],28),IF(Main[[#This Row],[Class]]="B", WORKDAY(Main[[#This Row],[Tech Start Date]],19),IF(Main[[#This Row],[Class]]="A",WORKDAY(Main[[#This Row],[Tech Start Date]],9),""))))</f>
        <v/>
      </c>
      <c r="Q824" s="74">
        <v>40858</v>
      </c>
      <c r="R824" s="74"/>
      <c r="S824" s="72" t="s">
        <v>17</v>
      </c>
      <c r="T824" s="80" t="s">
        <v>4</v>
      </c>
      <c r="U824" s="72" t="s">
        <v>14</v>
      </c>
      <c r="V824" s="72" t="s">
        <v>1917</v>
      </c>
      <c r="W824" s="72" t="s">
        <v>1922</v>
      </c>
      <c r="X824" s="72" t="s">
        <v>50</v>
      </c>
      <c r="Y824" s="72" t="s">
        <v>2965</v>
      </c>
      <c r="Z824" s="72" t="s">
        <v>4</v>
      </c>
      <c r="AA824" s="146" t="s">
        <v>2834</v>
      </c>
    </row>
    <row r="825" spans="1:27" ht="18.600000000000001" customHeight="1">
      <c r="A825" s="139" t="str">
        <f>IF(priority(Main[[#This Row],[Comments]])&lt;&gt;0, priority(Main[[#This Row],[Comments]]),"")</f>
        <v/>
      </c>
      <c r="B825" s="89" t="s">
        <v>1631</v>
      </c>
      <c r="C825" s="72" t="s">
        <v>4</v>
      </c>
      <c r="D825" s="73" t="s">
        <v>97</v>
      </c>
      <c r="E825" s="74"/>
      <c r="F825" s="74"/>
      <c r="G825" s="75" t="str">
        <f>IF(stdProdLT(Main[[#This Row],[Comments]])=0.1,"N/A",IF(stdProdLT(Main[[#This Row],[Comments]])=0,"",stdProdLT(Main[[#This Row],[Comments]])))</f>
        <v/>
      </c>
      <c r="H825" s="76" t="str">
        <f>IF(AND(Main[[#This Row],[In Stock Date]]&lt;&gt;"",Main[[#This Row],[Revised Due Date]]&lt;&gt;""),Main[[#This Row],[In Stock Date]]-Main[[#This Row],[Revised Due Date]],"")</f>
        <v/>
      </c>
      <c r="I825" s="72" t="s">
        <v>4</v>
      </c>
      <c r="J825" s="72" t="s">
        <v>4</v>
      </c>
      <c r="K825" s="72" t="s">
        <v>4</v>
      </c>
      <c r="L825" s="74"/>
      <c r="M825" s="77" t="str">
        <f>IF(Main[[#This Row],[Tech Start Date]]&lt;1/1/1990,"",IF(Main[[#This Row],[Class]]="C",WORKDAY(Main[[#This Row],[Tech Start Date]],9),IF(Main[[#This Row],[Class]]="B", WORKDAY(Main[[#This Row],[Tech Start Date]],6),IF(Main[[#This Row],[Class]]="A",WORKDAY(Main[[#This Row],[Tech Start Date]],2),""))))</f>
        <v/>
      </c>
      <c r="N825" s="77" t="str">
        <f>IF(Main[[#This Row],[Tech Start Date]]&lt;1/1/1990,"",IF(Main[[#This Row],[Class]]="C",WORKDAY(Main[[#This Row],[Tech Start Date]],19),IF(Main[[#This Row],[Class]]="B", WORKDAY(Main[[#This Row],[Tech Start Date]],12),IF(Main[[#This Row],[Class]]="A",WORKDAY(Main[[#This Row],[Tech Start Date]],4),""))))</f>
        <v/>
      </c>
      <c r="O825" s="77" t="str">
        <f>IF(Main[[#This Row],[Tech Start Date]]&lt;1/1/1990,"",IF(Main[[#This Row],[Class]]="C",WORKDAY(Main[[#This Row],[Tech Start Date]],23),IF(Main[[#This Row],[Class]]="B", WORKDAY(Main[[#This Row],[Tech Start Date]],15),IF(Main[[#This Row],[Class]]="A",WORKDAY(Main[[#This Row],[Tech Start Date]],5),""))))</f>
        <v/>
      </c>
      <c r="P825" s="77" t="str">
        <f>IF(Main[[#This Row],[Tech Start Date]]&lt;1/1/1990,"",IF(Main[[#This Row],[Class]]="C",WORKDAY(Main[[#This Row],[Tech Start Date]],28),IF(Main[[#This Row],[Class]]="B", WORKDAY(Main[[#This Row],[Tech Start Date]],19),IF(Main[[#This Row],[Class]]="A",WORKDAY(Main[[#This Row],[Tech Start Date]],9),""))))</f>
        <v/>
      </c>
      <c r="Q825" s="74">
        <v>40858</v>
      </c>
      <c r="R825" s="74"/>
      <c r="S825" s="72" t="s">
        <v>17</v>
      </c>
      <c r="T825" s="80" t="s">
        <v>4</v>
      </c>
      <c r="U825" s="72" t="s">
        <v>12</v>
      </c>
      <c r="V825" s="72" t="s">
        <v>1917</v>
      </c>
      <c r="W825" s="72" t="s">
        <v>1922</v>
      </c>
      <c r="X825" s="72" t="s">
        <v>50</v>
      </c>
      <c r="Y825" s="72" t="s">
        <v>2965</v>
      </c>
      <c r="Z825" s="72" t="s">
        <v>4</v>
      </c>
      <c r="AA825" s="146" t="s">
        <v>2834</v>
      </c>
    </row>
    <row r="826" spans="1:27" ht="18.600000000000001" customHeight="1">
      <c r="A826" s="139" t="str">
        <f>IF(priority(Main[[#This Row],[Comments]])&lt;&gt;0, priority(Main[[#This Row],[Comments]]),"")</f>
        <v/>
      </c>
      <c r="B826" s="123" t="s">
        <v>1632</v>
      </c>
      <c r="C826" s="116" t="s">
        <v>4</v>
      </c>
      <c r="D826" s="117" t="s">
        <v>704</v>
      </c>
      <c r="E826" s="118">
        <v>40455.919641203705</v>
      </c>
      <c r="F826" s="118"/>
      <c r="G826" s="119" t="str">
        <f>IF(stdProdLT(Main[[#This Row],[Comments]])=0.1,"N/A",IF(stdProdLT(Main[[#This Row],[Comments]])=0,"",stdProdLT(Main[[#This Row],[Comments]])))</f>
        <v/>
      </c>
      <c r="H826" s="120" t="str">
        <f>IF(AND(Main[[#This Row],[In Stock Date]]&lt;&gt;"",Main[[#This Row],[Revised Due Date]]&lt;&gt;""),Main[[#This Row],[In Stock Date]]-Main[[#This Row],[Revised Due Date]],"")</f>
        <v/>
      </c>
      <c r="I826" s="116" t="s">
        <v>4</v>
      </c>
      <c r="J826" s="116" t="s">
        <v>28</v>
      </c>
      <c r="K826" s="116" t="s">
        <v>1929</v>
      </c>
      <c r="L826" s="118"/>
      <c r="M826" s="121" t="str">
        <f>IF(Main[[#This Row],[Tech Start Date]]&lt;1/1/1990,"",IF(Main[[#This Row],[Class]]="C",WORKDAY(Main[[#This Row],[Tech Start Date]],9),IF(Main[[#This Row],[Class]]="B", WORKDAY(Main[[#This Row],[Tech Start Date]],6),IF(Main[[#This Row],[Class]]="A",WORKDAY(Main[[#This Row],[Tech Start Date]],2),""))))</f>
        <v/>
      </c>
      <c r="N826" s="121" t="str">
        <f>IF(Main[[#This Row],[Tech Start Date]]&lt;1/1/1990,"",IF(Main[[#This Row],[Class]]="C",WORKDAY(Main[[#This Row],[Tech Start Date]],19),IF(Main[[#This Row],[Class]]="B", WORKDAY(Main[[#This Row],[Tech Start Date]],12),IF(Main[[#This Row],[Class]]="A",WORKDAY(Main[[#This Row],[Tech Start Date]],4),""))))</f>
        <v/>
      </c>
      <c r="O826" s="121" t="str">
        <f>IF(Main[[#This Row],[Tech Start Date]]&lt;1/1/1990,"",IF(Main[[#This Row],[Class]]="C",WORKDAY(Main[[#This Row],[Tech Start Date]],23),IF(Main[[#This Row],[Class]]="B", WORKDAY(Main[[#This Row],[Tech Start Date]],15),IF(Main[[#This Row],[Class]]="A",WORKDAY(Main[[#This Row],[Tech Start Date]],5),""))))</f>
        <v/>
      </c>
      <c r="P826" s="121" t="str">
        <f>IF(Main[[#This Row],[Tech Start Date]]&lt;1/1/1990,"",IF(Main[[#This Row],[Class]]="C",WORKDAY(Main[[#This Row],[Tech Start Date]],28),IF(Main[[#This Row],[Class]]="B", WORKDAY(Main[[#This Row],[Tech Start Date]],19),IF(Main[[#This Row],[Class]]="A",WORKDAY(Main[[#This Row],[Tech Start Date]],9),""))))</f>
        <v/>
      </c>
      <c r="Q826" s="118">
        <v>40543</v>
      </c>
      <c r="R826" s="118"/>
      <c r="S826" s="116" t="s">
        <v>17</v>
      </c>
      <c r="T826" s="122" t="s">
        <v>4</v>
      </c>
      <c r="U826" s="116" t="s">
        <v>7</v>
      </c>
      <c r="V826" s="116" t="s">
        <v>1917</v>
      </c>
      <c r="W826" s="116" t="s">
        <v>1921</v>
      </c>
      <c r="X826" s="116" t="s">
        <v>129</v>
      </c>
      <c r="Y826" s="116" t="s">
        <v>2939</v>
      </c>
      <c r="Z826" s="116" t="s">
        <v>129</v>
      </c>
      <c r="AA826" s="146" t="s">
        <v>129</v>
      </c>
    </row>
    <row r="827" spans="1:27" ht="18.600000000000001" customHeight="1">
      <c r="A827" s="139" t="str">
        <f>IF(priority(Main[[#This Row],[Comments]])&lt;&gt;0, priority(Main[[#This Row],[Comments]]),"")</f>
        <v/>
      </c>
      <c r="B827" s="89" t="s">
        <v>1633</v>
      </c>
      <c r="C827" s="72" t="s">
        <v>4</v>
      </c>
      <c r="D827" s="73" t="s">
        <v>705</v>
      </c>
      <c r="E827" s="74">
        <v>40711.477789351855</v>
      </c>
      <c r="F827" s="74"/>
      <c r="G827" s="75" t="str">
        <f>IF(stdProdLT(Main[[#This Row],[Comments]])=0.1,"N/A",IF(stdProdLT(Main[[#This Row],[Comments]])=0,"",stdProdLT(Main[[#This Row],[Comments]])))</f>
        <v/>
      </c>
      <c r="H827" s="76" t="str">
        <f>IF(AND(Main[[#This Row],[In Stock Date]]&lt;&gt;"",Main[[#This Row],[Revised Due Date]]&lt;&gt;""),Main[[#This Row],[In Stock Date]]-Main[[#This Row],[Revised Due Date]],"")</f>
        <v/>
      </c>
      <c r="I827" s="72" t="s">
        <v>4</v>
      </c>
      <c r="J827" s="72" t="s">
        <v>4</v>
      </c>
      <c r="K827" s="72" t="s">
        <v>4</v>
      </c>
      <c r="L827" s="74"/>
      <c r="M827" s="77" t="str">
        <f>IF(Main[[#This Row],[Tech Start Date]]&lt;1/1/1990,"",IF(Main[[#This Row],[Class]]="C",WORKDAY(Main[[#This Row],[Tech Start Date]],9),IF(Main[[#This Row],[Class]]="B", WORKDAY(Main[[#This Row],[Tech Start Date]],6),IF(Main[[#This Row],[Class]]="A",WORKDAY(Main[[#This Row],[Tech Start Date]],2),""))))</f>
        <v/>
      </c>
      <c r="N827" s="77" t="str">
        <f>IF(Main[[#This Row],[Tech Start Date]]&lt;1/1/1990,"",IF(Main[[#This Row],[Class]]="C",WORKDAY(Main[[#This Row],[Tech Start Date]],19),IF(Main[[#This Row],[Class]]="B", WORKDAY(Main[[#This Row],[Tech Start Date]],12),IF(Main[[#This Row],[Class]]="A",WORKDAY(Main[[#This Row],[Tech Start Date]],4),""))))</f>
        <v/>
      </c>
      <c r="O827" s="77" t="str">
        <f>IF(Main[[#This Row],[Tech Start Date]]&lt;1/1/1990,"",IF(Main[[#This Row],[Class]]="C",WORKDAY(Main[[#This Row],[Tech Start Date]],23),IF(Main[[#This Row],[Class]]="B", WORKDAY(Main[[#This Row],[Tech Start Date]],15),IF(Main[[#This Row],[Class]]="A",WORKDAY(Main[[#This Row],[Tech Start Date]],5),""))))</f>
        <v/>
      </c>
      <c r="P827" s="77" t="str">
        <f>IF(Main[[#This Row],[Tech Start Date]]&lt;1/1/1990,"",IF(Main[[#This Row],[Class]]="C",WORKDAY(Main[[#This Row],[Tech Start Date]],28),IF(Main[[#This Row],[Class]]="B", WORKDAY(Main[[#This Row],[Tech Start Date]],19),IF(Main[[#This Row],[Class]]="A",WORKDAY(Main[[#This Row],[Tech Start Date]],9),""))))</f>
        <v/>
      </c>
      <c r="Q827" s="74">
        <v>40753</v>
      </c>
      <c r="R827" s="74"/>
      <c r="S827" s="72" t="s">
        <v>6</v>
      </c>
      <c r="T827" s="80" t="s">
        <v>4</v>
      </c>
      <c r="U827" s="72" t="s">
        <v>7</v>
      </c>
      <c r="V827" s="72" t="s">
        <v>1917</v>
      </c>
      <c r="W827" s="72" t="s">
        <v>1925</v>
      </c>
      <c r="X827" s="72" t="s">
        <v>2827</v>
      </c>
      <c r="Y827" s="72" t="s">
        <v>2942</v>
      </c>
      <c r="Z827" s="72" t="s">
        <v>4</v>
      </c>
      <c r="AA827" s="146" t="s">
        <v>2827</v>
      </c>
    </row>
    <row r="828" spans="1:27" ht="18.600000000000001" customHeight="1">
      <c r="A828" s="139" t="str">
        <f>IF(priority(Main[[#This Row],[Comments]])&lt;&gt;0, priority(Main[[#This Row],[Comments]]),"")</f>
        <v/>
      </c>
      <c r="B828" s="89" t="s">
        <v>1635</v>
      </c>
      <c r="C828" s="72" t="s">
        <v>47</v>
      </c>
      <c r="D828" s="73" t="s">
        <v>707</v>
      </c>
      <c r="E828" s="74"/>
      <c r="F828" s="74"/>
      <c r="G828" s="75" t="str">
        <f>IF(stdProdLT(Main[[#This Row],[Comments]])=0.1,"N/A",IF(stdProdLT(Main[[#This Row],[Comments]])=0,"",stdProdLT(Main[[#This Row],[Comments]])))</f>
        <v/>
      </c>
      <c r="H828" s="76" t="str">
        <f>IF(AND(Main[[#This Row],[In Stock Date]]&lt;&gt;"",Main[[#This Row],[Revised Due Date]]&lt;&gt;""),Main[[#This Row],[In Stock Date]]-Main[[#This Row],[Revised Due Date]],"")</f>
        <v/>
      </c>
      <c r="I828" s="72" t="s">
        <v>4</v>
      </c>
      <c r="J828" s="72" t="s">
        <v>4</v>
      </c>
      <c r="K828" s="72" t="s">
        <v>4</v>
      </c>
      <c r="L828" s="74"/>
      <c r="M828" s="77" t="str">
        <f>IF(Main[[#This Row],[Tech Start Date]]&lt;1/1/1990,"",IF(Main[[#This Row],[Class]]="C",WORKDAY(Main[[#This Row],[Tech Start Date]],9),IF(Main[[#This Row],[Class]]="B", WORKDAY(Main[[#This Row],[Tech Start Date]],6),IF(Main[[#This Row],[Class]]="A",WORKDAY(Main[[#This Row],[Tech Start Date]],2),""))))</f>
        <v/>
      </c>
      <c r="N828" s="77" t="str">
        <f>IF(Main[[#This Row],[Tech Start Date]]&lt;1/1/1990,"",IF(Main[[#This Row],[Class]]="C",WORKDAY(Main[[#This Row],[Tech Start Date]],19),IF(Main[[#This Row],[Class]]="B", WORKDAY(Main[[#This Row],[Tech Start Date]],12),IF(Main[[#This Row],[Class]]="A",WORKDAY(Main[[#This Row],[Tech Start Date]],4),""))))</f>
        <v/>
      </c>
      <c r="O828" s="77" t="str">
        <f>IF(Main[[#This Row],[Tech Start Date]]&lt;1/1/1990,"",IF(Main[[#This Row],[Class]]="C",WORKDAY(Main[[#This Row],[Tech Start Date]],23),IF(Main[[#This Row],[Class]]="B", WORKDAY(Main[[#This Row],[Tech Start Date]],15),IF(Main[[#This Row],[Class]]="A",WORKDAY(Main[[#This Row],[Tech Start Date]],5),""))))</f>
        <v/>
      </c>
      <c r="P828" s="77" t="str">
        <f>IF(Main[[#This Row],[Tech Start Date]]&lt;1/1/1990,"",IF(Main[[#This Row],[Class]]="C",WORKDAY(Main[[#This Row],[Tech Start Date]],28),IF(Main[[#This Row],[Class]]="B", WORKDAY(Main[[#This Row],[Tech Start Date]],19),IF(Main[[#This Row],[Class]]="A",WORKDAY(Main[[#This Row],[Tech Start Date]],9),""))))</f>
        <v/>
      </c>
      <c r="Q828" s="74"/>
      <c r="R828" s="74"/>
      <c r="S828" s="72" t="s">
        <v>49</v>
      </c>
      <c r="T828" s="80" t="s">
        <v>4</v>
      </c>
      <c r="U828" s="72" t="s">
        <v>14</v>
      </c>
      <c r="V828" s="72" t="s">
        <v>1920</v>
      </c>
      <c r="W828" s="72" t="s">
        <v>1921</v>
      </c>
      <c r="X828" s="72" t="s">
        <v>306</v>
      </c>
      <c r="Y828" s="72" t="s">
        <v>2947</v>
      </c>
      <c r="Z828" s="72" t="s">
        <v>4</v>
      </c>
      <c r="AA828" s="146" t="s">
        <v>3388</v>
      </c>
    </row>
    <row r="829" spans="1:27" ht="18.600000000000001" customHeight="1">
      <c r="A829" s="139" t="str">
        <f>IF(priority(Main[[#This Row],[Comments]])&lt;&gt;0, priority(Main[[#This Row],[Comments]]),"")</f>
        <v/>
      </c>
      <c r="B829" s="89" t="s">
        <v>1459</v>
      </c>
      <c r="C829" s="72" t="s">
        <v>4</v>
      </c>
      <c r="D829" s="73" t="s">
        <v>524</v>
      </c>
      <c r="E829" s="74">
        <v>40926.590763888889</v>
      </c>
      <c r="F829" s="74"/>
      <c r="G829" s="75" t="str">
        <f>IF(stdProdLT(Main[[#This Row],[Comments]])=0.1,"N/A",IF(stdProdLT(Main[[#This Row],[Comments]])=0,"",stdProdLT(Main[[#This Row],[Comments]])))</f>
        <v/>
      </c>
      <c r="H829" s="76" t="str">
        <f>IF(AND(Main[[#This Row],[In Stock Date]]&lt;&gt;"",Main[[#This Row],[Revised Due Date]]&lt;&gt;""),Main[[#This Row],[In Stock Date]]-Main[[#This Row],[Revised Due Date]],"")</f>
        <v/>
      </c>
      <c r="I829" s="72" t="s">
        <v>530</v>
      </c>
      <c r="J829" s="72" t="s">
        <v>28</v>
      </c>
      <c r="K829" s="72" t="s">
        <v>1926</v>
      </c>
      <c r="L829" s="74"/>
      <c r="M829" s="77" t="str">
        <f>IF(Main[[#This Row],[Tech Start Date]]&lt;1/1/1990,"",IF(Main[[#This Row],[Class]]="C",WORKDAY(Main[[#This Row],[Tech Start Date]],9),IF(Main[[#This Row],[Class]]="B", WORKDAY(Main[[#This Row],[Tech Start Date]],6),IF(Main[[#This Row],[Class]]="A",WORKDAY(Main[[#This Row],[Tech Start Date]],2),""))))</f>
        <v/>
      </c>
      <c r="N829" s="77" t="str">
        <f>IF(Main[[#This Row],[Tech Start Date]]&lt;1/1/1990,"",IF(Main[[#This Row],[Class]]="C",WORKDAY(Main[[#This Row],[Tech Start Date]],19),IF(Main[[#This Row],[Class]]="B", WORKDAY(Main[[#This Row],[Tech Start Date]],12),IF(Main[[#This Row],[Class]]="A",WORKDAY(Main[[#This Row],[Tech Start Date]],4),""))))</f>
        <v/>
      </c>
      <c r="O829" s="77" t="str">
        <f>IF(Main[[#This Row],[Tech Start Date]]&lt;1/1/1990,"",IF(Main[[#This Row],[Class]]="C",WORKDAY(Main[[#This Row],[Tech Start Date]],23),IF(Main[[#This Row],[Class]]="B", WORKDAY(Main[[#This Row],[Tech Start Date]],15),IF(Main[[#This Row],[Class]]="A",WORKDAY(Main[[#This Row],[Tech Start Date]],5),""))))</f>
        <v/>
      </c>
      <c r="P829" s="77" t="str">
        <f>IF(Main[[#This Row],[Tech Start Date]]&lt;1/1/1990,"",IF(Main[[#This Row],[Class]]="C",WORKDAY(Main[[#This Row],[Tech Start Date]],28),IF(Main[[#This Row],[Class]]="B", WORKDAY(Main[[#This Row],[Tech Start Date]],19),IF(Main[[#This Row],[Class]]="A",WORKDAY(Main[[#This Row],[Tech Start Date]],9),""))))</f>
        <v/>
      </c>
      <c r="Q829" s="74"/>
      <c r="R829" s="74"/>
      <c r="S829" s="72" t="s">
        <v>6</v>
      </c>
      <c r="T829" s="80" t="s">
        <v>4</v>
      </c>
      <c r="U829" s="72" t="s">
        <v>29</v>
      </c>
      <c r="V829" s="72" t="s">
        <v>1920</v>
      </c>
      <c r="W829" s="72" t="s">
        <v>1921</v>
      </c>
      <c r="X829" s="72" t="s">
        <v>2825</v>
      </c>
      <c r="Y829" s="72" t="s">
        <v>2938</v>
      </c>
      <c r="Z829" s="72" t="s">
        <v>30</v>
      </c>
      <c r="AA829" s="146" t="s">
        <v>2825</v>
      </c>
    </row>
    <row r="830" spans="1:27" ht="18.600000000000001" customHeight="1">
      <c r="A830" s="139" t="str">
        <f>IF(priority(Main[[#This Row],[Comments]])&lt;&gt;0, priority(Main[[#This Row],[Comments]]),"")</f>
        <v/>
      </c>
      <c r="B830" s="89" t="s">
        <v>2050</v>
      </c>
      <c r="C830" s="72" t="s">
        <v>4</v>
      </c>
      <c r="D830" s="73" t="s">
        <v>2051</v>
      </c>
      <c r="E830" s="74">
        <v>40753.114606481482</v>
      </c>
      <c r="F830" s="74"/>
      <c r="G830" s="75" t="str">
        <f>IF(stdProdLT(Main[[#This Row],[Comments]])=0.1,"N/A",IF(stdProdLT(Main[[#This Row],[Comments]])=0,"",stdProdLT(Main[[#This Row],[Comments]])))</f>
        <v/>
      </c>
      <c r="H830" s="76" t="str">
        <f>IF(AND(Main[[#This Row],[In Stock Date]]&lt;&gt;"",Main[[#This Row],[Revised Due Date]]&lt;&gt;""),Main[[#This Row],[In Stock Date]]-Main[[#This Row],[Revised Due Date]],"")</f>
        <v/>
      </c>
      <c r="I830" s="72" t="s">
        <v>4</v>
      </c>
      <c r="J830" s="72" t="s">
        <v>4</v>
      </c>
      <c r="K830" s="72" t="s">
        <v>4</v>
      </c>
      <c r="L830" s="74"/>
      <c r="M830" s="77" t="str">
        <f>IF(Main[[#This Row],[Tech Start Date]]&lt;1/1/1990,"",IF(Main[[#This Row],[Class]]="C",WORKDAY(Main[[#This Row],[Tech Start Date]],9),IF(Main[[#This Row],[Class]]="B", WORKDAY(Main[[#This Row],[Tech Start Date]],6),IF(Main[[#This Row],[Class]]="A",WORKDAY(Main[[#This Row],[Tech Start Date]],2),""))))</f>
        <v/>
      </c>
      <c r="N830" s="77" t="str">
        <f>IF(Main[[#This Row],[Tech Start Date]]&lt;1/1/1990,"",IF(Main[[#This Row],[Class]]="C",WORKDAY(Main[[#This Row],[Tech Start Date]],19),IF(Main[[#This Row],[Class]]="B", WORKDAY(Main[[#This Row],[Tech Start Date]],12),IF(Main[[#This Row],[Class]]="A",WORKDAY(Main[[#This Row],[Tech Start Date]],4),""))))</f>
        <v/>
      </c>
      <c r="O830" s="77" t="str">
        <f>IF(Main[[#This Row],[Tech Start Date]]&lt;1/1/1990,"",IF(Main[[#This Row],[Class]]="C",WORKDAY(Main[[#This Row],[Tech Start Date]],23),IF(Main[[#This Row],[Class]]="B", WORKDAY(Main[[#This Row],[Tech Start Date]],15),IF(Main[[#This Row],[Class]]="A",WORKDAY(Main[[#This Row],[Tech Start Date]],5),""))))</f>
        <v/>
      </c>
      <c r="P830" s="77" t="str">
        <f>IF(Main[[#This Row],[Tech Start Date]]&lt;1/1/1990,"",IF(Main[[#This Row],[Class]]="C",WORKDAY(Main[[#This Row],[Tech Start Date]],28),IF(Main[[#This Row],[Class]]="B", WORKDAY(Main[[#This Row],[Tech Start Date]],19),IF(Main[[#This Row],[Class]]="A",WORKDAY(Main[[#This Row],[Tech Start Date]],9),""))))</f>
        <v/>
      </c>
      <c r="Q830" s="74">
        <v>40786</v>
      </c>
      <c r="R830" s="74"/>
      <c r="S830" s="72" t="s">
        <v>6</v>
      </c>
      <c r="T830" s="80" t="s">
        <v>4</v>
      </c>
      <c r="U830" s="72" t="s">
        <v>7</v>
      </c>
      <c r="V830" s="72" t="s">
        <v>1917</v>
      </c>
      <c r="W830" s="72" t="s">
        <v>4</v>
      </c>
      <c r="X830" s="72" t="s">
        <v>2828</v>
      </c>
      <c r="Y830" s="72" t="s">
        <v>2944</v>
      </c>
      <c r="Z830" s="72" t="s">
        <v>4</v>
      </c>
      <c r="AA830" s="146" t="s">
        <v>2828</v>
      </c>
    </row>
    <row r="831" spans="1:27" ht="18.600000000000001" customHeight="1">
      <c r="A831" s="139" t="str">
        <f>IF(priority(Main[[#This Row],[Comments]])&lt;&gt;0, priority(Main[[#This Row],[Comments]]),"")</f>
        <v/>
      </c>
      <c r="B831" s="89" t="s">
        <v>1643</v>
      </c>
      <c r="C831" s="72" t="s">
        <v>4</v>
      </c>
      <c r="D831" s="73" t="s">
        <v>39</v>
      </c>
      <c r="E831" s="74"/>
      <c r="F831" s="74"/>
      <c r="G831" s="75" t="str">
        <f>IF(stdProdLT(Main[[#This Row],[Comments]])=0.1,"N/A",IF(stdProdLT(Main[[#This Row],[Comments]])=0,"",stdProdLT(Main[[#This Row],[Comments]])))</f>
        <v/>
      </c>
      <c r="H831" s="76" t="str">
        <f>IF(AND(Main[[#This Row],[In Stock Date]]&lt;&gt;"",Main[[#This Row],[Revised Due Date]]&lt;&gt;""),Main[[#This Row],[In Stock Date]]-Main[[#This Row],[Revised Due Date]],"")</f>
        <v/>
      </c>
      <c r="I831" s="72" t="s">
        <v>4</v>
      </c>
      <c r="J831" s="72" t="s">
        <v>4</v>
      </c>
      <c r="K831" s="72" t="s">
        <v>4</v>
      </c>
      <c r="L831" s="74"/>
      <c r="M831" s="77" t="str">
        <f>IF(Main[[#This Row],[Tech Start Date]]&lt;1/1/1990,"",IF(Main[[#This Row],[Class]]="C",WORKDAY(Main[[#This Row],[Tech Start Date]],9),IF(Main[[#This Row],[Class]]="B", WORKDAY(Main[[#This Row],[Tech Start Date]],6),IF(Main[[#This Row],[Class]]="A",WORKDAY(Main[[#This Row],[Tech Start Date]],2),""))))</f>
        <v/>
      </c>
      <c r="N831" s="77" t="str">
        <f>IF(Main[[#This Row],[Tech Start Date]]&lt;1/1/1990,"",IF(Main[[#This Row],[Class]]="C",WORKDAY(Main[[#This Row],[Tech Start Date]],19),IF(Main[[#This Row],[Class]]="B", WORKDAY(Main[[#This Row],[Tech Start Date]],12),IF(Main[[#This Row],[Class]]="A",WORKDAY(Main[[#This Row],[Tech Start Date]],4),""))))</f>
        <v/>
      </c>
      <c r="O831" s="77" t="str">
        <f>IF(Main[[#This Row],[Tech Start Date]]&lt;1/1/1990,"",IF(Main[[#This Row],[Class]]="C",WORKDAY(Main[[#This Row],[Tech Start Date]],23),IF(Main[[#This Row],[Class]]="B", WORKDAY(Main[[#This Row],[Tech Start Date]],15),IF(Main[[#This Row],[Class]]="A",WORKDAY(Main[[#This Row],[Tech Start Date]],5),""))))</f>
        <v/>
      </c>
      <c r="P831" s="77" t="str">
        <f>IF(Main[[#This Row],[Tech Start Date]]&lt;1/1/1990,"",IF(Main[[#This Row],[Class]]="C",WORKDAY(Main[[#This Row],[Tech Start Date]],28),IF(Main[[#This Row],[Class]]="B", WORKDAY(Main[[#This Row],[Tech Start Date]],19),IF(Main[[#This Row],[Class]]="A",WORKDAY(Main[[#This Row],[Tech Start Date]],9),""))))</f>
        <v/>
      </c>
      <c r="Q831" s="74">
        <v>40669</v>
      </c>
      <c r="R831" s="74"/>
      <c r="S831" s="72" t="s">
        <v>6</v>
      </c>
      <c r="T831" s="80" t="s">
        <v>4</v>
      </c>
      <c r="U831" s="72" t="s">
        <v>14</v>
      </c>
      <c r="V831" s="72" t="s">
        <v>1920</v>
      </c>
      <c r="W831" s="72" t="s">
        <v>4</v>
      </c>
      <c r="X831" s="72" t="s">
        <v>2824</v>
      </c>
      <c r="Y831" s="72" t="s">
        <v>2935</v>
      </c>
      <c r="Z831" s="72" t="s">
        <v>4</v>
      </c>
      <c r="AA831" s="146" t="s">
        <v>2824</v>
      </c>
    </row>
    <row r="832" spans="1:27" ht="18.600000000000001" customHeight="1">
      <c r="A832" s="139" t="str">
        <f>IF(priority(Main[[#This Row],[Comments]])&lt;&gt;0, priority(Main[[#This Row],[Comments]]),"")</f>
        <v/>
      </c>
      <c r="B832" s="89" t="s">
        <v>1641</v>
      </c>
      <c r="C832" s="72" t="s">
        <v>67</v>
      </c>
      <c r="D832" s="73" t="s">
        <v>711</v>
      </c>
      <c r="E832" s="74"/>
      <c r="F832" s="74">
        <v>40751</v>
      </c>
      <c r="G832" s="75" t="str">
        <f>IF(stdProdLT(Main[[#This Row],[Comments]])=0.1,"N/A",IF(stdProdLT(Main[[#This Row],[Comments]])=0,"",stdProdLT(Main[[#This Row],[Comments]])))</f>
        <v/>
      </c>
      <c r="H832" s="76" t="str">
        <f>IF(AND(Main[[#This Row],[In Stock Date]]&lt;&gt;"",Main[[#This Row],[Revised Due Date]]&lt;&gt;""),Main[[#This Row],[In Stock Date]]-Main[[#This Row],[Revised Due Date]],"")</f>
        <v/>
      </c>
      <c r="I832" s="72" t="s">
        <v>4</v>
      </c>
      <c r="J832" s="72" t="s">
        <v>28</v>
      </c>
      <c r="K832" s="72" t="s">
        <v>1929</v>
      </c>
      <c r="L832" s="74"/>
      <c r="M832" s="77" t="str">
        <f>IF(Main[[#This Row],[Tech Start Date]]&lt;1/1/1990,"",IF(Main[[#This Row],[Class]]="C",WORKDAY(Main[[#This Row],[Tech Start Date]],9),IF(Main[[#This Row],[Class]]="B", WORKDAY(Main[[#This Row],[Tech Start Date]],6),IF(Main[[#This Row],[Class]]="A",WORKDAY(Main[[#This Row],[Tech Start Date]],2),""))))</f>
        <v/>
      </c>
      <c r="N832" s="77" t="str">
        <f>IF(Main[[#This Row],[Tech Start Date]]&lt;1/1/1990,"",IF(Main[[#This Row],[Class]]="C",WORKDAY(Main[[#This Row],[Tech Start Date]],19),IF(Main[[#This Row],[Class]]="B", WORKDAY(Main[[#This Row],[Tech Start Date]],12),IF(Main[[#This Row],[Class]]="A",WORKDAY(Main[[#This Row],[Tech Start Date]],4),""))))</f>
        <v/>
      </c>
      <c r="O832" s="77" t="str">
        <f>IF(Main[[#This Row],[Tech Start Date]]&lt;1/1/1990,"",IF(Main[[#This Row],[Class]]="C",WORKDAY(Main[[#This Row],[Tech Start Date]],23),IF(Main[[#This Row],[Class]]="B", WORKDAY(Main[[#This Row],[Tech Start Date]],15),IF(Main[[#This Row],[Class]]="A",WORKDAY(Main[[#This Row],[Tech Start Date]],5),""))))</f>
        <v/>
      </c>
      <c r="P832" s="77" t="str">
        <f>IF(Main[[#This Row],[Tech Start Date]]&lt;1/1/1990,"",IF(Main[[#This Row],[Class]]="C",WORKDAY(Main[[#This Row],[Tech Start Date]],28),IF(Main[[#This Row],[Class]]="B", WORKDAY(Main[[#This Row],[Tech Start Date]],19),IF(Main[[#This Row],[Class]]="A",WORKDAY(Main[[#This Row],[Tech Start Date]],9),""))))</f>
        <v/>
      </c>
      <c r="Q832" s="74">
        <v>40581</v>
      </c>
      <c r="R832" s="74"/>
      <c r="S832" s="72" t="s">
        <v>17</v>
      </c>
      <c r="T832" s="80" t="s">
        <v>4</v>
      </c>
      <c r="U832" s="72" t="s">
        <v>14</v>
      </c>
      <c r="V832" s="72" t="s">
        <v>1920</v>
      </c>
      <c r="W832" s="72" t="s">
        <v>1923</v>
      </c>
      <c r="X832" s="72" t="s">
        <v>2835</v>
      </c>
      <c r="Y832" s="72" t="s">
        <v>2957</v>
      </c>
      <c r="Z832" s="72" t="s">
        <v>970</v>
      </c>
      <c r="AA832" s="146" t="s">
        <v>2835</v>
      </c>
    </row>
    <row r="833" spans="1:27" ht="18.600000000000001" customHeight="1">
      <c r="A833" s="139" t="str">
        <f>IF(priority(Main[[#This Row],[Comments]])&lt;&gt;0, priority(Main[[#This Row],[Comments]]),"")</f>
        <v/>
      </c>
      <c r="B833" s="89" t="s">
        <v>1512</v>
      </c>
      <c r="C833" s="72" t="s">
        <v>93</v>
      </c>
      <c r="D833" s="73" t="s">
        <v>587</v>
      </c>
      <c r="E833" s="74"/>
      <c r="F833" s="74">
        <v>40302</v>
      </c>
      <c r="G833" s="75" t="str">
        <f>IF(stdProdLT(Main[[#This Row],[Comments]])=0.1,"N/A",IF(stdProdLT(Main[[#This Row],[Comments]])=0,"",stdProdLT(Main[[#This Row],[Comments]])))</f>
        <v/>
      </c>
      <c r="H833" s="76" t="str">
        <f>IF(AND(Main[[#This Row],[In Stock Date]]&lt;&gt;"",Main[[#This Row],[Revised Due Date]]&lt;&gt;""),Main[[#This Row],[In Stock Date]]-Main[[#This Row],[Revised Due Date]],"")</f>
        <v/>
      </c>
      <c r="I833" s="72" t="s">
        <v>4</v>
      </c>
      <c r="J833" s="72" t="s">
        <v>4</v>
      </c>
      <c r="K833" s="72" t="s">
        <v>4</v>
      </c>
      <c r="L833" s="74"/>
      <c r="M833" s="77" t="str">
        <f>IF(Main[[#This Row],[Tech Start Date]]&lt;1/1/1990,"",IF(Main[[#This Row],[Class]]="C",WORKDAY(Main[[#This Row],[Tech Start Date]],9),IF(Main[[#This Row],[Class]]="B", WORKDAY(Main[[#This Row],[Tech Start Date]],6),IF(Main[[#This Row],[Class]]="A",WORKDAY(Main[[#This Row],[Tech Start Date]],2),""))))</f>
        <v/>
      </c>
      <c r="N833" s="77" t="str">
        <f>IF(Main[[#This Row],[Tech Start Date]]&lt;1/1/1990,"",IF(Main[[#This Row],[Class]]="C",WORKDAY(Main[[#This Row],[Tech Start Date]],19),IF(Main[[#This Row],[Class]]="B", WORKDAY(Main[[#This Row],[Tech Start Date]],12),IF(Main[[#This Row],[Class]]="A",WORKDAY(Main[[#This Row],[Tech Start Date]],4),""))))</f>
        <v/>
      </c>
      <c r="O833" s="77" t="str">
        <f>IF(Main[[#This Row],[Tech Start Date]]&lt;1/1/1990,"",IF(Main[[#This Row],[Class]]="C",WORKDAY(Main[[#This Row],[Tech Start Date]],23),IF(Main[[#This Row],[Class]]="B", WORKDAY(Main[[#This Row],[Tech Start Date]],15),IF(Main[[#This Row],[Class]]="A",WORKDAY(Main[[#This Row],[Tech Start Date]],5),""))))</f>
        <v/>
      </c>
      <c r="P833" s="77" t="str">
        <f>IF(Main[[#This Row],[Tech Start Date]]&lt;1/1/1990,"",IF(Main[[#This Row],[Class]]="C",WORKDAY(Main[[#This Row],[Tech Start Date]],28),IF(Main[[#This Row],[Class]]="B", WORKDAY(Main[[#This Row],[Tech Start Date]],19),IF(Main[[#This Row],[Class]]="A",WORKDAY(Main[[#This Row],[Tech Start Date]],9),""))))</f>
        <v/>
      </c>
      <c r="Q833" s="74">
        <v>40190</v>
      </c>
      <c r="R833" s="74"/>
      <c r="S833" s="72" t="s">
        <v>11</v>
      </c>
      <c r="T833" s="80" t="s">
        <v>4</v>
      </c>
      <c r="U833" s="72" t="s">
        <v>12</v>
      </c>
      <c r="V833" s="72" t="s">
        <v>1927</v>
      </c>
      <c r="W833" s="72" t="s">
        <v>1923</v>
      </c>
      <c r="X833" s="72" t="s">
        <v>2904</v>
      </c>
      <c r="Y833" s="72" t="s">
        <v>4</v>
      </c>
      <c r="Z833" s="72" t="s">
        <v>4</v>
      </c>
      <c r="AA833" s="146" t="s">
        <v>2904</v>
      </c>
    </row>
    <row r="834" spans="1:27" ht="18.600000000000001" customHeight="1">
      <c r="A834" s="139" t="str">
        <f>IF(priority(Main[[#This Row],[Comments]])&lt;&gt;0, priority(Main[[#This Row],[Comments]]),"")</f>
        <v/>
      </c>
      <c r="B834" s="89" t="s">
        <v>1513</v>
      </c>
      <c r="C834" s="72" t="s">
        <v>4</v>
      </c>
      <c r="D834" s="73" t="s">
        <v>588</v>
      </c>
      <c r="E834" s="74"/>
      <c r="F834" s="74">
        <v>40330</v>
      </c>
      <c r="G834" s="75" t="str">
        <f>IF(stdProdLT(Main[[#This Row],[Comments]])=0.1,"N/A",IF(stdProdLT(Main[[#This Row],[Comments]])=0,"",stdProdLT(Main[[#This Row],[Comments]])))</f>
        <v/>
      </c>
      <c r="H834" s="76" t="str">
        <f>IF(AND(Main[[#This Row],[In Stock Date]]&lt;&gt;"",Main[[#This Row],[Revised Due Date]]&lt;&gt;""),Main[[#This Row],[In Stock Date]]-Main[[#This Row],[Revised Due Date]],"")</f>
        <v/>
      </c>
      <c r="I834" s="72" t="s">
        <v>4</v>
      </c>
      <c r="J834" s="72" t="s">
        <v>4</v>
      </c>
      <c r="K834" s="72" t="s">
        <v>4</v>
      </c>
      <c r="L834" s="74"/>
      <c r="M834" s="77" t="str">
        <f>IF(Main[[#This Row],[Tech Start Date]]&lt;1/1/1990,"",IF(Main[[#This Row],[Class]]="C",WORKDAY(Main[[#This Row],[Tech Start Date]],9),IF(Main[[#This Row],[Class]]="B", WORKDAY(Main[[#This Row],[Tech Start Date]],6),IF(Main[[#This Row],[Class]]="A",WORKDAY(Main[[#This Row],[Tech Start Date]],2),""))))</f>
        <v/>
      </c>
      <c r="N834" s="77" t="str">
        <f>IF(Main[[#This Row],[Tech Start Date]]&lt;1/1/1990,"",IF(Main[[#This Row],[Class]]="C",WORKDAY(Main[[#This Row],[Tech Start Date]],19),IF(Main[[#This Row],[Class]]="B", WORKDAY(Main[[#This Row],[Tech Start Date]],12),IF(Main[[#This Row],[Class]]="A",WORKDAY(Main[[#This Row],[Tech Start Date]],4),""))))</f>
        <v/>
      </c>
      <c r="O834" s="77" t="str">
        <f>IF(Main[[#This Row],[Tech Start Date]]&lt;1/1/1990,"",IF(Main[[#This Row],[Class]]="C",WORKDAY(Main[[#This Row],[Tech Start Date]],23),IF(Main[[#This Row],[Class]]="B", WORKDAY(Main[[#This Row],[Tech Start Date]],15),IF(Main[[#This Row],[Class]]="A",WORKDAY(Main[[#This Row],[Tech Start Date]],5),""))))</f>
        <v/>
      </c>
      <c r="P834" s="77" t="str">
        <f>IF(Main[[#This Row],[Tech Start Date]]&lt;1/1/1990,"",IF(Main[[#This Row],[Class]]="C",WORKDAY(Main[[#This Row],[Tech Start Date]],28),IF(Main[[#This Row],[Class]]="B", WORKDAY(Main[[#This Row],[Tech Start Date]],19),IF(Main[[#This Row],[Class]]="A",WORKDAY(Main[[#This Row],[Tech Start Date]],9),""))))</f>
        <v/>
      </c>
      <c r="Q834" s="74">
        <v>40210</v>
      </c>
      <c r="R834" s="74"/>
      <c r="S834" s="72" t="s">
        <v>11</v>
      </c>
      <c r="T834" s="80" t="s">
        <v>4</v>
      </c>
      <c r="U834" s="72" t="s">
        <v>12</v>
      </c>
      <c r="V834" s="72" t="s">
        <v>1918</v>
      </c>
      <c r="W834" s="72" t="s">
        <v>1923</v>
      </c>
      <c r="X834" s="72" t="s">
        <v>2830</v>
      </c>
      <c r="Y834" s="72" t="s">
        <v>2949</v>
      </c>
      <c r="Z834" s="72" t="s">
        <v>4</v>
      </c>
      <c r="AA834" s="146" t="s">
        <v>2830</v>
      </c>
    </row>
    <row r="835" spans="1:27" ht="18.600000000000001" customHeight="1">
      <c r="A835" s="139" t="str">
        <f>IF(priority(Main[[#This Row],[Comments]])&lt;&gt;0, priority(Main[[#This Row],[Comments]]),"")</f>
        <v/>
      </c>
      <c r="B835" s="89" t="s">
        <v>1514</v>
      </c>
      <c r="C835" s="72" t="s">
        <v>4</v>
      </c>
      <c r="D835" s="73" t="s">
        <v>589</v>
      </c>
      <c r="E835" s="74">
        <v>40217.626817129632</v>
      </c>
      <c r="F835" s="74"/>
      <c r="G835" s="75" t="str">
        <f>IF(stdProdLT(Main[[#This Row],[Comments]])=0.1,"N/A",IF(stdProdLT(Main[[#This Row],[Comments]])=0,"",stdProdLT(Main[[#This Row],[Comments]])))</f>
        <v/>
      </c>
      <c r="H835" s="76" t="str">
        <f>IF(AND(Main[[#This Row],[In Stock Date]]&lt;&gt;"",Main[[#This Row],[Revised Due Date]]&lt;&gt;""),Main[[#This Row],[In Stock Date]]-Main[[#This Row],[Revised Due Date]],"")</f>
        <v/>
      </c>
      <c r="I835" s="72" t="s">
        <v>4</v>
      </c>
      <c r="J835" s="72" t="s">
        <v>4</v>
      </c>
      <c r="K835" s="72" t="s">
        <v>4</v>
      </c>
      <c r="L835" s="74"/>
      <c r="M835" s="77" t="str">
        <f>IF(Main[[#This Row],[Tech Start Date]]&lt;1/1/1990,"",IF(Main[[#This Row],[Class]]="C",WORKDAY(Main[[#This Row],[Tech Start Date]],9),IF(Main[[#This Row],[Class]]="B", WORKDAY(Main[[#This Row],[Tech Start Date]],6),IF(Main[[#This Row],[Class]]="A",WORKDAY(Main[[#This Row],[Tech Start Date]],2),""))))</f>
        <v/>
      </c>
      <c r="N835" s="77" t="str">
        <f>IF(Main[[#This Row],[Tech Start Date]]&lt;1/1/1990,"",IF(Main[[#This Row],[Class]]="C",WORKDAY(Main[[#This Row],[Tech Start Date]],19),IF(Main[[#This Row],[Class]]="B", WORKDAY(Main[[#This Row],[Tech Start Date]],12),IF(Main[[#This Row],[Class]]="A",WORKDAY(Main[[#This Row],[Tech Start Date]],4),""))))</f>
        <v/>
      </c>
      <c r="O835" s="77" t="str">
        <f>IF(Main[[#This Row],[Tech Start Date]]&lt;1/1/1990,"",IF(Main[[#This Row],[Class]]="C",WORKDAY(Main[[#This Row],[Tech Start Date]],23),IF(Main[[#This Row],[Class]]="B", WORKDAY(Main[[#This Row],[Tech Start Date]],15),IF(Main[[#This Row],[Class]]="A",WORKDAY(Main[[#This Row],[Tech Start Date]],5),""))))</f>
        <v/>
      </c>
      <c r="P835" s="77" t="str">
        <f>IF(Main[[#This Row],[Tech Start Date]]&lt;1/1/1990,"",IF(Main[[#This Row],[Class]]="C",WORKDAY(Main[[#This Row],[Tech Start Date]],28),IF(Main[[#This Row],[Class]]="B", WORKDAY(Main[[#This Row],[Tech Start Date]],19),IF(Main[[#This Row],[Class]]="A",WORKDAY(Main[[#This Row],[Tech Start Date]],9),""))))</f>
        <v/>
      </c>
      <c r="Q835" s="74">
        <v>40229</v>
      </c>
      <c r="R835" s="74"/>
      <c r="S835" s="72" t="s">
        <v>6</v>
      </c>
      <c r="T835" s="80" t="s">
        <v>4</v>
      </c>
      <c r="U835" s="72" t="s">
        <v>7</v>
      </c>
      <c r="V835" s="72" t="s">
        <v>1917</v>
      </c>
      <c r="W835" s="72" t="s">
        <v>1921</v>
      </c>
      <c r="X835" s="72" t="s">
        <v>2827</v>
      </c>
      <c r="Y835" s="72" t="s">
        <v>2942</v>
      </c>
      <c r="Z835" s="72" t="s">
        <v>4</v>
      </c>
      <c r="AA835" s="146" t="s">
        <v>2827</v>
      </c>
    </row>
    <row r="836" spans="1:27" ht="18.600000000000001" customHeight="1">
      <c r="A836" s="139" t="str">
        <f>IF(priority(Main[[#This Row],[Comments]])&lt;&gt;0, priority(Main[[#This Row],[Comments]]),"")</f>
        <v/>
      </c>
      <c r="B836" s="89" t="s">
        <v>1644</v>
      </c>
      <c r="C836" s="72" t="s">
        <v>4</v>
      </c>
      <c r="D836" s="73" t="s">
        <v>712</v>
      </c>
      <c r="E836" s="74"/>
      <c r="F836" s="74"/>
      <c r="G836" s="75" t="str">
        <f>IF(stdProdLT(Main[[#This Row],[Comments]])=0.1,"N/A",IF(stdProdLT(Main[[#This Row],[Comments]])=0,"",stdProdLT(Main[[#This Row],[Comments]])))</f>
        <v/>
      </c>
      <c r="H836" s="76" t="str">
        <f>IF(AND(Main[[#This Row],[In Stock Date]]&lt;&gt;"",Main[[#This Row],[Revised Due Date]]&lt;&gt;""),Main[[#This Row],[In Stock Date]]-Main[[#This Row],[Revised Due Date]],"")</f>
        <v/>
      </c>
      <c r="I836" s="72" t="s">
        <v>4</v>
      </c>
      <c r="J836" s="72" t="s">
        <v>28</v>
      </c>
      <c r="K836" s="72" t="s">
        <v>1926</v>
      </c>
      <c r="L836" s="74"/>
      <c r="M836" s="77" t="str">
        <f>IF(Main[[#This Row],[Tech Start Date]]&lt;1/1/1990,"",IF(Main[[#This Row],[Class]]="C",WORKDAY(Main[[#This Row],[Tech Start Date]],9),IF(Main[[#This Row],[Class]]="B", WORKDAY(Main[[#This Row],[Tech Start Date]],6),IF(Main[[#This Row],[Class]]="A",WORKDAY(Main[[#This Row],[Tech Start Date]],2),""))))</f>
        <v/>
      </c>
      <c r="N836" s="77" t="str">
        <f>IF(Main[[#This Row],[Tech Start Date]]&lt;1/1/1990,"",IF(Main[[#This Row],[Class]]="C",WORKDAY(Main[[#This Row],[Tech Start Date]],19),IF(Main[[#This Row],[Class]]="B", WORKDAY(Main[[#This Row],[Tech Start Date]],12),IF(Main[[#This Row],[Class]]="A",WORKDAY(Main[[#This Row],[Tech Start Date]],4),""))))</f>
        <v/>
      </c>
      <c r="O836" s="77" t="str">
        <f>IF(Main[[#This Row],[Tech Start Date]]&lt;1/1/1990,"",IF(Main[[#This Row],[Class]]="C",WORKDAY(Main[[#This Row],[Tech Start Date]],23),IF(Main[[#This Row],[Class]]="B", WORKDAY(Main[[#This Row],[Tech Start Date]],15),IF(Main[[#This Row],[Class]]="A",WORKDAY(Main[[#This Row],[Tech Start Date]],5),""))))</f>
        <v/>
      </c>
      <c r="P836" s="77" t="str">
        <f>IF(Main[[#This Row],[Tech Start Date]]&lt;1/1/1990,"",IF(Main[[#This Row],[Class]]="C",WORKDAY(Main[[#This Row],[Tech Start Date]],28),IF(Main[[#This Row],[Class]]="B", WORKDAY(Main[[#This Row],[Tech Start Date]],19),IF(Main[[#This Row],[Class]]="A",WORKDAY(Main[[#This Row],[Tech Start Date]],9),""))))</f>
        <v/>
      </c>
      <c r="Q836" s="74">
        <v>40647</v>
      </c>
      <c r="R836" s="74"/>
      <c r="S836" s="72" t="s">
        <v>6</v>
      </c>
      <c r="T836" s="80" t="s">
        <v>4</v>
      </c>
      <c r="U836" s="72" t="s">
        <v>14</v>
      </c>
      <c r="V836" s="72" t="s">
        <v>1917</v>
      </c>
      <c r="W836" s="72" t="s">
        <v>1921</v>
      </c>
      <c r="X836" s="72" t="s">
        <v>2827</v>
      </c>
      <c r="Y836" s="72" t="s">
        <v>2942</v>
      </c>
      <c r="Z836" s="72" t="s">
        <v>129</v>
      </c>
      <c r="AA836" s="146" t="s">
        <v>2827</v>
      </c>
    </row>
    <row r="837" spans="1:27" ht="18.600000000000001" customHeight="1">
      <c r="A837" s="139" t="str">
        <f>IF(priority(Main[[#This Row],[Comments]])&lt;&gt;0, priority(Main[[#This Row],[Comments]]),"")</f>
        <v/>
      </c>
      <c r="B837" s="89" t="s">
        <v>3266</v>
      </c>
      <c r="C837" s="72" t="s">
        <v>4</v>
      </c>
      <c r="D837" s="73" t="s">
        <v>3343</v>
      </c>
      <c r="E837" s="74">
        <v>40931.598935185182</v>
      </c>
      <c r="F837" s="74"/>
      <c r="G837" s="75" t="str">
        <f>IF(stdProdLT(Main[[#This Row],[Comments]])=0.1,"N/A",IF(stdProdLT(Main[[#This Row],[Comments]])=0,"",stdProdLT(Main[[#This Row],[Comments]])))</f>
        <v/>
      </c>
      <c r="H837" s="76" t="str">
        <f>IF(AND(Main[[#This Row],[In Stock Date]]&lt;&gt;"",Main[[#This Row],[Revised Due Date]]&lt;&gt;""),Main[[#This Row],[In Stock Date]]-Main[[#This Row],[Revised Due Date]],"")</f>
        <v/>
      </c>
      <c r="I837" s="72" t="s">
        <v>4</v>
      </c>
      <c r="J837" s="72" t="s">
        <v>4</v>
      </c>
      <c r="K837" s="72" t="s">
        <v>4</v>
      </c>
      <c r="L837" s="74"/>
      <c r="M837" s="77" t="str">
        <f>IF(Main[[#This Row],[Tech Start Date]]&lt;1/1/1990,"",IF(Main[[#This Row],[Class]]="C",WORKDAY(Main[[#This Row],[Tech Start Date]],9),IF(Main[[#This Row],[Class]]="B", WORKDAY(Main[[#This Row],[Tech Start Date]],6),IF(Main[[#This Row],[Class]]="A",WORKDAY(Main[[#This Row],[Tech Start Date]],2),""))))</f>
        <v/>
      </c>
      <c r="N837" s="77" t="str">
        <f>IF(Main[[#This Row],[Tech Start Date]]&lt;1/1/1990,"",IF(Main[[#This Row],[Class]]="C",WORKDAY(Main[[#This Row],[Tech Start Date]],19),IF(Main[[#This Row],[Class]]="B", WORKDAY(Main[[#This Row],[Tech Start Date]],12),IF(Main[[#This Row],[Class]]="A",WORKDAY(Main[[#This Row],[Tech Start Date]],4),""))))</f>
        <v/>
      </c>
      <c r="O837" s="77" t="str">
        <f>IF(Main[[#This Row],[Tech Start Date]]&lt;1/1/1990,"",IF(Main[[#This Row],[Class]]="C",WORKDAY(Main[[#This Row],[Tech Start Date]],23),IF(Main[[#This Row],[Class]]="B", WORKDAY(Main[[#This Row],[Tech Start Date]],15),IF(Main[[#This Row],[Class]]="A",WORKDAY(Main[[#This Row],[Tech Start Date]],5),""))))</f>
        <v/>
      </c>
      <c r="P837" s="77" t="str">
        <f>IF(Main[[#This Row],[Tech Start Date]]&lt;1/1/1990,"",IF(Main[[#This Row],[Class]]="C",WORKDAY(Main[[#This Row],[Tech Start Date]],28),IF(Main[[#This Row],[Class]]="B", WORKDAY(Main[[#This Row],[Tech Start Date]],19),IF(Main[[#This Row],[Class]]="A",WORKDAY(Main[[#This Row],[Tech Start Date]],9),""))))</f>
        <v/>
      </c>
      <c r="Q837" s="74"/>
      <c r="R837" s="74"/>
      <c r="S837" s="72" t="s">
        <v>17</v>
      </c>
      <c r="T837" s="80" t="s">
        <v>4</v>
      </c>
      <c r="U837" s="72" t="s">
        <v>29</v>
      </c>
      <c r="V837" s="72" t="s">
        <v>1920</v>
      </c>
      <c r="W837" s="72" t="s">
        <v>1922</v>
      </c>
      <c r="X837" s="72" t="s">
        <v>1979</v>
      </c>
      <c r="Y837" s="72" t="s">
        <v>4</v>
      </c>
      <c r="Z837" s="72" t="s">
        <v>4</v>
      </c>
      <c r="AA837" s="146" t="s">
        <v>1979</v>
      </c>
    </row>
    <row r="838" spans="1:27" ht="18.600000000000001" customHeight="1">
      <c r="A838" s="139" t="str">
        <f>IF(priority(Main[[#This Row],[Comments]])&lt;&gt;0, priority(Main[[#This Row],[Comments]]),"")</f>
        <v/>
      </c>
      <c r="B838" s="89" t="s">
        <v>1645</v>
      </c>
      <c r="C838" s="72" t="s">
        <v>4</v>
      </c>
      <c r="D838" s="73" t="s">
        <v>713</v>
      </c>
      <c r="E838" s="74"/>
      <c r="F838" s="74"/>
      <c r="G838" s="75" t="str">
        <f>IF(stdProdLT(Main[[#This Row],[Comments]])=0.1,"N/A",IF(stdProdLT(Main[[#This Row],[Comments]])=0,"",stdProdLT(Main[[#This Row],[Comments]])))</f>
        <v/>
      </c>
      <c r="H838" s="76" t="str">
        <f>IF(AND(Main[[#This Row],[In Stock Date]]&lt;&gt;"",Main[[#This Row],[Revised Due Date]]&lt;&gt;""),Main[[#This Row],[In Stock Date]]-Main[[#This Row],[Revised Due Date]],"")</f>
        <v/>
      </c>
      <c r="I838" s="72" t="s">
        <v>4</v>
      </c>
      <c r="J838" s="72" t="s">
        <v>4</v>
      </c>
      <c r="K838" s="72" t="s">
        <v>4</v>
      </c>
      <c r="L838" s="74"/>
      <c r="M838" s="77" t="str">
        <f>IF(Main[[#This Row],[Tech Start Date]]&lt;1/1/1990,"",IF(Main[[#This Row],[Class]]="C",WORKDAY(Main[[#This Row],[Tech Start Date]],9),IF(Main[[#This Row],[Class]]="B", WORKDAY(Main[[#This Row],[Tech Start Date]],6),IF(Main[[#This Row],[Class]]="A",WORKDAY(Main[[#This Row],[Tech Start Date]],2),""))))</f>
        <v/>
      </c>
      <c r="N838" s="77" t="str">
        <f>IF(Main[[#This Row],[Tech Start Date]]&lt;1/1/1990,"",IF(Main[[#This Row],[Class]]="C",WORKDAY(Main[[#This Row],[Tech Start Date]],19),IF(Main[[#This Row],[Class]]="B", WORKDAY(Main[[#This Row],[Tech Start Date]],12),IF(Main[[#This Row],[Class]]="A",WORKDAY(Main[[#This Row],[Tech Start Date]],4),""))))</f>
        <v/>
      </c>
      <c r="O838" s="77" t="str">
        <f>IF(Main[[#This Row],[Tech Start Date]]&lt;1/1/1990,"",IF(Main[[#This Row],[Class]]="C",WORKDAY(Main[[#This Row],[Tech Start Date]],23),IF(Main[[#This Row],[Class]]="B", WORKDAY(Main[[#This Row],[Tech Start Date]],15),IF(Main[[#This Row],[Class]]="A",WORKDAY(Main[[#This Row],[Tech Start Date]],5),""))))</f>
        <v/>
      </c>
      <c r="P838" s="77" t="str">
        <f>IF(Main[[#This Row],[Tech Start Date]]&lt;1/1/1990,"",IF(Main[[#This Row],[Class]]="C",WORKDAY(Main[[#This Row],[Tech Start Date]],28),IF(Main[[#This Row],[Class]]="B", WORKDAY(Main[[#This Row],[Tech Start Date]],19),IF(Main[[#This Row],[Class]]="A",WORKDAY(Main[[#This Row],[Tech Start Date]],9),""))))</f>
        <v/>
      </c>
      <c r="Q838" s="74">
        <v>40672</v>
      </c>
      <c r="R838" s="74"/>
      <c r="S838" s="72" t="s">
        <v>6</v>
      </c>
      <c r="T838" s="80" t="s">
        <v>4</v>
      </c>
      <c r="U838" s="72" t="s">
        <v>14</v>
      </c>
      <c r="V838" s="72" t="s">
        <v>1920</v>
      </c>
      <c r="W838" s="72" t="s">
        <v>4</v>
      </c>
      <c r="X838" s="72" t="s">
        <v>2828</v>
      </c>
      <c r="Y838" s="72" t="s">
        <v>2944</v>
      </c>
      <c r="Z838" s="72" t="s">
        <v>4</v>
      </c>
      <c r="AA838" s="146" t="s">
        <v>2828</v>
      </c>
    </row>
    <row r="839" spans="1:27" ht="18.600000000000001" customHeight="1">
      <c r="A839" s="139" t="str">
        <f>IF(priority(Main[[#This Row],[Comments]])&lt;&gt;0, priority(Main[[#This Row],[Comments]]),"")</f>
        <v/>
      </c>
      <c r="B839" s="89" t="s">
        <v>1646</v>
      </c>
      <c r="C839" s="72" t="s">
        <v>4</v>
      </c>
      <c r="D839" s="73" t="s">
        <v>714</v>
      </c>
      <c r="E839" s="74"/>
      <c r="F839" s="74"/>
      <c r="G839" s="75" t="str">
        <f>IF(stdProdLT(Main[[#This Row],[Comments]])=0.1,"N/A",IF(stdProdLT(Main[[#This Row],[Comments]])=0,"",stdProdLT(Main[[#This Row],[Comments]])))</f>
        <v/>
      </c>
      <c r="H839" s="76" t="str">
        <f>IF(AND(Main[[#This Row],[In Stock Date]]&lt;&gt;"",Main[[#This Row],[Revised Due Date]]&lt;&gt;""),Main[[#This Row],[In Stock Date]]-Main[[#This Row],[Revised Due Date]],"")</f>
        <v/>
      </c>
      <c r="I839" s="72" t="s">
        <v>4</v>
      </c>
      <c r="J839" s="72" t="s">
        <v>4</v>
      </c>
      <c r="K839" s="72" t="s">
        <v>4</v>
      </c>
      <c r="L839" s="74"/>
      <c r="M839" s="77" t="str">
        <f>IF(Main[[#This Row],[Tech Start Date]]&lt;1/1/1990,"",IF(Main[[#This Row],[Class]]="C",WORKDAY(Main[[#This Row],[Tech Start Date]],9),IF(Main[[#This Row],[Class]]="B", WORKDAY(Main[[#This Row],[Tech Start Date]],6),IF(Main[[#This Row],[Class]]="A",WORKDAY(Main[[#This Row],[Tech Start Date]],2),""))))</f>
        <v/>
      </c>
      <c r="N839" s="77" t="str">
        <f>IF(Main[[#This Row],[Tech Start Date]]&lt;1/1/1990,"",IF(Main[[#This Row],[Class]]="C",WORKDAY(Main[[#This Row],[Tech Start Date]],19),IF(Main[[#This Row],[Class]]="B", WORKDAY(Main[[#This Row],[Tech Start Date]],12),IF(Main[[#This Row],[Class]]="A",WORKDAY(Main[[#This Row],[Tech Start Date]],4),""))))</f>
        <v/>
      </c>
      <c r="O839" s="77" t="str">
        <f>IF(Main[[#This Row],[Tech Start Date]]&lt;1/1/1990,"",IF(Main[[#This Row],[Class]]="C",WORKDAY(Main[[#This Row],[Tech Start Date]],23),IF(Main[[#This Row],[Class]]="B", WORKDAY(Main[[#This Row],[Tech Start Date]],15),IF(Main[[#This Row],[Class]]="A",WORKDAY(Main[[#This Row],[Tech Start Date]],5),""))))</f>
        <v/>
      </c>
      <c r="P839" s="77" t="str">
        <f>IF(Main[[#This Row],[Tech Start Date]]&lt;1/1/1990,"",IF(Main[[#This Row],[Class]]="C",WORKDAY(Main[[#This Row],[Tech Start Date]],28),IF(Main[[#This Row],[Class]]="B", WORKDAY(Main[[#This Row],[Tech Start Date]],19),IF(Main[[#This Row],[Class]]="A",WORKDAY(Main[[#This Row],[Tech Start Date]],9),""))))</f>
        <v/>
      </c>
      <c r="Q839" s="74"/>
      <c r="R839" s="74"/>
      <c r="S839" s="72" t="s">
        <v>23</v>
      </c>
      <c r="T839" s="80" t="s">
        <v>4</v>
      </c>
      <c r="U839" s="72" t="s">
        <v>14</v>
      </c>
      <c r="V839" s="72" t="s">
        <v>1920</v>
      </c>
      <c r="W839" s="72" t="s">
        <v>1921</v>
      </c>
      <c r="X839" s="72" t="s">
        <v>399</v>
      </c>
      <c r="Y839" s="72" t="s">
        <v>4</v>
      </c>
      <c r="Z839" s="72" t="s">
        <v>4</v>
      </c>
      <c r="AA839" s="146" t="s">
        <v>3445</v>
      </c>
    </row>
    <row r="840" spans="1:27" ht="18.600000000000001" customHeight="1">
      <c r="A840" s="139" t="str">
        <f>IF(priority(Main[[#This Row],[Comments]])&lt;&gt;0, priority(Main[[#This Row],[Comments]]),"")</f>
        <v/>
      </c>
      <c r="B840" s="89" t="s">
        <v>1856</v>
      </c>
      <c r="C840" s="72" t="s">
        <v>4</v>
      </c>
      <c r="D840" s="73" t="s">
        <v>911</v>
      </c>
      <c r="E840" s="74"/>
      <c r="F840" s="74"/>
      <c r="G840" s="75" t="str">
        <f>IF(stdProdLT(Main[[#This Row],[Comments]])=0.1,"N/A",IF(stdProdLT(Main[[#This Row],[Comments]])=0,"",stdProdLT(Main[[#This Row],[Comments]])))</f>
        <v/>
      </c>
      <c r="H840" s="76" t="str">
        <f>IF(AND(Main[[#This Row],[In Stock Date]]&lt;&gt;"",Main[[#This Row],[Revised Due Date]]&lt;&gt;""),Main[[#This Row],[In Stock Date]]-Main[[#This Row],[Revised Due Date]],"")</f>
        <v/>
      </c>
      <c r="I840" s="72" t="s">
        <v>854</v>
      </c>
      <c r="J840" s="72" t="s">
        <v>4</v>
      </c>
      <c r="K840" s="72" t="s">
        <v>1929</v>
      </c>
      <c r="L840" s="74"/>
      <c r="M840" s="77" t="str">
        <f>IF(Main[[#This Row],[Tech Start Date]]&lt;1/1/1990,"",IF(Main[[#This Row],[Class]]="C",WORKDAY(Main[[#This Row],[Tech Start Date]],9),IF(Main[[#This Row],[Class]]="B", WORKDAY(Main[[#This Row],[Tech Start Date]],6),IF(Main[[#This Row],[Class]]="A",WORKDAY(Main[[#This Row],[Tech Start Date]],2),""))))</f>
        <v/>
      </c>
      <c r="N840" s="77" t="str">
        <f>IF(Main[[#This Row],[Tech Start Date]]&lt;1/1/1990,"",IF(Main[[#This Row],[Class]]="C",WORKDAY(Main[[#This Row],[Tech Start Date]],19),IF(Main[[#This Row],[Class]]="B", WORKDAY(Main[[#This Row],[Tech Start Date]],12),IF(Main[[#This Row],[Class]]="A",WORKDAY(Main[[#This Row],[Tech Start Date]],4),""))))</f>
        <v/>
      </c>
      <c r="O840" s="77" t="str">
        <f>IF(Main[[#This Row],[Tech Start Date]]&lt;1/1/1990,"",IF(Main[[#This Row],[Class]]="C",WORKDAY(Main[[#This Row],[Tech Start Date]],23),IF(Main[[#This Row],[Class]]="B", WORKDAY(Main[[#This Row],[Tech Start Date]],15),IF(Main[[#This Row],[Class]]="A",WORKDAY(Main[[#This Row],[Tech Start Date]],5),""))))</f>
        <v/>
      </c>
      <c r="P840" s="77" t="str">
        <f>IF(Main[[#This Row],[Tech Start Date]]&lt;1/1/1990,"",IF(Main[[#This Row],[Class]]="C",WORKDAY(Main[[#This Row],[Tech Start Date]],28),IF(Main[[#This Row],[Class]]="B", WORKDAY(Main[[#This Row],[Tech Start Date]],19),IF(Main[[#This Row],[Class]]="A",WORKDAY(Main[[#This Row],[Tech Start Date]],9),""))))</f>
        <v/>
      </c>
      <c r="Q840" s="74"/>
      <c r="R840" s="74">
        <v>40543</v>
      </c>
      <c r="S840" s="72" t="s">
        <v>17</v>
      </c>
      <c r="T840" s="80" t="s">
        <v>4</v>
      </c>
      <c r="U840" s="72" t="s">
        <v>14</v>
      </c>
      <c r="V840" s="72" t="s">
        <v>1920</v>
      </c>
      <c r="W840" s="72" t="s">
        <v>1925</v>
      </c>
      <c r="X840" s="72" t="s">
        <v>306</v>
      </c>
      <c r="Y840" s="72" t="s">
        <v>4</v>
      </c>
      <c r="Z840" s="72" t="s">
        <v>415</v>
      </c>
      <c r="AA840" s="146" t="s">
        <v>3446</v>
      </c>
    </row>
    <row r="841" spans="1:27" ht="18.600000000000001" customHeight="1">
      <c r="A841" s="139" t="str">
        <f>IF(priority(Main[[#This Row],[Comments]])&lt;&gt;0, priority(Main[[#This Row],[Comments]]),"")</f>
        <v/>
      </c>
      <c r="B841" s="89" t="s">
        <v>1647</v>
      </c>
      <c r="C841" s="72" t="s">
        <v>113</v>
      </c>
      <c r="D841" s="73" t="s">
        <v>715</v>
      </c>
      <c r="E841" s="74"/>
      <c r="F841" s="74">
        <v>40817</v>
      </c>
      <c r="G841" s="75" t="str">
        <f>IF(stdProdLT(Main[[#This Row],[Comments]])=0.1,"N/A",IF(stdProdLT(Main[[#This Row],[Comments]])=0,"",stdProdLT(Main[[#This Row],[Comments]])))</f>
        <v/>
      </c>
      <c r="H841" s="76" t="str">
        <f>IF(AND(Main[[#This Row],[In Stock Date]]&lt;&gt;"",Main[[#This Row],[Revised Due Date]]&lt;&gt;""),Main[[#This Row],[In Stock Date]]-Main[[#This Row],[Revised Due Date]],"")</f>
        <v/>
      </c>
      <c r="I841" s="72" t="s">
        <v>4</v>
      </c>
      <c r="J841" s="72" t="s">
        <v>28</v>
      </c>
      <c r="K841" s="72" t="s">
        <v>1930</v>
      </c>
      <c r="L841" s="74"/>
      <c r="M841" s="77" t="str">
        <f>IF(Main[[#This Row],[Tech Start Date]]&lt;1/1/1990,"",IF(Main[[#This Row],[Class]]="C",WORKDAY(Main[[#This Row],[Tech Start Date]],9),IF(Main[[#This Row],[Class]]="B", WORKDAY(Main[[#This Row],[Tech Start Date]],6),IF(Main[[#This Row],[Class]]="A",WORKDAY(Main[[#This Row],[Tech Start Date]],2),""))))</f>
        <v/>
      </c>
      <c r="N841" s="77" t="str">
        <f>IF(Main[[#This Row],[Tech Start Date]]&lt;1/1/1990,"",IF(Main[[#This Row],[Class]]="C",WORKDAY(Main[[#This Row],[Tech Start Date]],19),IF(Main[[#This Row],[Class]]="B", WORKDAY(Main[[#This Row],[Tech Start Date]],12),IF(Main[[#This Row],[Class]]="A",WORKDAY(Main[[#This Row],[Tech Start Date]],4),""))))</f>
        <v/>
      </c>
      <c r="O841" s="77" t="str">
        <f>IF(Main[[#This Row],[Tech Start Date]]&lt;1/1/1990,"",IF(Main[[#This Row],[Class]]="C",WORKDAY(Main[[#This Row],[Tech Start Date]],23),IF(Main[[#This Row],[Class]]="B", WORKDAY(Main[[#This Row],[Tech Start Date]],15),IF(Main[[#This Row],[Class]]="A",WORKDAY(Main[[#This Row],[Tech Start Date]],5),""))))</f>
        <v/>
      </c>
      <c r="P841" s="77" t="str">
        <f>IF(Main[[#This Row],[Tech Start Date]]&lt;1/1/1990,"",IF(Main[[#This Row],[Class]]="C",WORKDAY(Main[[#This Row],[Tech Start Date]],28),IF(Main[[#This Row],[Class]]="B", WORKDAY(Main[[#This Row],[Tech Start Date]],19),IF(Main[[#This Row],[Class]]="A",WORKDAY(Main[[#This Row],[Tech Start Date]],9),""))))</f>
        <v/>
      </c>
      <c r="Q841" s="74">
        <v>40634</v>
      </c>
      <c r="R841" s="74"/>
      <c r="S841" s="72" t="s">
        <v>11</v>
      </c>
      <c r="T841" s="80" t="s">
        <v>4</v>
      </c>
      <c r="U841" s="72" t="s">
        <v>14</v>
      </c>
      <c r="V841" s="72" t="s">
        <v>1917</v>
      </c>
      <c r="W841" s="72" t="s">
        <v>1923</v>
      </c>
      <c r="X841" s="72" t="s">
        <v>2839</v>
      </c>
      <c r="Y841" s="72" t="s">
        <v>2945</v>
      </c>
      <c r="Z841" s="72" t="s">
        <v>129</v>
      </c>
      <c r="AA841" s="146" t="s">
        <v>2839</v>
      </c>
    </row>
    <row r="842" spans="1:27" ht="18.600000000000001" customHeight="1">
      <c r="A842" s="139" t="str">
        <f>IF(priority(Main[[#This Row],[Comments]])&lt;&gt;0, priority(Main[[#This Row],[Comments]]),"")</f>
        <v/>
      </c>
      <c r="B842" s="89" t="s">
        <v>1648</v>
      </c>
      <c r="C842" s="72" t="s">
        <v>4</v>
      </c>
      <c r="D842" s="73" t="s">
        <v>39</v>
      </c>
      <c r="E842" s="74"/>
      <c r="F842" s="74"/>
      <c r="G842" s="75" t="str">
        <f>IF(stdProdLT(Main[[#This Row],[Comments]])=0.1,"N/A",IF(stdProdLT(Main[[#This Row],[Comments]])=0,"",stdProdLT(Main[[#This Row],[Comments]])))</f>
        <v/>
      </c>
      <c r="H842" s="76" t="str">
        <f>IF(AND(Main[[#This Row],[In Stock Date]]&lt;&gt;"",Main[[#This Row],[Revised Due Date]]&lt;&gt;""),Main[[#This Row],[In Stock Date]]-Main[[#This Row],[Revised Due Date]],"")</f>
        <v/>
      </c>
      <c r="I842" s="72" t="s">
        <v>4</v>
      </c>
      <c r="J842" s="72" t="s">
        <v>4</v>
      </c>
      <c r="K842" s="72" t="s">
        <v>4</v>
      </c>
      <c r="L842" s="74"/>
      <c r="M842" s="77" t="str">
        <f>IF(Main[[#This Row],[Tech Start Date]]&lt;1/1/1990,"",IF(Main[[#This Row],[Class]]="C",WORKDAY(Main[[#This Row],[Tech Start Date]],9),IF(Main[[#This Row],[Class]]="B", WORKDAY(Main[[#This Row],[Tech Start Date]],6),IF(Main[[#This Row],[Class]]="A",WORKDAY(Main[[#This Row],[Tech Start Date]],2),""))))</f>
        <v/>
      </c>
      <c r="N842" s="77" t="str">
        <f>IF(Main[[#This Row],[Tech Start Date]]&lt;1/1/1990,"",IF(Main[[#This Row],[Class]]="C",WORKDAY(Main[[#This Row],[Tech Start Date]],19),IF(Main[[#This Row],[Class]]="B", WORKDAY(Main[[#This Row],[Tech Start Date]],12),IF(Main[[#This Row],[Class]]="A",WORKDAY(Main[[#This Row],[Tech Start Date]],4),""))))</f>
        <v/>
      </c>
      <c r="O842" s="77" t="str">
        <f>IF(Main[[#This Row],[Tech Start Date]]&lt;1/1/1990,"",IF(Main[[#This Row],[Class]]="C",WORKDAY(Main[[#This Row],[Tech Start Date]],23),IF(Main[[#This Row],[Class]]="B", WORKDAY(Main[[#This Row],[Tech Start Date]],15),IF(Main[[#This Row],[Class]]="A",WORKDAY(Main[[#This Row],[Tech Start Date]],5),""))))</f>
        <v/>
      </c>
      <c r="P842" s="77" t="str">
        <f>IF(Main[[#This Row],[Tech Start Date]]&lt;1/1/1990,"",IF(Main[[#This Row],[Class]]="C",WORKDAY(Main[[#This Row],[Tech Start Date]],28),IF(Main[[#This Row],[Class]]="B", WORKDAY(Main[[#This Row],[Tech Start Date]],19),IF(Main[[#This Row],[Class]]="A",WORKDAY(Main[[#This Row],[Tech Start Date]],9),""))))</f>
        <v/>
      </c>
      <c r="Q842" s="74">
        <v>40669</v>
      </c>
      <c r="R842" s="74"/>
      <c r="S842" s="72" t="s">
        <v>6</v>
      </c>
      <c r="T842" s="80" t="s">
        <v>4</v>
      </c>
      <c r="U842" s="72" t="s">
        <v>14</v>
      </c>
      <c r="V842" s="72" t="s">
        <v>1920</v>
      </c>
      <c r="W842" s="72" t="s">
        <v>4</v>
      </c>
      <c r="X842" s="72" t="s">
        <v>2824</v>
      </c>
      <c r="Y842" s="72" t="s">
        <v>2935</v>
      </c>
      <c r="Z842" s="72" t="s">
        <v>4</v>
      </c>
      <c r="AA842" s="146" t="s">
        <v>2824</v>
      </c>
    </row>
    <row r="843" spans="1:27" ht="18.600000000000001" customHeight="1">
      <c r="A843" s="139" t="str">
        <f>IF(priority(Main[[#This Row],[Comments]])&lt;&gt;0, priority(Main[[#This Row],[Comments]]),"")</f>
        <v/>
      </c>
      <c r="B843" s="89" t="s">
        <v>1649</v>
      </c>
      <c r="C843" s="72" t="s">
        <v>4</v>
      </c>
      <c r="D843" s="73" t="s">
        <v>716</v>
      </c>
      <c r="E843" s="74"/>
      <c r="F843" s="74"/>
      <c r="G843" s="75" t="str">
        <f>IF(stdProdLT(Main[[#This Row],[Comments]])=0.1,"N/A",IF(stdProdLT(Main[[#This Row],[Comments]])=0,"",stdProdLT(Main[[#This Row],[Comments]])))</f>
        <v/>
      </c>
      <c r="H843" s="76" t="str">
        <f>IF(AND(Main[[#This Row],[In Stock Date]]&lt;&gt;"",Main[[#This Row],[Revised Due Date]]&lt;&gt;""),Main[[#This Row],[In Stock Date]]-Main[[#This Row],[Revised Due Date]],"")</f>
        <v/>
      </c>
      <c r="I843" s="72" t="s">
        <v>4</v>
      </c>
      <c r="J843" s="72" t="s">
        <v>4</v>
      </c>
      <c r="K843" s="72" t="s">
        <v>4</v>
      </c>
      <c r="L843" s="74"/>
      <c r="M843" s="77" t="str">
        <f>IF(Main[[#This Row],[Tech Start Date]]&lt;1/1/1990,"",IF(Main[[#This Row],[Class]]="C",WORKDAY(Main[[#This Row],[Tech Start Date]],9),IF(Main[[#This Row],[Class]]="B", WORKDAY(Main[[#This Row],[Tech Start Date]],6),IF(Main[[#This Row],[Class]]="A",WORKDAY(Main[[#This Row],[Tech Start Date]],2),""))))</f>
        <v/>
      </c>
      <c r="N843" s="77" t="str">
        <f>IF(Main[[#This Row],[Tech Start Date]]&lt;1/1/1990,"",IF(Main[[#This Row],[Class]]="C",WORKDAY(Main[[#This Row],[Tech Start Date]],19),IF(Main[[#This Row],[Class]]="B", WORKDAY(Main[[#This Row],[Tech Start Date]],12),IF(Main[[#This Row],[Class]]="A",WORKDAY(Main[[#This Row],[Tech Start Date]],4),""))))</f>
        <v/>
      </c>
      <c r="O843" s="77" t="str">
        <f>IF(Main[[#This Row],[Tech Start Date]]&lt;1/1/1990,"",IF(Main[[#This Row],[Class]]="C",WORKDAY(Main[[#This Row],[Tech Start Date]],23),IF(Main[[#This Row],[Class]]="B", WORKDAY(Main[[#This Row],[Tech Start Date]],15),IF(Main[[#This Row],[Class]]="A",WORKDAY(Main[[#This Row],[Tech Start Date]],5),""))))</f>
        <v/>
      </c>
      <c r="P843" s="77" t="str">
        <f>IF(Main[[#This Row],[Tech Start Date]]&lt;1/1/1990,"",IF(Main[[#This Row],[Class]]="C",WORKDAY(Main[[#This Row],[Tech Start Date]],28),IF(Main[[#This Row],[Class]]="B", WORKDAY(Main[[#This Row],[Tech Start Date]],19),IF(Main[[#This Row],[Class]]="A",WORKDAY(Main[[#This Row],[Tech Start Date]],9),""))))</f>
        <v/>
      </c>
      <c r="Q843" s="74"/>
      <c r="R843" s="74"/>
      <c r="S843" s="72" t="s">
        <v>11</v>
      </c>
      <c r="T843" s="80" t="s">
        <v>4</v>
      </c>
      <c r="U843" s="72" t="s">
        <v>12</v>
      </c>
      <c r="V843" s="72" t="s">
        <v>1918</v>
      </c>
      <c r="W843" s="72" t="s">
        <v>4</v>
      </c>
      <c r="X843" s="72" t="s">
        <v>2868</v>
      </c>
      <c r="Y843" s="72" t="s">
        <v>4</v>
      </c>
      <c r="Z843" s="72" t="s">
        <v>4</v>
      </c>
      <c r="AA843" s="146" t="s">
        <v>4</v>
      </c>
    </row>
    <row r="844" spans="1:27" ht="18.600000000000001" customHeight="1">
      <c r="A844" s="139" t="str">
        <f>IF(priority(Main[[#This Row],[Comments]])&lt;&gt;0, priority(Main[[#This Row],[Comments]]),"")</f>
        <v/>
      </c>
      <c r="B844" s="89" t="s">
        <v>1651</v>
      </c>
      <c r="C844" s="72" t="s">
        <v>4</v>
      </c>
      <c r="D844" s="73" t="s">
        <v>717</v>
      </c>
      <c r="E844" s="74">
        <v>40715.129143518519</v>
      </c>
      <c r="F844" s="74"/>
      <c r="G844" s="75" t="str">
        <f>IF(stdProdLT(Main[[#This Row],[Comments]])=0.1,"N/A",IF(stdProdLT(Main[[#This Row],[Comments]])=0,"",stdProdLT(Main[[#This Row],[Comments]])))</f>
        <v/>
      </c>
      <c r="H844" s="76" t="str">
        <f>IF(AND(Main[[#This Row],[In Stock Date]]&lt;&gt;"",Main[[#This Row],[Revised Due Date]]&lt;&gt;""),Main[[#This Row],[In Stock Date]]-Main[[#This Row],[Revised Due Date]],"")</f>
        <v/>
      </c>
      <c r="I844" s="72" t="s">
        <v>4</v>
      </c>
      <c r="J844" s="72" t="s">
        <v>4</v>
      </c>
      <c r="K844" s="72" t="s">
        <v>4</v>
      </c>
      <c r="L844" s="74"/>
      <c r="M844" s="77" t="str">
        <f>IF(Main[[#This Row],[Tech Start Date]]&lt;1/1/1990,"",IF(Main[[#This Row],[Class]]="C",WORKDAY(Main[[#This Row],[Tech Start Date]],9),IF(Main[[#This Row],[Class]]="B", WORKDAY(Main[[#This Row],[Tech Start Date]],6),IF(Main[[#This Row],[Class]]="A",WORKDAY(Main[[#This Row],[Tech Start Date]],2),""))))</f>
        <v/>
      </c>
      <c r="N844" s="77" t="str">
        <f>IF(Main[[#This Row],[Tech Start Date]]&lt;1/1/1990,"",IF(Main[[#This Row],[Class]]="C",WORKDAY(Main[[#This Row],[Tech Start Date]],19),IF(Main[[#This Row],[Class]]="B", WORKDAY(Main[[#This Row],[Tech Start Date]],12),IF(Main[[#This Row],[Class]]="A",WORKDAY(Main[[#This Row],[Tech Start Date]],4),""))))</f>
        <v/>
      </c>
      <c r="O844" s="77" t="str">
        <f>IF(Main[[#This Row],[Tech Start Date]]&lt;1/1/1990,"",IF(Main[[#This Row],[Class]]="C",WORKDAY(Main[[#This Row],[Tech Start Date]],23),IF(Main[[#This Row],[Class]]="B", WORKDAY(Main[[#This Row],[Tech Start Date]],15),IF(Main[[#This Row],[Class]]="A",WORKDAY(Main[[#This Row],[Tech Start Date]],5),""))))</f>
        <v/>
      </c>
      <c r="P844" s="77" t="str">
        <f>IF(Main[[#This Row],[Tech Start Date]]&lt;1/1/1990,"",IF(Main[[#This Row],[Class]]="C",WORKDAY(Main[[#This Row],[Tech Start Date]],28),IF(Main[[#This Row],[Class]]="B", WORKDAY(Main[[#This Row],[Tech Start Date]],19),IF(Main[[#This Row],[Class]]="A",WORKDAY(Main[[#This Row],[Tech Start Date]],9),""))))</f>
        <v/>
      </c>
      <c r="Q844" s="74">
        <v>40717</v>
      </c>
      <c r="R844" s="74"/>
      <c r="S844" s="72" t="s">
        <v>49</v>
      </c>
      <c r="T844" s="80" t="s">
        <v>4</v>
      </c>
      <c r="U844" s="72" t="s">
        <v>7</v>
      </c>
      <c r="V844" s="72" t="s">
        <v>1918</v>
      </c>
      <c r="W844" s="72" t="s">
        <v>1921</v>
      </c>
      <c r="X844" s="72" t="s">
        <v>2863</v>
      </c>
      <c r="Y844" s="72" t="s">
        <v>3004</v>
      </c>
      <c r="Z844" s="72" t="s">
        <v>4</v>
      </c>
      <c r="AA844" s="146" t="s">
        <v>2863</v>
      </c>
    </row>
    <row r="845" spans="1:27" ht="18.600000000000001" customHeight="1">
      <c r="A845" s="139" t="str">
        <f>IF(priority(Main[[#This Row],[Comments]])&lt;&gt;0, priority(Main[[#This Row],[Comments]]),"")</f>
        <v/>
      </c>
      <c r="B845" s="89" t="s">
        <v>2107</v>
      </c>
      <c r="C845" s="72" t="s">
        <v>4</v>
      </c>
      <c r="D845" s="73" t="s">
        <v>2108</v>
      </c>
      <c r="E845" s="74">
        <v>40770.430092592593</v>
      </c>
      <c r="F845" s="74"/>
      <c r="G845" s="75" t="str">
        <f>IF(stdProdLT(Main[[#This Row],[Comments]])=0.1,"N/A",IF(stdProdLT(Main[[#This Row],[Comments]])=0,"",stdProdLT(Main[[#This Row],[Comments]])))</f>
        <v/>
      </c>
      <c r="H845" s="76" t="str">
        <f>IF(AND(Main[[#This Row],[In Stock Date]]&lt;&gt;"",Main[[#This Row],[Revised Due Date]]&lt;&gt;""),Main[[#This Row],[In Stock Date]]-Main[[#This Row],[Revised Due Date]],"")</f>
        <v/>
      </c>
      <c r="I845" s="72" t="s">
        <v>4</v>
      </c>
      <c r="J845" s="72" t="s">
        <v>4</v>
      </c>
      <c r="K845" s="72" t="s">
        <v>4</v>
      </c>
      <c r="L845" s="74"/>
      <c r="M845" s="77" t="str">
        <f>IF(Main[[#This Row],[Tech Start Date]]&lt;1/1/1990,"",IF(Main[[#This Row],[Class]]="C",WORKDAY(Main[[#This Row],[Tech Start Date]],9),IF(Main[[#This Row],[Class]]="B", WORKDAY(Main[[#This Row],[Tech Start Date]],6),IF(Main[[#This Row],[Class]]="A",WORKDAY(Main[[#This Row],[Tech Start Date]],2),""))))</f>
        <v/>
      </c>
      <c r="N845" s="77" t="str">
        <f>IF(Main[[#This Row],[Tech Start Date]]&lt;1/1/1990,"",IF(Main[[#This Row],[Class]]="C",WORKDAY(Main[[#This Row],[Tech Start Date]],19),IF(Main[[#This Row],[Class]]="B", WORKDAY(Main[[#This Row],[Tech Start Date]],12),IF(Main[[#This Row],[Class]]="A",WORKDAY(Main[[#This Row],[Tech Start Date]],4),""))))</f>
        <v/>
      </c>
      <c r="O845" s="77" t="str">
        <f>IF(Main[[#This Row],[Tech Start Date]]&lt;1/1/1990,"",IF(Main[[#This Row],[Class]]="C",WORKDAY(Main[[#This Row],[Tech Start Date]],23),IF(Main[[#This Row],[Class]]="B", WORKDAY(Main[[#This Row],[Tech Start Date]],15),IF(Main[[#This Row],[Class]]="A",WORKDAY(Main[[#This Row],[Tech Start Date]],5),""))))</f>
        <v/>
      </c>
      <c r="P845" s="77" t="str">
        <f>IF(Main[[#This Row],[Tech Start Date]]&lt;1/1/1990,"",IF(Main[[#This Row],[Class]]="C",WORKDAY(Main[[#This Row],[Tech Start Date]],28),IF(Main[[#This Row],[Class]]="B", WORKDAY(Main[[#This Row],[Tech Start Date]],19),IF(Main[[#This Row],[Class]]="A",WORKDAY(Main[[#This Row],[Tech Start Date]],9),""))))</f>
        <v/>
      </c>
      <c r="Q845" s="74">
        <v>40791</v>
      </c>
      <c r="R845" s="74"/>
      <c r="S845" s="72" t="s">
        <v>6</v>
      </c>
      <c r="T845" s="80" t="s">
        <v>4</v>
      </c>
      <c r="U845" s="72" t="s">
        <v>7</v>
      </c>
      <c r="V845" s="72" t="s">
        <v>1917</v>
      </c>
      <c r="W845" s="72" t="s">
        <v>4</v>
      </c>
      <c r="X845" s="72" t="s">
        <v>2828</v>
      </c>
      <c r="Y845" s="72" t="s">
        <v>2944</v>
      </c>
      <c r="Z845" s="72" t="s">
        <v>4</v>
      </c>
      <c r="AA845" s="146" t="s">
        <v>2828</v>
      </c>
    </row>
    <row r="846" spans="1:27" ht="18.600000000000001" customHeight="1">
      <c r="A846" s="139" t="str">
        <f>IF(priority(Main[[#This Row],[Comments]])&lt;&gt;0, priority(Main[[#This Row],[Comments]]),"")</f>
        <v/>
      </c>
      <c r="B846" s="89" t="s">
        <v>3624</v>
      </c>
      <c r="C846" s="72" t="s">
        <v>2755</v>
      </c>
      <c r="D846" s="73" t="s">
        <v>3625</v>
      </c>
      <c r="E846" s="74">
        <v>40967.720405092594</v>
      </c>
      <c r="F846" s="74">
        <v>41030</v>
      </c>
      <c r="G846" s="75" t="str">
        <f>IF(stdProdLT(Main[[#This Row],[Comments]])=0.1,"N/A",IF(stdProdLT(Main[[#This Row],[Comments]])=0,"",stdProdLT(Main[[#This Row],[Comments]])))</f>
        <v/>
      </c>
      <c r="H846" s="76" t="str">
        <f>IF(AND(Main[[#This Row],[In Stock Date]]&lt;&gt;"",Main[[#This Row],[Revised Due Date]]&lt;&gt;""),Main[[#This Row],[In Stock Date]]-Main[[#This Row],[Revised Due Date]],"")</f>
        <v/>
      </c>
      <c r="I846" s="72" t="s">
        <v>4</v>
      </c>
      <c r="J846" s="72" t="s">
        <v>4</v>
      </c>
      <c r="K846" s="72" t="s">
        <v>4</v>
      </c>
      <c r="L846" s="74"/>
      <c r="M846" s="77" t="str">
        <f>IF(Main[[#This Row],[Tech Start Date]]&lt;1/1/1990,"",IF(Main[[#This Row],[Class]]="C",WORKDAY(Main[[#This Row],[Tech Start Date]],9),IF(Main[[#This Row],[Class]]="B", WORKDAY(Main[[#This Row],[Tech Start Date]],6),IF(Main[[#This Row],[Class]]="A",WORKDAY(Main[[#This Row],[Tech Start Date]],2),""))))</f>
        <v/>
      </c>
      <c r="N846" s="77" t="str">
        <f>IF(Main[[#This Row],[Tech Start Date]]&lt;1/1/1990,"",IF(Main[[#This Row],[Class]]="C",WORKDAY(Main[[#This Row],[Tech Start Date]],19),IF(Main[[#This Row],[Class]]="B", WORKDAY(Main[[#This Row],[Tech Start Date]],12),IF(Main[[#This Row],[Class]]="A",WORKDAY(Main[[#This Row],[Tech Start Date]],4),""))))</f>
        <v/>
      </c>
      <c r="O846" s="77" t="str">
        <f>IF(Main[[#This Row],[Tech Start Date]]&lt;1/1/1990,"",IF(Main[[#This Row],[Class]]="C",WORKDAY(Main[[#This Row],[Tech Start Date]],23),IF(Main[[#This Row],[Class]]="B", WORKDAY(Main[[#This Row],[Tech Start Date]],15),IF(Main[[#This Row],[Class]]="A",WORKDAY(Main[[#This Row],[Tech Start Date]],5),""))))</f>
        <v/>
      </c>
      <c r="P846" s="77" t="str">
        <f>IF(Main[[#This Row],[Tech Start Date]]&lt;1/1/1990,"",IF(Main[[#This Row],[Class]]="C",WORKDAY(Main[[#This Row],[Tech Start Date]],28),IF(Main[[#This Row],[Class]]="B", WORKDAY(Main[[#This Row],[Tech Start Date]],19),IF(Main[[#This Row],[Class]]="A",WORKDAY(Main[[#This Row],[Tech Start Date]],9),""))))</f>
        <v/>
      </c>
      <c r="Q846" s="74"/>
      <c r="R846" s="74"/>
      <c r="S846" s="72" t="s">
        <v>11</v>
      </c>
      <c r="T846" s="80" t="s">
        <v>4</v>
      </c>
      <c r="U846" s="72" t="s">
        <v>7</v>
      </c>
      <c r="V846" s="72" t="s">
        <v>1920</v>
      </c>
      <c r="W846" s="72" t="s">
        <v>1925</v>
      </c>
      <c r="X846" s="72" t="s">
        <v>50</v>
      </c>
      <c r="Y846" s="72" t="s">
        <v>3626</v>
      </c>
      <c r="Z846" s="72" t="s">
        <v>4</v>
      </c>
      <c r="AA846" s="146" t="s">
        <v>3461</v>
      </c>
    </row>
    <row r="847" spans="1:27" ht="18.600000000000001" customHeight="1">
      <c r="A847" s="139" t="str">
        <f>IF(priority(Main[[#This Row],[Comments]])&lt;&gt;0, priority(Main[[#This Row],[Comments]]),"")</f>
        <v/>
      </c>
      <c r="B847" s="89" t="s">
        <v>1652</v>
      </c>
      <c r="C847" s="72" t="s">
        <v>4</v>
      </c>
      <c r="D847" s="73" t="s">
        <v>718</v>
      </c>
      <c r="E847" s="74">
        <v>40651.462372685186</v>
      </c>
      <c r="F847" s="74"/>
      <c r="G847" s="75" t="str">
        <f>IF(stdProdLT(Main[[#This Row],[Comments]])=0.1,"N/A",IF(stdProdLT(Main[[#This Row],[Comments]])=0,"",stdProdLT(Main[[#This Row],[Comments]])))</f>
        <v/>
      </c>
      <c r="H847" s="76" t="str">
        <f>IF(AND(Main[[#This Row],[In Stock Date]]&lt;&gt;"",Main[[#This Row],[Revised Due Date]]&lt;&gt;""),Main[[#This Row],[In Stock Date]]-Main[[#This Row],[Revised Due Date]],"")</f>
        <v/>
      </c>
      <c r="I847" s="72" t="s">
        <v>30</v>
      </c>
      <c r="J847" s="72" t="s">
        <v>28</v>
      </c>
      <c r="K847" s="81" t="s">
        <v>1926</v>
      </c>
      <c r="L847" s="74"/>
      <c r="M847" s="77" t="str">
        <f>IF(Main[[#This Row],[Tech Start Date]]&lt;1/1/1990,"",IF(Main[[#This Row],[Class]]="C",WORKDAY(Main[[#This Row],[Tech Start Date]],9),IF(Main[[#This Row],[Class]]="B", WORKDAY(Main[[#This Row],[Tech Start Date]],6),IF(Main[[#This Row],[Class]]="A",WORKDAY(Main[[#This Row],[Tech Start Date]],2),""))))</f>
        <v/>
      </c>
      <c r="N847" s="77" t="str">
        <f>IF(Main[[#This Row],[Tech Start Date]]&lt;1/1/1990,"",IF(Main[[#This Row],[Class]]="C",WORKDAY(Main[[#This Row],[Tech Start Date]],19),IF(Main[[#This Row],[Class]]="B", WORKDAY(Main[[#This Row],[Tech Start Date]],12),IF(Main[[#This Row],[Class]]="A",WORKDAY(Main[[#This Row],[Tech Start Date]],4),""))))</f>
        <v/>
      </c>
      <c r="O847" s="77" t="str">
        <f>IF(Main[[#This Row],[Tech Start Date]]&lt;1/1/1990,"",IF(Main[[#This Row],[Class]]="C",WORKDAY(Main[[#This Row],[Tech Start Date]],23),IF(Main[[#This Row],[Class]]="B", WORKDAY(Main[[#This Row],[Tech Start Date]],15),IF(Main[[#This Row],[Class]]="A",WORKDAY(Main[[#This Row],[Tech Start Date]],5),""))))</f>
        <v/>
      </c>
      <c r="P847" s="77" t="str">
        <f>IF(Main[[#This Row],[Tech Start Date]]&lt;1/1/1990,"",IF(Main[[#This Row],[Class]]="C",WORKDAY(Main[[#This Row],[Tech Start Date]],28),IF(Main[[#This Row],[Class]]="B", WORKDAY(Main[[#This Row],[Tech Start Date]],19),IF(Main[[#This Row],[Class]]="A",WORKDAY(Main[[#This Row],[Tech Start Date]],9),""))))</f>
        <v/>
      </c>
      <c r="Q847" s="74">
        <v>40694</v>
      </c>
      <c r="R847" s="74"/>
      <c r="S847" s="72" t="s">
        <v>6</v>
      </c>
      <c r="T847" s="80" t="s">
        <v>4</v>
      </c>
      <c r="U847" s="72" t="s">
        <v>29</v>
      </c>
      <c r="V847" s="72" t="s">
        <v>1920</v>
      </c>
      <c r="W847" s="72" t="s">
        <v>1921</v>
      </c>
      <c r="X847" s="72" t="s">
        <v>30</v>
      </c>
      <c r="Y847" s="72" t="s">
        <v>2963</v>
      </c>
      <c r="Z847" s="72" t="s">
        <v>30</v>
      </c>
      <c r="AA847" s="146" t="s">
        <v>30</v>
      </c>
    </row>
    <row r="848" spans="1:27" ht="18.600000000000001" customHeight="1">
      <c r="A848" s="139" t="str">
        <f>IF(priority(Main[[#This Row],[Comments]])&lt;&gt;0, priority(Main[[#This Row],[Comments]]),"")</f>
        <v/>
      </c>
      <c r="B848" s="89" t="s">
        <v>2726</v>
      </c>
      <c r="C848" s="72" t="s">
        <v>2727</v>
      </c>
      <c r="D848" s="73" t="s">
        <v>3627</v>
      </c>
      <c r="E848" s="74">
        <v>40939.438969907409</v>
      </c>
      <c r="F848" s="74">
        <v>41061</v>
      </c>
      <c r="G848" s="75">
        <f>IF(stdProdLT(Main[[#This Row],[Comments]])=0.1,"N/A",IF(stdProdLT(Main[[#This Row],[Comments]])=0,"",stdProdLT(Main[[#This Row],[Comments]])))</f>
        <v>168</v>
      </c>
      <c r="H848" s="76" t="str">
        <f>IF(AND(Main[[#This Row],[In Stock Date]]&lt;&gt;"",Main[[#This Row],[Revised Due Date]]&lt;&gt;""),Main[[#This Row],[In Stock Date]]-Main[[#This Row],[Revised Due Date]],"")</f>
        <v/>
      </c>
      <c r="I848" s="72" t="s">
        <v>4</v>
      </c>
      <c r="J848" s="72" t="s">
        <v>4</v>
      </c>
      <c r="K848" s="72" t="s">
        <v>4</v>
      </c>
      <c r="L848" s="74"/>
      <c r="M848" s="77" t="str">
        <f>IF(Main[[#This Row],[Tech Start Date]]&lt;1/1/1990,"",IF(Main[[#This Row],[Class]]="C",WORKDAY(Main[[#This Row],[Tech Start Date]],9),IF(Main[[#This Row],[Class]]="B", WORKDAY(Main[[#This Row],[Tech Start Date]],6),IF(Main[[#This Row],[Class]]="A",WORKDAY(Main[[#This Row],[Tech Start Date]],2),""))))</f>
        <v/>
      </c>
      <c r="N848" s="77" t="str">
        <f>IF(Main[[#This Row],[Tech Start Date]]&lt;1/1/1990,"",IF(Main[[#This Row],[Class]]="C",WORKDAY(Main[[#This Row],[Tech Start Date]],19),IF(Main[[#This Row],[Class]]="B", WORKDAY(Main[[#This Row],[Tech Start Date]],12),IF(Main[[#This Row],[Class]]="A",WORKDAY(Main[[#This Row],[Tech Start Date]],4),""))))</f>
        <v/>
      </c>
      <c r="O848" s="77" t="str">
        <f>IF(Main[[#This Row],[Tech Start Date]]&lt;1/1/1990,"",IF(Main[[#This Row],[Class]]="C",WORKDAY(Main[[#This Row],[Tech Start Date]],23),IF(Main[[#This Row],[Class]]="B", WORKDAY(Main[[#This Row],[Tech Start Date]],15),IF(Main[[#This Row],[Class]]="A",WORKDAY(Main[[#This Row],[Tech Start Date]],5),""))))</f>
        <v/>
      </c>
      <c r="P848" s="77" t="str">
        <f>IF(Main[[#This Row],[Tech Start Date]]&lt;1/1/1990,"",IF(Main[[#This Row],[Class]]="C",WORKDAY(Main[[#This Row],[Tech Start Date]],28),IF(Main[[#This Row],[Class]]="B", WORKDAY(Main[[#This Row],[Tech Start Date]],19),IF(Main[[#This Row],[Class]]="A",WORKDAY(Main[[#This Row],[Tech Start Date]],9),""))))</f>
        <v/>
      </c>
      <c r="Q848" s="74"/>
      <c r="R848" s="74"/>
      <c r="S848" s="72" t="s">
        <v>11</v>
      </c>
      <c r="T848" s="80" t="s">
        <v>3628</v>
      </c>
      <c r="U848" s="72" t="s">
        <v>696</v>
      </c>
      <c r="V848" s="72" t="s">
        <v>1920</v>
      </c>
      <c r="W848" s="72" t="s">
        <v>1922</v>
      </c>
      <c r="X848" s="72" t="s">
        <v>2899</v>
      </c>
      <c r="Y848" s="72" t="s">
        <v>3061</v>
      </c>
      <c r="Z848" s="72" t="s">
        <v>4</v>
      </c>
      <c r="AA848" s="146" t="s">
        <v>2899</v>
      </c>
    </row>
    <row r="849" spans="1:27" ht="18.600000000000001" customHeight="1">
      <c r="A849" s="139" t="str">
        <f>IF(priority(Main[[#This Row],[Comments]])&lt;&gt;0, priority(Main[[#This Row],[Comments]]),"")</f>
        <v/>
      </c>
      <c r="B849" s="89" t="s">
        <v>2065</v>
      </c>
      <c r="C849" s="72" t="s">
        <v>4</v>
      </c>
      <c r="D849" s="73" t="s">
        <v>2066</v>
      </c>
      <c r="E849" s="74">
        <v>40759.465995370374</v>
      </c>
      <c r="F849" s="74"/>
      <c r="G849" s="75" t="str">
        <f>IF(stdProdLT(Main[[#This Row],[Comments]])=0.1,"N/A",IF(stdProdLT(Main[[#This Row],[Comments]])=0,"",stdProdLT(Main[[#This Row],[Comments]])))</f>
        <v/>
      </c>
      <c r="H849" s="76" t="str">
        <f>IF(AND(Main[[#This Row],[In Stock Date]]&lt;&gt;"",Main[[#This Row],[Revised Due Date]]&lt;&gt;""),Main[[#This Row],[In Stock Date]]-Main[[#This Row],[Revised Due Date]],"")</f>
        <v/>
      </c>
      <c r="I849" s="72" t="s">
        <v>914</v>
      </c>
      <c r="J849" s="72" t="s">
        <v>52</v>
      </c>
      <c r="K849" s="72" t="s">
        <v>4</v>
      </c>
      <c r="L849" s="74"/>
      <c r="M849" s="77" t="str">
        <f>IF(Main[[#This Row],[Tech Start Date]]&lt;1/1/1990,"",IF(Main[[#This Row],[Class]]="C",WORKDAY(Main[[#This Row],[Tech Start Date]],9),IF(Main[[#This Row],[Class]]="B", WORKDAY(Main[[#This Row],[Tech Start Date]],6),IF(Main[[#This Row],[Class]]="A",WORKDAY(Main[[#This Row],[Tech Start Date]],2),""))))</f>
        <v/>
      </c>
      <c r="N849" s="77" t="str">
        <f>IF(Main[[#This Row],[Tech Start Date]]&lt;1/1/1990,"",IF(Main[[#This Row],[Class]]="C",WORKDAY(Main[[#This Row],[Tech Start Date]],19),IF(Main[[#This Row],[Class]]="B", WORKDAY(Main[[#This Row],[Tech Start Date]],12),IF(Main[[#This Row],[Class]]="A",WORKDAY(Main[[#This Row],[Tech Start Date]],4),""))))</f>
        <v/>
      </c>
      <c r="O849" s="77" t="str">
        <f>IF(Main[[#This Row],[Tech Start Date]]&lt;1/1/1990,"",IF(Main[[#This Row],[Class]]="C",WORKDAY(Main[[#This Row],[Tech Start Date]],23),IF(Main[[#This Row],[Class]]="B", WORKDAY(Main[[#This Row],[Tech Start Date]],15),IF(Main[[#This Row],[Class]]="A",WORKDAY(Main[[#This Row],[Tech Start Date]],5),""))))</f>
        <v/>
      </c>
      <c r="P849" s="77" t="str">
        <f>IF(Main[[#This Row],[Tech Start Date]]&lt;1/1/1990,"",IF(Main[[#This Row],[Class]]="C",WORKDAY(Main[[#This Row],[Tech Start Date]],28),IF(Main[[#This Row],[Class]]="B", WORKDAY(Main[[#This Row],[Tech Start Date]],19),IF(Main[[#This Row],[Class]]="A",WORKDAY(Main[[#This Row],[Tech Start Date]],9),""))))</f>
        <v/>
      </c>
      <c r="Q849" s="74"/>
      <c r="R849" s="74"/>
      <c r="S849" s="72" t="s">
        <v>6</v>
      </c>
      <c r="T849" s="80" t="s">
        <v>4</v>
      </c>
      <c r="U849" s="72" t="s">
        <v>29</v>
      </c>
      <c r="V849" s="72" t="s">
        <v>1917</v>
      </c>
      <c r="W849" s="72" t="s">
        <v>1921</v>
      </c>
      <c r="X849" s="72" t="s">
        <v>914</v>
      </c>
      <c r="Y849" s="72" t="s">
        <v>3063</v>
      </c>
      <c r="Z849" s="72" t="s">
        <v>4</v>
      </c>
      <c r="AA849" s="146" t="s">
        <v>914</v>
      </c>
    </row>
    <row r="850" spans="1:27" ht="18.600000000000001" customHeight="1">
      <c r="A850" s="139" t="str">
        <f>IF(priority(Main[[#This Row],[Comments]])&lt;&gt;0, priority(Main[[#This Row],[Comments]]),"")</f>
        <v/>
      </c>
      <c r="B850" s="89" t="s">
        <v>1653</v>
      </c>
      <c r="C850" s="72" t="s">
        <v>33</v>
      </c>
      <c r="D850" s="73" t="s">
        <v>719</v>
      </c>
      <c r="E850" s="74"/>
      <c r="F850" s="74">
        <v>40530</v>
      </c>
      <c r="G850" s="75" t="str">
        <f>IF(stdProdLT(Main[[#This Row],[Comments]])=0.1,"N/A",IF(stdProdLT(Main[[#This Row],[Comments]])=0,"",stdProdLT(Main[[#This Row],[Comments]])))</f>
        <v/>
      </c>
      <c r="H850" s="76" t="str">
        <f>IF(AND(Main[[#This Row],[In Stock Date]]&lt;&gt;"",Main[[#This Row],[Revised Due Date]]&lt;&gt;""),Main[[#This Row],[In Stock Date]]-Main[[#This Row],[Revised Due Date]],"")</f>
        <v/>
      </c>
      <c r="I850" s="72" t="s">
        <v>74</v>
      </c>
      <c r="J850" s="72" t="s">
        <v>28</v>
      </c>
      <c r="K850" s="72" t="s">
        <v>1929</v>
      </c>
      <c r="L850" s="74"/>
      <c r="M850" s="77" t="str">
        <f>IF(Main[[#This Row],[Tech Start Date]]&lt;1/1/1990,"",IF(Main[[#This Row],[Class]]="C",WORKDAY(Main[[#This Row],[Tech Start Date]],9),IF(Main[[#This Row],[Class]]="B", WORKDAY(Main[[#This Row],[Tech Start Date]],6),IF(Main[[#This Row],[Class]]="A",WORKDAY(Main[[#This Row],[Tech Start Date]],2),""))))</f>
        <v/>
      </c>
      <c r="N850" s="77" t="str">
        <f>IF(Main[[#This Row],[Tech Start Date]]&lt;1/1/1990,"",IF(Main[[#This Row],[Class]]="C",WORKDAY(Main[[#This Row],[Tech Start Date]],19),IF(Main[[#This Row],[Class]]="B", WORKDAY(Main[[#This Row],[Tech Start Date]],12),IF(Main[[#This Row],[Class]]="A",WORKDAY(Main[[#This Row],[Tech Start Date]],4),""))))</f>
        <v/>
      </c>
      <c r="O850" s="77" t="str">
        <f>IF(Main[[#This Row],[Tech Start Date]]&lt;1/1/1990,"",IF(Main[[#This Row],[Class]]="C",WORKDAY(Main[[#This Row],[Tech Start Date]],23),IF(Main[[#This Row],[Class]]="B", WORKDAY(Main[[#This Row],[Tech Start Date]],15),IF(Main[[#This Row],[Class]]="A",WORKDAY(Main[[#This Row],[Tech Start Date]],5),""))))</f>
        <v/>
      </c>
      <c r="P850" s="77" t="str">
        <f>IF(Main[[#This Row],[Tech Start Date]]&lt;1/1/1990,"",IF(Main[[#This Row],[Class]]="C",WORKDAY(Main[[#This Row],[Tech Start Date]],28),IF(Main[[#This Row],[Class]]="B", WORKDAY(Main[[#This Row],[Tech Start Date]],19),IF(Main[[#This Row],[Class]]="A",WORKDAY(Main[[#This Row],[Tech Start Date]],9),""))))</f>
        <v/>
      </c>
      <c r="Q850" s="74">
        <v>40390</v>
      </c>
      <c r="R850" s="74"/>
      <c r="S850" s="72" t="s">
        <v>17</v>
      </c>
      <c r="T850" s="80" t="s">
        <v>4</v>
      </c>
      <c r="U850" s="72" t="s">
        <v>14</v>
      </c>
      <c r="V850" s="72" t="s">
        <v>1920</v>
      </c>
      <c r="W850" s="72" t="s">
        <v>1922</v>
      </c>
      <c r="X850" s="72" t="s">
        <v>2832</v>
      </c>
      <c r="Y850" s="72" t="s">
        <v>4</v>
      </c>
      <c r="Z850" s="72" t="s">
        <v>74</v>
      </c>
      <c r="AA850" s="146" t="s">
        <v>2832</v>
      </c>
    </row>
    <row r="851" spans="1:27" ht="18.600000000000001" customHeight="1">
      <c r="A851" s="139" t="str">
        <f>IF(priority(Main[[#This Row],[Comments]])&lt;&gt;0, priority(Main[[#This Row],[Comments]]),"")</f>
        <v/>
      </c>
      <c r="B851" s="89" t="s">
        <v>1654</v>
      </c>
      <c r="C851" s="72" t="s">
        <v>4</v>
      </c>
      <c r="D851" s="73" t="s">
        <v>537</v>
      </c>
      <c r="E851" s="74"/>
      <c r="F851" s="74"/>
      <c r="G851" s="75" t="str">
        <f>IF(stdProdLT(Main[[#This Row],[Comments]])=0.1,"N/A",IF(stdProdLT(Main[[#This Row],[Comments]])=0,"",stdProdLT(Main[[#This Row],[Comments]])))</f>
        <v/>
      </c>
      <c r="H851" s="76" t="str">
        <f>IF(AND(Main[[#This Row],[In Stock Date]]&lt;&gt;"",Main[[#This Row],[Revised Due Date]]&lt;&gt;""),Main[[#This Row],[In Stock Date]]-Main[[#This Row],[Revised Due Date]],"")</f>
        <v/>
      </c>
      <c r="I851" s="72" t="s">
        <v>4</v>
      </c>
      <c r="J851" s="72" t="s">
        <v>4</v>
      </c>
      <c r="K851" s="72" t="s">
        <v>4</v>
      </c>
      <c r="L851" s="74"/>
      <c r="M851" s="77" t="str">
        <f>IF(Main[[#This Row],[Tech Start Date]]&lt;1/1/1990,"",IF(Main[[#This Row],[Class]]="C",WORKDAY(Main[[#This Row],[Tech Start Date]],9),IF(Main[[#This Row],[Class]]="B", WORKDAY(Main[[#This Row],[Tech Start Date]],6),IF(Main[[#This Row],[Class]]="A",WORKDAY(Main[[#This Row],[Tech Start Date]],2),""))))</f>
        <v/>
      </c>
      <c r="N851" s="77" t="str">
        <f>IF(Main[[#This Row],[Tech Start Date]]&lt;1/1/1990,"",IF(Main[[#This Row],[Class]]="C",WORKDAY(Main[[#This Row],[Tech Start Date]],19),IF(Main[[#This Row],[Class]]="B", WORKDAY(Main[[#This Row],[Tech Start Date]],12),IF(Main[[#This Row],[Class]]="A",WORKDAY(Main[[#This Row],[Tech Start Date]],4),""))))</f>
        <v/>
      </c>
      <c r="O851" s="77" t="str">
        <f>IF(Main[[#This Row],[Tech Start Date]]&lt;1/1/1990,"",IF(Main[[#This Row],[Class]]="C",WORKDAY(Main[[#This Row],[Tech Start Date]],23),IF(Main[[#This Row],[Class]]="B", WORKDAY(Main[[#This Row],[Tech Start Date]],15),IF(Main[[#This Row],[Class]]="A",WORKDAY(Main[[#This Row],[Tech Start Date]],5),""))))</f>
        <v/>
      </c>
      <c r="P851" s="77" t="str">
        <f>IF(Main[[#This Row],[Tech Start Date]]&lt;1/1/1990,"",IF(Main[[#This Row],[Class]]="C",WORKDAY(Main[[#This Row],[Tech Start Date]],28),IF(Main[[#This Row],[Class]]="B", WORKDAY(Main[[#This Row],[Tech Start Date]],19),IF(Main[[#This Row],[Class]]="A",WORKDAY(Main[[#This Row],[Tech Start Date]],9),""))))</f>
        <v/>
      </c>
      <c r="Q851" s="74">
        <v>40606</v>
      </c>
      <c r="R851" s="74"/>
      <c r="S851" s="72" t="s">
        <v>6</v>
      </c>
      <c r="T851" s="80" t="s">
        <v>4</v>
      </c>
      <c r="U851" s="72" t="s">
        <v>14</v>
      </c>
      <c r="V851" s="72" t="s">
        <v>1920</v>
      </c>
      <c r="W851" s="72" t="s">
        <v>1921</v>
      </c>
      <c r="X851" s="72" t="s">
        <v>2842</v>
      </c>
      <c r="Y851" s="72" t="s">
        <v>2971</v>
      </c>
      <c r="Z851" s="72" t="s">
        <v>4</v>
      </c>
      <c r="AA851" s="146" t="s">
        <v>2842</v>
      </c>
    </row>
    <row r="852" spans="1:27" ht="18.600000000000001" customHeight="1">
      <c r="A852" s="139" t="str">
        <f>IF(priority(Main[[#This Row],[Comments]])&lt;&gt;0, priority(Main[[#This Row],[Comments]]),"")</f>
        <v/>
      </c>
      <c r="B852" s="89" t="s">
        <v>1409</v>
      </c>
      <c r="C852" s="72" t="s">
        <v>4</v>
      </c>
      <c r="D852" s="73" t="s">
        <v>1953</v>
      </c>
      <c r="E852" s="74"/>
      <c r="F852" s="74"/>
      <c r="G852" s="75" t="str">
        <f>IF(stdProdLT(Main[[#This Row],[Comments]])=0.1,"N/A",IF(stdProdLT(Main[[#This Row],[Comments]])=0,"",stdProdLT(Main[[#This Row],[Comments]])))</f>
        <v/>
      </c>
      <c r="H852" s="76" t="str">
        <f>IF(AND(Main[[#This Row],[In Stock Date]]&lt;&gt;"",Main[[#This Row],[Revised Due Date]]&lt;&gt;""),Main[[#This Row],[In Stock Date]]-Main[[#This Row],[Revised Due Date]],"")</f>
        <v/>
      </c>
      <c r="I852" s="72" t="s">
        <v>4</v>
      </c>
      <c r="J852" s="72" t="s">
        <v>4</v>
      </c>
      <c r="K852" s="72" t="s">
        <v>4</v>
      </c>
      <c r="L852" s="74"/>
      <c r="M852" s="77" t="str">
        <f>IF(Main[[#This Row],[Tech Start Date]]&lt;1/1/1990,"",IF(Main[[#This Row],[Class]]="C",WORKDAY(Main[[#This Row],[Tech Start Date]],9),IF(Main[[#This Row],[Class]]="B", WORKDAY(Main[[#This Row],[Tech Start Date]],6),IF(Main[[#This Row],[Class]]="A",WORKDAY(Main[[#This Row],[Tech Start Date]],2),""))))</f>
        <v/>
      </c>
      <c r="N852" s="77" t="str">
        <f>IF(Main[[#This Row],[Tech Start Date]]&lt;1/1/1990,"",IF(Main[[#This Row],[Class]]="C",WORKDAY(Main[[#This Row],[Tech Start Date]],19),IF(Main[[#This Row],[Class]]="B", WORKDAY(Main[[#This Row],[Tech Start Date]],12),IF(Main[[#This Row],[Class]]="A",WORKDAY(Main[[#This Row],[Tech Start Date]],4),""))))</f>
        <v/>
      </c>
      <c r="O852" s="77" t="str">
        <f>IF(Main[[#This Row],[Tech Start Date]]&lt;1/1/1990,"",IF(Main[[#This Row],[Class]]="C",WORKDAY(Main[[#This Row],[Tech Start Date]],23),IF(Main[[#This Row],[Class]]="B", WORKDAY(Main[[#This Row],[Tech Start Date]],15),IF(Main[[#This Row],[Class]]="A",WORKDAY(Main[[#This Row],[Tech Start Date]],5),""))))</f>
        <v/>
      </c>
      <c r="P852" s="77" t="str">
        <f>IF(Main[[#This Row],[Tech Start Date]]&lt;1/1/1990,"",IF(Main[[#This Row],[Class]]="C",WORKDAY(Main[[#This Row],[Tech Start Date]],28),IF(Main[[#This Row],[Class]]="B", WORKDAY(Main[[#This Row],[Tech Start Date]],19),IF(Main[[#This Row],[Class]]="A",WORKDAY(Main[[#This Row],[Tech Start Date]],9),""))))</f>
        <v/>
      </c>
      <c r="Q852" s="74"/>
      <c r="R852" s="74"/>
      <c r="S852" s="72" t="s">
        <v>6</v>
      </c>
      <c r="T852" s="80" t="s">
        <v>4</v>
      </c>
      <c r="U852" s="72" t="s">
        <v>14</v>
      </c>
      <c r="V852" s="72" t="s">
        <v>1918</v>
      </c>
      <c r="W852" s="72" t="s">
        <v>1919</v>
      </c>
      <c r="X852" s="72" t="s">
        <v>924</v>
      </c>
      <c r="Y852" s="72" t="s">
        <v>3026</v>
      </c>
      <c r="Z852" s="72" t="s">
        <v>4</v>
      </c>
      <c r="AA852" s="146" t="s">
        <v>3415</v>
      </c>
    </row>
    <row r="853" spans="1:27" ht="18.600000000000001" customHeight="1">
      <c r="A853" s="139" t="str">
        <f>IF(priority(Main[[#This Row],[Comments]])&lt;&gt;0, priority(Main[[#This Row],[Comments]]),"")</f>
        <v/>
      </c>
      <c r="B853" s="89" t="s">
        <v>1655</v>
      </c>
      <c r="C853" s="72" t="s">
        <v>4</v>
      </c>
      <c r="D853" s="73" t="s">
        <v>720</v>
      </c>
      <c r="E853" s="74"/>
      <c r="F853" s="74">
        <v>40598</v>
      </c>
      <c r="G853" s="75" t="str">
        <f>IF(stdProdLT(Main[[#This Row],[Comments]])=0.1,"N/A",IF(stdProdLT(Main[[#This Row],[Comments]])=0,"",stdProdLT(Main[[#This Row],[Comments]])))</f>
        <v/>
      </c>
      <c r="H853" s="76" t="str">
        <f>IF(AND(Main[[#This Row],[In Stock Date]]&lt;&gt;"",Main[[#This Row],[Revised Due Date]]&lt;&gt;""),Main[[#This Row],[In Stock Date]]-Main[[#This Row],[Revised Due Date]],"")</f>
        <v/>
      </c>
      <c r="I853" s="72" t="s">
        <v>306</v>
      </c>
      <c r="J853" s="72" t="s">
        <v>75</v>
      </c>
      <c r="K853" s="81" t="s">
        <v>4</v>
      </c>
      <c r="L853" s="74"/>
      <c r="M853" s="77" t="str">
        <f>IF(Main[[#This Row],[Tech Start Date]]&lt;1/1/1990,"",IF(Main[[#This Row],[Class]]="C",WORKDAY(Main[[#This Row],[Tech Start Date]],9),IF(Main[[#This Row],[Class]]="B", WORKDAY(Main[[#This Row],[Tech Start Date]],6),IF(Main[[#This Row],[Class]]="A",WORKDAY(Main[[#This Row],[Tech Start Date]],2),""))))</f>
        <v/>
      </c>
      <c r="N853" s="77" t="str">
        <f>IF(Main[[#This Row],[Tech Start Date]]&lt;1/1/1990,"",IF(Main[[#This Row],[Class]]="C",WORKDAY(Main[[#This Row],[Tech Start Date]],19),IF(Main[[#This Row],[Class]]="B", WORKDAY(Main[[#This Row],[Tech Start Date]],12),IF(Main[[#This Row],[Class]]="A",WORKDAY(Main[[#This Row],[Tech Start Date]],4),""))))</f>
        <v/>
      </c>
      <c r="O853" s="77" t="str">
        <f>IF(Main[[#This Row],[Tech Start Date]]&lt;1/1/1990,"",IF(Main[[#This Row],[Class]]="C",WORKDAY(Main[[#This Row],[Tech Start Date]],23),IF(Main[[#This Row],[Class]]="B", WORKDAY(Main[[#This Row],[Tech Start Date]],15),IF(Main[[#This Row],[Class]]="A",WORKDAY(Main[[#This Row],[Tech Start Date]],5),""))))</f>
        <v/>
      </c>
      <c r="P853" s="77" t="str">
        <f>IF(Main[[#This Row],[Tech Start Date]]&lt;1/1/1990,"",IF(Main[[#This Row],[Class]]="C",WORKDAY(Main[[#This Row],[Tech Start Date]],28),IF(Main[[#This Row],[Class]]="B", WORKDAY(Main[[#This Row],[Tech Start Date]],19),IF(Main[[#This Row],[Class]]="A",WORKDAY(Main[[#This Row],[Tech Start Date]],9),""))))</f>
        <v/>
      </c>
      <c r="Q853" s="74">
        <v>40598</v>
      </c>
      <c r="R853" s="74"/>
      <c r="S853" s="72" t="s">
        <v>6</v>
      </c>
      <c r="T853" s="80" t="s">
        <v>4</v>
      </c>
      <c r="U853" s="72" t="s">
        <v>14</v>
      </c>
      <c r="V853" s="72" t="s">
        <v>1927</v>
      </c>
      <c r="W853" s="72" t="s">
        <v>1923</v>
      </c>
      <c r="X853" s="72" t="s">
        <v>2854</v>
      </c>
      <c r="Y853" s="72" t="s">
        <v>2985</v>
      </c>
      <c r="Z853" s="72" t="s">
        <v>306</v>
      </c>
      <c r="AA853" s="146" t="s">
        <v>2854</v>
      </c>
    </row>
    <row r="854" spans="1:27" ht="18.600000000000001" customHeight="1">
      <c r="A854" s="139" t="str">
        <f>IF(priority(Main[[#This Row],[Comments]])&lt;&gt;0, priority(Main[[#This Row],[Comments]]),"")</f>
        <v/>
      </c>
      <c r="B854" s="89" t="s">
        <v>1656</v>
      </c>
      <c r="C854" s="72" t="s">
        <v>347</v>
      </c>
      <c r="D854" s="73" t="s">
        <v>721</v>
      </c>
      <c r="E854" s="74"/>
      <c r="F854" s="74"/>
      <c r="G854" s="75" t="str">
        <f>IF(stdProdLT(Main[[#This Row],[Comments]])=0.1,"N/A",IF(stdProdLT(Main[[#This Row],[Comments]])=0,"",stdProdLT(Main[[#This Row],[Comments]])))</f>
        <v/>
      </c>
      <c r="H854" s="76" t="str">
        <f>IF(AND(Main[[#This Row],[In Stock Date]]&lt;&gt;"",Main[[#This Row],[Revised Due Date]]&lt;&gt;""),Main[[#This Row],[In Stock Date]]-Main[[#This Row],[Revised Due Date]],"")</f>
        <v/>
      </c>
      <c r="I854" s="72" t="s">
        <v>4</v>
      </c>
      <c r="J854" s="72" t="s">
        <v>28</v>
      </c>
      <c r="K854" s="72" t="s">
        <v>1929</v>
      </c>
      <c r="L854" s="74"/>
      <c r="M854" s="77" t="str">
        <f>IF(Main[[#This Row],[Tech Start Date]]&lt;1/1/1990,"",IF(Main[[#This Row],[Class]]="C",WORKDAY(Main[[#This Row],[Tech Start Date]],9),IF(Main[[#This Row],[Class]]="B", WORKDAY(Main[[#This Row],[Tech Start Date]],6),IF(Main[[#This Row],[Class]]="A",WORKDAY(Main[[#This Row],[Tech Start Date]],2),""))))</f>
        <v/>
      </c>
      <c r="N854" s="77" t="str">
        <f>IF(Main[[#This Row],[Tech Start Date]]&lt;1/1/1990,"",IF(Main[[#This Row],[Class]]="C",WORKDAY(Main[[#This Row],[Tech Start Date]],19),IF(Main[[#This Row],[Class]]="B", WORKDAY(Main[[#This Row],[Tech Start Date]],12),IF(Main[[#This Row],[Class]]="A",WORKDAY(Main[[#This Row],[Tech Start Date]],4),""))))</f>
        <v/>
      </c>
      <c r="O854" s="77" t="str">
        <f>IF(Main[[#This Row],[Tech Start Date]]&lt;1/1/1990,"",IF(Main[[#This Row],[Class]]="C",WORKDAY(Main[[#This Row],[Tech Start Date]],23),IF(Main[[#This Row],[Class]]="B", WORKDAY(Main[[#This Row],[Tech Start Date]],15),IF(Main[[#This Row],[Class]]="A",WORKDAY(Main[[#This Row],[Tech Start Date]],5),""))))</f>
        <v/>
      </c>
      <c r="P854" s="77" t="str">
        <f>IF(Main[[#This Row],[Tech Start Date]]&lt;1/1/1990,"",IF(Main[[#This Row],[Class]]="C",WORKDAY(Main[[#This Row],[Tech Start Date]],28),IF(Main[[#This Row],[Class]]="B", WORKDAY(Main[[#This Row],[Tech Start Date]],19),IF(Main[[#This Row],[Class]]="A",WORKDAY(Main[[#This Row],[Tech Start Date]],9),""))))</f>
        <v/>
      </c>
      <c r="Q854" s="74"/>
      <c r="R854" s="74"/>
      <c r="S854" s="72" t="s">
        <v>17</v>
      </c>
      <c r="T854" s="80" t="s">
        <v>4</v>
      </c>
      <c r="U854" s="72" t="s">
        <v>14</v>
      </c>
      <c r="V854" s="72" t="s">
        <v>1920</v>
      </c>
      <c r="W854" s="72" t="s">
        <v>1922</v>
      </c>
      <c r="X854" s="72" t="s">
        <v>50</v>
      </c>
      <c r="Y854" s="72" t="s">
        <v>3099</v>
      </c>
      <c r="Z854" s="72" t="s">
        <v>415</v>
      </c>
      <c r="AA854" s="146" t="s">
        <v>2878</v>
      </c>
    </row>
    <row r="855" spans="1:27" ht="18.600000000000001" customHeight="1">
      <c r="A855" s="139" t="str">
        <f>IF(priority(Main[[#This Row],[Comments]])&lt;&gt;0, priority(Main[[#This Row],[Comments]]),"")</f>
        <v/>
      </c>
      <c r="B855" s="89" t="s">
        <v>1658</v>
      </c>
      <c r="C855" s="72" t="s">
        <v>31</v>
      </c>
      <c r="D855" s="73" t="s">
        <v>388</v>
      </c>
      <c r="E855" s="74"/>
      <c r="F855" s="74">
        <v>40288</v>
      </c>
      <c r="G855" s="75" t="str">
        <f>IF(stdProdLT(Main[[#This Row],[Comments]])=0.1,"N/A",IF(stdProdLT(Main[[#This Row],[Comments]])=0,"",stdProdLT(Main[[#This Row],[Comments]])))</f>
        <v/>
      </c>
      <c r="H855" s="76" t="str">
        <f>IF(AND(Main[[#This Row],[In Stock Date]]&lt;&gt;"",Main[[#This Row],[Revised Due Date]]&lt;&gt;""),Main[[#This Row],[In Stock Date]]-Main[[#This Row],[Revised Due Date]],"")</f>
        <v/>
      </c>
      <c r="I855" s="72" t="s">
        <v>4</v>
      </c>
      <c r="J855" s="72" t="s">
        <v>4</v>
      </c>
      <c r="K855" s="72" t="s">
        <v>4</v>
      </c>
      <c r="L855" s="74"/>
      <c r="M855" s="77" t="str">
        <f>IF(Main[[#This Row],[Tech Start Date]]&lt;1/1/1990,"",IF(Main[[#This Row],[Class]]="C",WORKDAY(Main[[#This Row],[Tech Start Date]],9),IF(Main[[#This Row],[Class]]="B", WORKDAY(Main[[#This Row],[Tech Start Date]],6),IF(Main[[#This Row],[Class]]="A",WORKDAY(Main[[#This Row],[Tech Start Date]],2),""))))</f>
        <v/>
      </c>
      <c r="N855" s="77" t="str">
        <f>IF(Main[[#This Row],[Tech Start Date]]&lt;1/1/1990,"",IF(Main[[#This Row],[Class]]="C",WORKDAY(Main[[#This Row],[Tech Start Date]],19),IF(Main[[#This Row],[Class]]="B", WORKDAY(Main[[#This Row],[Tech Start Date]],12),IF(Main[[#This Row],[Class]]="A",WORKDAY(Main[[#This Row],[Tech Start Date]],4),""))))</f>
        <v/>
      </c>
      <c r="O855" s="77" t="str">
        <f>IF(Main[[#This Row],[Tech Start Date]]&lt;1/1/1990,"",IF(Main[[#This Row],[Class]]="C",WORKDAY(Main[[#This Row],[Tech Start Date]],23),IF(Main[[#This Row],[Class]]="B", WORKDAY(Main[[#This Row],[Tech Start Date]],15),IF(Main[[#This Row],[Class]]="A",WORKDAY(Main[[#This Row],[Tech Start Date]],5),""))))</f>
        <v/>
      </c>
      <c r="P855" s="77" t="str">
        <f>IF(Main[[#This Row],[Tech Start Date]]&lt;1/1/1990,"",IF(Main[[#This Row],[Class]]="C",WORKDAY(Main[[#This Row],[Tech Start Date]],28),IF(Main[[#This Row],[Class]]="B", WORKDAY(Main[[#This Row],[Tech Start Date]],19),IF(Main[[#This Row],[Class]]="A",WORKDAY(Main[[#This Row],[Tech Start Date]],9),""))))</f>
        <v/>
      </c>
      <c r="Q855" s="74">
        <v>40106</v>
      </c>
      <c r="R855" s="74"/>
      <c r="S855" s="72" t="s">
        <v>11</v>
      </c>
      <c r="T855" s="80" t="s">
        <v>4</v>
      </c>
      <c r="U855" s="72" t="s">
        <v>14</v>
      </c>
      <c r="V855" s="72" t="s">
        <v>1920</v>
      </c>
      <c r="W855" s="72" t="s">
        <v>1928</v>
      </c>
      <c r="X855" s="72" t="s">
        <v>2836</v>
      </c>
      <c r="Y855" s="72" t="s">
        <v>4</v>
      </c>
      <c r="Z855" s="72" t="s">
        <v>4</v>
      </c>
      <c r="AA855" s="146" t="s">
        <v>2836</v>
      </c>
    </row>
    <row r="856" spans="1:27" ht="18.600000000000001" customHeight="1">
      <c r="A856" s="140" t="str">
        <f>IF(priority(Main[[#This Row],[Comments]])&lt;&gt;0, priority(Main[[#This Row],[Comments]]),"")</f>
        <v/>
      </c>
      <c r="B856" s="89" t="s">
        <v>1659</v>
      </c>
      <c r="C856" s="82" t="s">
        <v>4</v>
      </c>
      <c r="D856" s="83" t="s">
        <v>723</v>
      </c>
      <c r="E856" s="84"/>
      <c r="F856" s="84">
        <v>40640</v>
      </c>
      <c r="G856" s="82" t="str">
        <f>IF(stdProdLT(Main[[#This Row],[Comments]])=0.1,"N/A",IF(stdProdLT(Main[[#This Row],[Comments]])=0,"",stdProdLT(Main[[#This Row],[Comments]])))</f>
        <v/>
      </c>
      <c r="H856" s="85" t="str">
        <f>IF(AND(Main[[#This Row],[In Stock Date]]&lt;&gt;"",Main[[#This Row],[Revised Due Date]]&lt;&gt;""),Main[[#This Row],[In Stock Date]]-Main[[#This Row],[Revised Due Date]],"")</f>
        <v/>
      </c>
      <c r="I856" s="82" t="s">
        <v>4</v>
      </c>
      <c r="J856" s="82" t="s">
        <v>28</v>
      </c>
      <c r="K856" s="82" t="s">
        <v>1930</v>
      </c>
      <c r="L856" s="84"/>
      <c r="M856" s="86" t="str">
        <f>IF(Main[[#This Row],[Tech Start Date]]&lt;1/1/1990,"",IF(Main[[#This Row],[Class]]="C",WORKDAY(Main[[#This Row],[Tech Start Date]],9),IF(Main[[#This Row],[Class]]="B", WORKDAY(Main[[#This Row],[Tech Start Date]],6),IF(Main[[#This Row],[Class]]="A",WORKDAY(Main[[#This Row],[Tech Start Date]],2),""))))</f>
        <v/>
      </c>
      <c r="N856" s="86" t="str">
        <f>IF(Main[[#This Row],[Tech Start Date]]&lt;1/1/1990,"",IF(Main[[#This Row],[Class]]="C",WORKDAY(Main[[#This Row],[Tech Start Date]],19),IF(Main[[#This Row],[Class]]="B", WORKDAY(Main[[#This Row],[Tech Start Date]],12),IF(Main[[#This Row],[Class]]="A",WORKDAY(Main[[#This Row],[Tech Start Date]],4),""))))</f>
        <v/>
      </c>
      <c r="O856" s="86" t="str">
        <f>IF(Main[[#This Row],[Tech Start Date]]&lt;1/1/1990,"",IF(Main[[#This Row],[Class]]="C",WORKDAY(Main[[#This Row],[Tech Start Date]],23),IF(Main[[#This Row],[Class]]="B", WORKDAY(Main[[#This Row],[Tech Start Date]],15),IF(Main[[#This Row],[Class]]="A",WORKDAY(Main[[#This Row],[Tech Start Date]],5),""))))</f>
        <v/>
      </c>
      <c r="P856" s="86" t="str">
        <f>IF(Main[[#This Row],[Tech Start Date]]&lt;1/1/1990,"",IF(Main[[#This Row],[Class]]="C",WORKDAY(Main[[#This Row],[Tech Start Date]],28),IF(Main[[#This Row],[Class]]="B", WORKDAY(Main[[#This Row],[Tech Start Date]],19),IF(Main[[#This Row],[Class]]="A",WORKDAY(Main[[#This Row],[Tech Start Date]],9),""))))</f>
        <v/>
      </c>
      <c r="Q856" s="84">
        <v>40640</v>
      </c>
      <c r="R856" s="84"/>
      <c r="S856" s="82" t="s">
        <v>11</v>
      </c>
      <c r="T856" s="87" t="s">
        <v>4</v>
      </c>
      <c r="U856" s="82" t="s">
        <v>14</v>
      </c>
      <c r="V856" s="82" t="s">
        <v>1917</v>
      </c>
      <c r="W856" s="82" t="s">
        <v>1925</v>
      </c>
      <c r="X856" s="82" t="s">
        <v>2867</v>
      </c>
      <c r="Y856" s="82" t="s">
        <v>3011</v>
      </c>
      <c r="Z856" s="82" t="s">
        <v>129</v>
      </c>
      <c r="AA856" s="146" t="s">
        <v>2867</v>
      </c>
    </row>
    <row r="857" spans="1:27" ht="18.600000000000001" customHeight="1">
      <c r="A857" s="139" t="str">
        <f>IF(priority(Main[[#This Row],[Comments]])&lt;&gt;0, priority(Main[[#This Row],[Comments]]),"")</f>
        <v/>
      </c>
      <c r="B857" s="89" t="s">
        <v>1660</v>
      </c>
      <c r="C857" s="72" t="s">
        <v>4</v>
      </c>
      <c r="D857" s="73" t="s">
        <v>724</v>
      </c>
      <c r="E857" s="74"/>
      <c r="F857" s="74"/>
      <c r="G857" s="75" t="str">
        <f>IF(stdProdLT(Main[[#This Row],[Comments]])=0.1,"N/A",IF(stdProdLT(Main[[#This Row],[Comments]])=0,"",stdProdLT(Main[[#This Row],[Comments]])))</f>
        <v/>
      </c>
      <c r="H857" s="76" t="str">
        <f>IF(AND(Main[[#This Row],[In Stock Date]]&lt;&gt;"",Main[[#This Row],[Revised Due Date]]&lt;&gt;""),Main[[#This Row],[In Stock Date]]-Main[[#This Row],[Revised Due Date]],"")</f>
        <v/>
      </c>
      <c r="I857" s="72" t="s">
        <v>4</v>
      </c>
      <c r="J857" s="72" t="s">
        <v>4</v>
      </c>
      <c r="K857" s="72" t="s">
        <v>4</v>
      </c>
      <c r="L857" s="74"/>
      <c r="M857" s="77" t="str">
        <f>IF(Main[[#This Row],[Tech Start Date]]&lt;1/1/1990,"",IF(Main[[#This Row],[Class]]="C",WORKDAY(Main[[#This Row],[Tech Start Date]],9),IF(Main[[#This Row],[Class]]="B", WORKDAY(Main[[#This Row],[Tech Start Date]],6),IF(Main[[#This Row],[Class]]="A",WORKDAY(Main[[#This Row],[Tech Start Date]],2),""))))</f>
        <v/>
      </c>
      <c r="N857" s="77" t="str">
        <f>IF(Main[[#This Row],[Tech Start Date]]&lt;1/1/1990,"",IF(Main[[#This Row],[Class]]="C",WORKDAY(Main[[#This Row],[Tech Start Date]],19),IF(Main[[#This Row],[Class]]="B", WORKDAY(Main[[#This Row],[Tech Start Date]],12),IF(Main[[#This Row],[Class]]="A",WORKDAY(Main[[#This Row],[Tech Start Date]],4),""))))</f>
        <v/>
      </c>
      <c r="O857" s="77" t="str">
        <f>IF(Main[[#This Row],[Tech Start Date]]&lt;1/1/1990,"",IF(Main[[#This Row],[Class]]="C",WORKDAY(Main[[#This Row],[Tech Start Date]],23),IF(Main[[#This Row],[Class]]="B", WORKDAY(Main[[#This Row],[Tech Start Date]],15),IF(Main[[#This Row],[Class]]="A",WORKDAY(Main[[#This Row],[Tech Start Date]],5),""))))</f>
        <v/>
      </c>
      <c r="P857" s="77" t="str">
        <f>IF(Main[[#This Row],[Tech Start Date]]&lt;1/1/1990,"",IF(Main[[#This Row],[Class]]="C",WORKDAY(Main[[#This Row],[Tech Start Date]],28),IF(Main[[#This Row],[Class]]="B", WORKDAY(Main[[#This Row],[Tech Start Date]],19),IF(Main[[#This Row],[Class]]="A",WORKDAY(Main[[#This Row],[Tech Start Date]],9),""))))</f>
        <v/>
      </c>
      <c r="Q857" s="74">
        <v>40385</v>
      </c>
      <c r="R857" s="74"/>
      <c r="S857" s="72" t="s">
        <v>6</v>
      </c>
      <c r="T857" s="80" t="s">
        <v>4</v>
      </c>
      <c r="U857" s="72" t="s">
        <v>14</v>
      </c>
      <c r="V857" s="72" t="s">
        <v>1920</v>
      </c>
      <c r="W857" s="72" t="s">
        <v>1919</v>
      </c>
      <c r="X857" s="72" t="s">
        <v>102</v>
      </c>
      <c r="Y857" s="72" t="s">
        <v>3038</v>
      </c>
      <c r="Z857" s="72" t="s">
        <v>4</v>
      </c>
      <c r="AA857" s="146" t="s">
        <v>3408</v>
      </c>
    </row>
    <row r="858" spans="1:27" ht="18.600000000000001" customHeight="1">
      <c r="A858" s="139" t="str">
        <f>IF(priority(Main[[#This Row],[Comments]])&lt;&gt;0, priority(Main[[#This Row],[Comments]]),"")</f>
        <v/>
      </c>
      <c r="B858" s="89" t="s">
        <v>2111</v>
      </c>
      <c r="C858" s="72" t="s">
        <v>2112</v>
      </c>
      <c r="D858" s="73" t="s">
        <v>2113</v>
      </c>
      <c r="E858" s="74">
        <v>40766.692789351851</v>
      </c>
      <c r="F858" s="74"/>
      <c r="G858" s="75" t="str">
        <f>IF(stdProdLT(Main[[#This Row],[Comments]])=0.1,"N/A",IF(stdProdLT(Main[[#This Row],[Comments]])=0,"",stdProdLT(Main[[#This Row],[Comments]])))</f>
        <v/>
      </c>
      <c r="H858" s="76" t="str">
        <f>IF(AND(Main[[#This Row],[In Stock Date]]&lt;&gt;"",Main[[#This Row],[Revised Due Date]]&lt;&gt;""),Main[[#This Row],[In Stock Date]]-Main[[#This Row],[Revised Due Date]],"")</f>
        <v/>
      </c>
      <c r="I858" s="72" t="s">
        <v>4</v>
      </c>
      <c r="J858" s="72" t="s">
        <v>4</v>
      </c>
      <c r="K858" s="72" t="s">
        <v>4</v>
      </c>
      <c r="L858" s="74"/>
      <c r="M858" s="77" t="str">
        <f>IF(Main[[#This Row],[Tech Start Date]]&lt;1/1/1990,"",IF(Main[[#This Row],[Class]]="C",WORKDAY(Main[[#This Row],[Tech Start Date]],9),IF(Main[[#This Row],[Class]]="B", WORKDAY(Main[[#This Row],[Tech Start Date]],6),IF(Main[[#This Row],[Class]]="A",WORKDAY(Main[[#This Row],[Tech Start Date]],2),""))))</f>
        <v/>
      </c>
      <c r="N858" s="77" t="str">
        <f>IF(Main[[#This Row],[Tech Start Date]]&lt;1/1/1990,"",IF(Main[[#This Row],[Class]]="C",WORKDAY(Main[[#This Row],[Tech Start Date]],19),IF(Main[[#This Row],[Class]]="B", WORKDAY(Main[[#This Row],[Tech Start Date]],12),IF(Main[[#This Row],[Class]]="A",WORKDAY(Main[[#This Row],[Tech Start Date]],4),""))))</f>
        <v/>
      </c>
      <c r="O858" s="77" t="str">
        <f>IF(Main[[#This Row],[Tech Start Date]]&lt;1/1/1990,"",IF(Main[[#This Row],[Class]]="C",WORKDAY(Main[[#This Row],[Tech Start Date]],23),IF(Main[[#This Row],[Class]]="B", WORKDAY(Main[[#This Row],[Tech Start Date]],15),IF(Main[[#This Row],[Class]]="A",WORKDAY(Main[[#This Row],[Tech Start Date]],5),""))))</f>
        <v/>
      </c>
      <c r="P858" s="77" t="str">
        <f>IF(Main[[#This Row],[Tech Start Date]]&lt;1/1/1990,"",IF(Main[[#This Row],[Class]]="C",WORKDAY(Main[[#This Row],[Tech Start Date]],28),IF(Main[[#This Row],[Class]]="B", WORKDAY(Main[[#This Row],[Tech Start Date]],19),IF(Main[[#This Row],[Class]]="A",WORKDAY(Main[[#This Row],[Tech Start Date]],9),""))))</f>
        <v/>
      </c>
      <c r="Q858" s="74">
        <v>40879</v>
      </c>
      <c r="R858" s="74"/>
      <c r="S858" s="72" t="s">
        <v>17</v>
      </c>
      <c r="T858" s="80" t="s">
        <v>4</v>
      </c>
      <c r="U858" s="72" t="s">
        <v>7</v>
      </c>
      <c r="V858" s="72" t="s">
        <v>1932</v>
      </c>
      <c r="W858" s="72" t="s">
        <v>4</v>
      </c>
      <c r="X858" s="72" t="s">
        <v>958</v>
      </c>
      <c r="Y858" s="72" t="s">
        <v>3100</v>
      </c>
      <c r="Z858" s="72" t="s">
        <v>4</v>
      </c>
      <c r="AA858" s="146" t="s">
        <v>958</v>
      </c>
    </row>
    <row r="859" spans="1:27" ht="18.600000000000001" customHeight="1">
      <c r="A859" s="139" t="str">
        <f>IF(priority(Main[[#This Row],[Comments]])&lt;&gt;0, priority(Main[[#This Row],[Comments]]),"")</f>
        <v/>
      </c>
      <c r="B859" s="89" t="s">
        <v>2014</v>
      </c>
      <c r="C859" s="72" t="s">
        <v>4</v>
      </c>
      <c r="D859" s="73" t="s">
        <v>2093</v>
      </c>
      <c r="E859" s="74">
        <v>40745.696377314816</v>
      </c>
      <c r="F859" s="74"/>
      <c r="G859" s="75" t="str">
        <f>IF(stdProdLT(Main[[#This Row],[Comments]])=0.1,"N/A",IF(stdProdLT(Main[[#This Row],[Comments]])=0,"",stdProdLT(Main[[#This Row],[Comments]])))</f>
        <v/>
      </c>
      <c r="H859" s="76" t="str">
        <f>IF(AND(Main[[#This Row],[In Stock Date]]&lt;&gt;"",Main[[#This Row],[Revised Due Date]]&lt;&gt;""),Main[[#This Row],[In Stock Date]]-Main[[#This Row],[Revised Due Date]],"")</f>
        <v/>
      </c>
      <c r="I859" s="72" t="s">
        <v>431</v>
      </c>
      <c r="J859" s="72" t="s">
        <v>21</v>
      </c>
      <c r="K859" s="72" t="s">
        <v>1926</v>
      </c>
      <c r="L859" s="74"/>
      <c r="M859" s="77" t="str">
        <f>IF(Main[[#This Row],[Tech Start Date]]&lt;1/1/1990,"",IF(Main[[#This Row],[Class]]="C",WORKDAY(Main[[#This Row],[Tech Start Date]],9),IF(Main[[#This Row],[Class]]="B", WORKDAY(Main[[#This Row],[Tech Start Date]],6),IF(Main[[#This Row],[Class]]="A",WORKDAY(Main[[#This Row],[Tech Start Date]],2),""))))</f>
        <v/>
      </c>
      <c r="N859" s="77" t="str">
        <f>IF(Main[[#This Row],[Tech Start Date]]&lt;1/1/1990,"",IF(Main[[#This Row],[Class]]="C",WORKDAY(Main[[#This Row],[Tech Start Date]],19),IF(Main[[#This Row],[Class]]="B", WORKDAY(Main[[#This Row],[Tech Start Date]],12),IF(Main[[#This Row],[Class]]="A",WORKDAY(Main[[#This Row],[Tech Start Date]],4),""))))</f>
        <v/>
      </c>
      <c r="O859" s="77" t="str">
        <f>IF(Main[[#This Row],[Tech Start Date]]&lt;1/1/1990,"",IF(Main[[#This Row],[Class]]="C",WORKDAY(Main[[#This Row],[Tech Start Date]],23),IF(Main[[#This Row],[Class]]="B", WORKDAY(Main[[#This Row],[Tech Start Date]],15),IF(Main[[#This Row],[Class]]="A",WORKDAY(Main[[#This Row],[Tech Start Date]],5),""))))</f>
        <v/>
      </c>
      <c r="P859" s="77" t="str">
        <f>IF(Main[[#This Row],[Tech Start Date]]&lt;1/1/1990,"",IF(Main[[#This Row],[Class]]="C",WORKDAY(Main[[#This Row],[Tech Start Date]],28),IF(Main[[#This Row],[Class]]="B", WORKDAY(Main[[#This Row],[Tech Start Date]],19),IF(Main[[#This Row],[Class]]="A",WORKDAY(Main[[#This Row],[Tech Start Date]],9),""))))</f>
        <v/>
      </c>
      <c r="Q859" s="74">
        <v>40786</v>
      </c>
      <c r="R859" s="74"/>
      <c r="S859" s="72" t="s">
        <v>6</v>
      </c>
      <c r="T859" s="80" t="s">
        <v>4</v>
      </c>
      <c r="U859" s="72" t="s">
        <v>29</v>
      </c>
      <c r="V859" s="72" t="s">
        <v>1920</v>
      </c>
      <c r="W859" s="72" t="s">
        <v>1921</v>
      </c>
      <c r="X859" s="72" t="s">
        <v>30</v>
      </c>
      <c r="Y859" s="72" t="s">
        <v>3101</v>
      </c>
      <c r="Z859" s="72" t="s">
        <v>44</v>
      </c>
      <c r="AA859" s="146" t="s">
        <v>3450</v>
      </c>
    </row>
    <row r="860" spans="1:27" ht="18.600000000000001" customHeight="1">
      <c r="A860" s="139" t="str">
        <f>IF(priority(Main[[#This Row],[Comments]])&lt;&gt;0, priority(Main[[#This Row],[Comments]]),"")</f>
        <v/>
      </c>
      <c r="B860" s="89" t="s">
        <v>2191</v>
      </c>
      <c r="C860" s="72" t="s">
        <v>4</v>
      </c>
      <c r="D860" s="73" t="s">
        <v>2192</v>
      </c>
      <c r="E860" s="74"/>
      <c r="F860" s="74"/>
      <c r="G860" s="75" t="str">
        <f>IF(stdProdLT(Main[[#This Row],[Comments]])=0.1,"N/A",IF(stdProdLT(Main[[#This Row],[Comments]])=0,"",stdProdLT(Main[[#This Row],[Comments]])))</f>
        <v/>
      </c>
      <c r="H860" s="76" t="str">
        <f>IF(AND(Main[[#This Row],[In Stock Date]]&lt;&gt;"",Main[[#This Row],[Revised Due Date]]&lt;&gt;""),Main[[#This Row],[In Stock Date]]-Main[[#This Row],[Revised Due Date]],"")</f>
        <v/>
      </c>
      <c r="I860" s="72" t="s">
        <v>4</v>
      </c>
      <c r="J860" s="72" t="s">
        <v>4</v>
      </c>
      <c r="K860" s="72" t="s">
        <v>4</v>
      </c>
      <c r="L860" s="74"/>
      <c r="M860" s="77" t="str">
        <f>IF(Main[[#This Row],[Tech Start Date]]&lt;1/1/1990,"",IF(Main[[#This Row],[Class]]="C",WORKDAY(Main[[#This Row],[Tech Start Date]],9),IF(Main[[#This Row],[Class]]="B", WORKDAY(Main[[#This Row],[Tech Start Date]],6),IF(Main[[#This Row],[Class]]="A",WORKDAY(Main[[#This Row],[Tech Start Date]],2),""))))</f>
        <v/>
      </c>
      <c r="N860" s="77" t="str">
        <f>IF(Main[[#This Row],[Tech Start Date]]&lt;1/1/1990,"",IF(Main[[#This Row],[Class]]="C",WORKDAY(Main[[#This Row],[Tech Start Date]],19),IF(Main[[#This Row],[Class]]="B", WORKDAY(Main[[#This Row],[Tech Start Date]],12),IF(Main[[#This Row],[Class]]="A",WORKDAY(Main[[#This Row],[Tech Start Date]],4),""))))</f>
        <v/>
      </c>
      <c r="O860" s="77" t="str">
        <f>IF(Main[[#This Row],[Tech Start Date]]&lt;1/1/1990,"",IF(Main[[#This Row],[Class]]="C",WORKDAY(Main[[#This Row],[Tech Start Date]],23),IF(Main[[#This Row],[Class]]="B", WORKDAY(Main[[#This Row],[Tech Start Date]],15),IF(Main[[#This Row],[Class]]="A",WORKDAY(Main[[#This Row],[Tech Start Date]],5),""))))</f>
        <v/>
      </c>
      <c r="P860" s="77" t="str">
        <f>IF(Main[[#This Row],[Tech Start Date]]&lt;1/1/1990,"",IF(Main[[#This Row],[Class]]="C",WORKDAY(Main[[#This Row],[Tech Start Date]],28),IF(Main[[#This Row],[Class]]="B", WORKDAY(Main[[#This Row],[Tech Start Date]],19),IF(Main[[#This Row],[Class]]="A",WORKDAY(Main[[#This Row],[Tech Start Date]],9),""))))</f>
        <v/>
      </c>
      <c r="Q860" s="74">
        <v>40798</v>
      </c>
      <c r="R860" s="74"/>
      <c r="S860" s="72" t="s">
        <v>49</v>
      </c>
      <c r="T860" s="80" t="s">
        <v>4</v>
      </c>
      <c r="U860" s="72" t="s">
        <v>14</v>
      </c>
      <c r="V860" s="72" t="s">
        <v>1927</v>
      </c>
      <c r="W860" s="72" t="s">
        <v>1925</v>
      </c>
      <c r="X860" s="72" t="s">
        <v>2912</v>
      </c>
      <c r="Y860" s="72" t="s">
        <v>3102</v>
      </c>
      <c r="Z860" s="72" t="s">
        <v>4</v>
      </c>
      <c r="AA860" s="146" t="s">
        <v>2912</v>
      </c>
    </row>
    <row r="861" spans="1:27" ht="18.600000000000001" customHeight="1">
      <c r="A861" s="139" t="str">
        <f>IF(priority(Main[[#This Row],[Comments]])&lt;&gt;0, priority(Main[[#This Row],[Comments]]),"")</f>
        <v/>
      </c>
      <c r="B861" s="89" t="s">
        <v>1680</v>
      </c>
      <c r="C861" s="72" t="s">
        <v>72</v>
      </c>
      <c r="D861" s="73" t="s">
        <v>737</v>
      </c>
      <c r="E861" s="74"/>
      <c r="F861" s="74"/>
      <c r="G861" s="75" t="str">
        <f>IF(stdProdLT(Main[[#This Row],[Comments]])=0.1,"N/A",IF(stdProdLT(Main[[#This Row],[Comments]])=0,"",stdProdLT(Main[[#This Row],[Comments]])))</f>
        <v/>
      </c>
      <c r="H861" s="76" t="str">
        <f>IF(AND(Main[[#This Row],[In Stock Date]]&lt;&gt;"",Main[[#This Row],[Revised Due Date]]&lt;&gt;""),Main[[#This Row],[In Stock Date]]-Main[[#This Row],[Revised Due Date]],"")</f>
        <v/>
      </c>
      <c r="I861" s="72" t="s">
        <v>4</v>
      </c>
      <c r="J861" s="72" t="s">
        <v>28</v>
      </c>
      <c r="K861" s="72" t="s">
        <v>1926</v>
      </c>
      <c r="L861" s="74"/>
      <c r="M861" s="77" t="str">
        <f>IF(Main[[#This Row],[Tech Start Date]]&lt;1/1/1990,"",IF(Main[[#This Row],[Class]]="C",WORKDAY(Main[[#This Row],[Tech Start Date]],9),IF(Main[[#This Row],[Class]]="B", WORKDAY(Main[[#This Row],[Tech Start Date]],6),IF(Main[[#This Row],[Class]]="A",WORKDAY(Main[[#This Row],[Tech Start Date]],2),""))))</f>
        <v/>
      </c>
      <c r="N861" s="77" t="str">
        <f>IF(Main[[#This Row],[Tech Start Date]]&lt;1/1/1990,"",IF(Main[[#This Row],[Class]]="C",WORKDAY(Main[[#This Row],[Tech Start Date]],19),IF(Main[[#This Row],[Class]]="B", WORKDAY(Main[[#This Row],[Tech Start Date]],12),IF(Main[[#This Row],[Class]]="A",WORKDAY(Main[[#This Row],[Tech Start Date]],4),""))))</f>
        <v/>
      </c>
      <c r="O861" s="77" t="str">
        <f>IF(Main[[#This Row],[Tech Start Date]]&lt;1/1/1990,"",IF(Main[[#This Row],[Class]]="C",WORKDAY(Main[[#This Row],[Tech Start Date]],23),IF(Main[[#This Row],[Class]]="B", WORKDAY(Main[[#This Row],[Tech Start Date]],15),IF(Main[[#This Row],[Class]]="A",WORKDAY(Main[[#This Row],[Tech Start Date]],5),""))))</f>
        <v/>
      </c>
      <c r="P861" s="77" t="str">
        <f>IF(Main[[#This Row],[Tech Start Date]]&lt;1/1/1990,"",IF(Main[[#This Row],[Class]]="C",WORKDAY(Main[[#This Row],[Tech Start Date]],28),IF(Main[[#This Row],[Class]]="B", WORKDAY(Main[[#This Row],[Tech Start Date]],19),IF(Main[[#This Row],[Class]]="A",WORKDAY(Main[[#This Row],[Tech Start Date]],9),""))))</f>
        <v/>
      </c>
      <c r="Q861" s="74"/>
      <c r="R861" s="74"/>
      <c r="S861" s="72" t="s">
        <v>6</v>
      </c>
      <c r="T861" s="80" t="s">
        <v>4</v>
      </c>
      <c r="U861" s="72" t="s">
        <v>14</v>
      </c>
      <c r="V861" s="72" t="s">
        <v>1920</v>
      </c>
      <c r="W861" s="72" t="s">
        <v>1919</v>
      </c>
      <c r="X861" s="72" t="s">
        <v>2853</v>
      </c>
      <c r="Y861" s="72" t="s">
        <v>2984</v>
      </c>
      <c r="Z861" s="72" t="s">
        <v>530</v>
      </c>
      <c r="AA861" s="146" t="s">
        <v>2853</v>
      </c>
    </row>
    <row r="862" spans="1:27" ht="18.600000000000001" customHeight="1">
      <c r="A862" s="139" t="str">
        <f>IF(priority(Main[[#This Row],[Comments]])&lt;&gt;0, priority(Main[[#This Row],[Comments]]),"")</f>
        <v/>
      </c>
      <c r="B862" s="89" t="s">
        <v>1681</v>
      </c>
      <c r="C862" s="72" t="s">
        <v>4</v>
      </c>
      <c r="D862" s="73" t="s">
        <v>39</v>
      </c>
      <c r="E862" s="74"/>
      <c r="F862" s="74"/>
      <c r="G862" s="75" t="str">
        <f>IF(stdProdLT(Main[[#This Row],[Comments]])=0.1,"N/A",IF(stdProdLT(Main[[#This Row],[Comments]])=0,"",stdProdLT(Main[[#This Row],[Comments]])))</f>
        <v/>
      </c>
      <c r="H862" s="76" t="str">
        <f>IF(AND(Main[[#This Row],[In Stock Date]]&lt;&gt;"",Main[[#This Row],[Revised Due Date]]&lt;&gt;""),Main[[#This Row],[In Stock Date]]-Main[[#This Row],[Revised Due Date]],"")</f>
        <v/>
      </c>
      <c r="I862" s="72" t="s">
        <v>4</v>
      </c>
      <c r="J862" s="72" t="s">
        <v>4</v>
      </c>
      <c r="K862" s="72" t="s">
        <v>4</v>
      </c>
      <c r="L862" s="74"/>
      <c r="M862" s="77" t="str">
        <f>IF(Main[[#This Row],[Tech Start Date]]&lt;1/1/1990,"",IF(Main[[#This Row],[Class]]="C",WORKDAY(Main[[#This Row],[Tech Start Date]],9),IF(Main[[#This Row],[Class]]="B", WORKDAY(Main[[#This Row],[Tech Start Date]],6),IF(Main[[#This Row],[Class]]="A",WORKDAY(Main[[#This Row],[Tech Start Date]],2),""))))</f>
        <v/>
      </c>
      <c r="N862" s="77" t="str">
        <f>IF(Main[[#This Row],[Tech Start Date]]&lt;1/1/1990,"",IF(Main[[#This Row],[Class]]="C",WORKDAY(Main[[#This Row],[Tech Start Date]],19),IF(Main[[#This Row],[Class]]="B", WORKDAY(Main[[#This Row],[Tech Start Date]],12),IF(Main[[#This Row],[Class]]="A",WORKDAY(Main[[#This Row],[Tech Start Date]],4),""))))</f>
        <v/>
      </c>
      <c r="O862" s="77" t="str">
        <f>IF(Main[[#This Row],[Tech Start Date]]&lt;1/1/1990,"",IF(Main[[#This Row],[Class]]="C",WORKDAY(Main[[#This Row],[Tech Start Date]],23),IF(Main[[#This Row],[Class]]="B", WORKDAY(Main[[#This Row],[Tech Start Date]],15),IF(Main[[#This Row],[Class]]="A",WORKDAY(Main[[#This Row],[Tech Start Date]],5),""))))</f>
        <v/>
      </c>
      <c r="P862" s="77" t="str">
        <f>IF(Main[[#This Row],[Tech Start Date]]&lt;1/1/1990,"",IF(Main[[#This Row],[Class]]="C",WORKDAY(Main[[#This Row],[Tech Start Date]],28),IF(Main[[#This Row],[Class]]="B", WORKDAY(Main[[#This Row],[Tech Start Date]],19),IF(Main[[#This Row],[Class]]="A",WORKDAY(Main[[#This Row],[Tech Start Date]],9),""))))</f>
        <v/>
      </c>
      <c r="Q862" s="74">
        <v>40669</v>
      </c>
      <c r="R862" s="74"/>
      <c r="S862" s="72" t="s">
        <v>6</v>
      </c>
      <c r="T862" s="80" t="s">
        <v>4</v>
      </c>
      <c r="U862" s="72" t="s">
        <v>14</v>
      </c>
      <c r="V862" s="72" t="s">
        <v>1920</v>
      </c>
      <c r="W862" s="72" t="s">
        <v>4</v>
      </c>
      <c r="X862" s="72" t="s">
        <v>2824</v>
      </c>
      <c r="Y862" s="72" t="s">
        <v>2935</v>
      </c>
      <c r="Z862" s="72" t="s">
        <v>4</v>
      </c>
      <c r="AA862" s="146" t="s">
        <v>2824</v>
      </c>
    </row>
    <row r="863" spans="1:27" ht="18.600000000000001" customHeight="1">
      <c r="A863" s="139" t="str">
        <f>IF(priority(Main[[#This Row],[Comments]])&lt;&gt;0, priority(Main[[#This Row],[Comments]]),"")</f>
        <v/>
      </c>
      <c r="B863" s="89" t="s">
        <v>1662</v>
      </c>
      <c r="C863" s="72" t="s">
        <v>72</v>
      </c>
      <c r="D863" s="73" t="s">
        <v>725</v>
      </c>
      <c r="E863" s="74"/>
      <c r="F863" s="74"/>
      <c r="G863" s="75" t="str">
        <f>IF(stdProdLT(Main[[#This Row],[Comments]])=0.1,"N/A",IF(stdProdLT(Main[[#This Row],[Comments]])=0,"",stdProdLT(Main[[#This Row],[Comments]])))</f>
        <v/>
      </c>
      <c r="H863" s="76" t="str">
        <f>IF(AND(Main[[#This Row],[In Stock Date]]&lt;&gt;"",Main[[#This Row],[Revised Due Date]]&lt;&gt;""),Main[[#This Row],[In Stock Date]]-Main[[#This Row],[Revised Due Date]],"")</f>
        <v/>
      </c>
      <c r="I863" s="72" t="s">
        <v>4</v>
      </c>
      <c r="J863" s="72" t="s">
        <v>4</v>
      </c>
      <c r="K863" s="72" t="s">
        <v>4</v>
      </c>
      <c r="L863" s="74"/>
      <c r="M863" s="77" t="str">
        <f>IF(Main[[#This Row],[Tech Start Date]]&lt;1/1/1990,"",IF(Main[[#This Row],[Class]]="C",WORKDAY(Main[[#This Row],[Tech Start Date]],9),IF(Main[[#This Row],[Class]]="B", WORKDAY(Main[[#This Row],[Tech Start Date]],6),IF(Main[[#This Row],[Class]]="A",WORKDAY(Main[[#This Row],[Tech Start Date]],2),""))))</f>
        <v/>
      </c>
      <c r="N863" s="77" t="str">
        <f>IF(Main[[#This Row],[Tech Start Date]]&lt;1/1/1990,"",IF(Main[[#This Row],[Class]]="C",WORKDAY(Main[[#This Row],[Tech Start Date]],19),IF(Main[[#This Row],[Class]]="B", WORKDAY(Main[[#This Row],[Tech Start Date]],12),IF(Main[[#This Row],[Class]]="A",WORKDAY(Main[[#This Row],[Tech Start Date]],4),""))))</f>
        <v/>
      </c>
      <c r="O863" s="77" t="str">
        <f>IF(Main[[#This Row],[Tech Start Date]]&lt;1/1/1990,"",IF(Main[[#This Row],[Class]]="C",WORKDAY(Main[[#This Row],[Tech Start Date]],23),IF(Main[[#This Row],[Class]]="B", WORKDAY(Main[[#This Row],[Tech Start Date]],15),IF(Main[[#This Row],[Class]]="A",WORKDAY(Main[[#This Row],[Tech Start Date]],5),""))))</f>
        <v/>
      </c>
      <c r="P863" s="77" t="str">
        <f>IF(Main[[#This Row],[Tech Start Date]]&lt;1/1/1990,"",IF(Main[[#This Row],[Class]]="C",WORKDAY(Main[[#This Row],[Tech Start Date]],28),IF(Main[[#This Row],[Class]]="B", WORKDAY(Main[[#This Row],[Tech Start Date]],19),IF(Main[[#This Row],[Class]]="A",WORKDAY(Main[[#This Row],[Tech Start Date]],9),""))))</f>
        <v/>
      </c>
      <c r="Q863" s="74"/>
      <c r="R863" s="74"/>
      <c r="S863" s="72" t="s">
        <v>11</v>
      </c>
      <c r="T863" s="80" t="s">
        <v>4</v>
      </c>
      <c r="U863" s="72" t="s">
        <v>14</v>
      </c>
      <c r="V863" s="72" t="s">
        <v>1918</v>
      </c>
      <c r="W863" s="72" t="s">
        <v>1925</v>
      </c>
      <c r="X863" s="72" t="s">
        <v>2833</v>
      </c>
      <c r="Y863" s="72" t="s">
        <v>2954</v>
      </c>
      <c r="Z863" s="72" t="s">
        <v>4</v>
      </c>
      <c r="AA863" s="146" t="s">
        <v>2833</v>
      </c>
    </row>
    <row r="864" spans="1:27" ht="18.600000000000001" customHeight="1">
      <c r="A864" s="139" t="str">
        <f>IF(priority(Main[[#This Row],[Comments]])&lt;&gt;0, priority(Main[[#This Row],[Comments]]),"")</f>
        <v/>
      </c>
      <c r="B864" s="89" t="s">
        <v>2166</v>
      </c>
      <c r="C864" s="72" t="s">
        <v>4</v>
      </c>
      <c r="D864" s="73" t="s">
        <v>2393</v>
      </c>
      <c r="E864" s="74">
        <v>40780.672893518517</v>
      </c>
      <c r="F864" s="74"/>
      <c r="G864" s="75" t="str">
        <f>IF(stdProdLT(Main[[#This Row],[Comments]])=0.1,"N/A",IF(stdProdLT(Main[[#This Row],[Comments]])=0,"",stdProdLT(Main[[#This Row],[Comments]])))</f>
        <v/>
      </c>
      <c r="H864" s="76" t="str">
        <f>IF(AND(Main[[#This Row],[In Stock Date]]&lt;&gt;"",Main[[#This Row],[Revised Due Date]]&lt;&gt;""),Main[[#This Row],[In Stock Date]]-Main[[#This Row],[Revised Due Date]],"")</f>
        <v/>
      </c>
      <c r="I864" s="72" t="s">
        <v>914</v>
      </c>
      <c r="J864" s="72" t="s">
        <v>52</v>
      </c>
      <c r="K864" s="72" t="s">
        <v>4</v>
      </c>
      <c r="L864" s="74"/>
      <c r="M864" s="77" t="str">
        <f>IF(Main[[#This Row],[Tech Start Date]]&lt;1/1/1990,"",IF(Main[[#This Row],[Class]]="C",WORKDAY(Main[[#This Row],[Tech Start Date]],9),IF(Main[[#This Row],[Class]]="B", WORKDAY(Main[[#This Row],[Tech Start Date]],6),IF(Main[[#This Row],[Class]]="A",WORKDAY(Main[[#This Row],[Tech Start Date]],2),""))))</f>
        <v/>
      </c>
      <c r="N864" s="77" t="str">
        <f>IF(Main[[#This Row],[Tech Start Date]]&lt;1/1/1990,"",IF(Main[[#This Row],[Class]]="C",WORKDAY(Main[[#This Row],[Tech Start Date]],19),IF(Main[[#This Row],[Class]]="B", WORKDAY(Main[[#This Row],[Tech Start Date]],12),IF(Main[[#This Row],[Class]]="A",WORKDAY(Main[[#This Row],[Tech Start Date]],4),""))))</f>
        <v/>
      </c>
      <c r="O864" s="77" t="str">
        <f>IF(Main[[#This Row],[Tech Start Date]]&lt;1/1/1990,"",IF(Main[[#This Row],[Class]]="C",WORKDAY(Main[[#This Row],[Tech Start Date]],23),IF(Main[[#This Row],[Class]]="B", WORKDAY(Main[[#This Row],[Tech Start Date]],15),IF(Main[[#This Row],[Class]]="A",WORKDAY(Main[[#This Row],[Tech Start Date]],5),""))))</f>
        <v/>
      </c>
      <c r="P864" s="77" t="str">
        <f>IF(Main[[#This Row],[Tech Start Date]]&lt;1/1/1990,"",IF(Main[[#This Row],[Class]]="C",WORKDAY(Main[[#This Row],[Tech Start Date]],28),IF(Main[[#This Row],[Class]]="B", WORKDAY(Main[[#This Row],[Tech Start Date]],19),IF(Main[[#This Row],[Class]]="A",WORKDAY(Main[[#This Row],[Tech Start Date]],9),""))))</f>
        <v/>
      </c>
      <c r="Q864" s="74">
        <v>40794</v>
      </c>
      <c r="R864" s="74"/>
      <c r="S864" s="72" t="s">
        <v>6</v>
      </c>
      <c r="T864" s="80" t="s">
        <v>4</v>
      </c>
      <c r="U864" s="72" t="s">
        <v>29</v>
      </c>
      <c r="V864" s="72" t="s">
        <v>1917</v>
      </c>
      <c r="W864" s="72" t="s">
        <v>1925</v>
      </c>
      <c r="X864" s="72" t="s">
        <v>2827</v>
      </c>
      <c r="Y864" s="72" t="s">
        <v>2942</v>
      </c>
      <c r="Z864" s="72" t="s">
        <v>129</v>
      </c>
      <c r="AA864" s="146" t="s">
        <v>2827</v>
      </c>
    </row>
    <row r="865" spans="1:27" ht="18.600000000000001" customHeight="1">
      <c r="A865" s="139" t="str">
        <f>IF(priority(Main[[#This Row],[Comments]])&lt;&gt;0, priority(Main[[#This Row],[Comments]]),"")</f>
        <v/>
      </c>
      <c r="B865" s="89" t="s">
        <v>1663</v>
      </c>
      <c r="C865" s="72" t="s">
        <v>4</v>
      </c>
      <c r="D865" s="73" t="s">
        <v>726</v>
      </c>
      <c r="E865" s="74"/>
      <c r="F865" s="74"/>
      <c r="G865" s="75" t="str">
        <f>IF(stdProdLT(Main[[#This Row],[Comments]])=0.1,"N/A",IF(stdProdLT(Main[[#This Row],[Comments]])=0,"",stdProdLT(Main[[#This Row],[Comments]])))</f>
        <v/>
      </c>
      <c r="H865" s="76" t="str">
        <f>IF(AND(Main[[#This Row],[In Stock Date]]&lt;&gt;"",Main[[#This Row],[Revised Due Date]]&lt;&gt;""),Main[[#This Row],[In Stock Date]]-Main[[#This Row],[Revised Due Date]],"")</f>
        <v/>
      </c>
      <c r="I865" s="72" t="s">
        <v>4</v>
      </c>
      <c r="J865" s="72" t="s">
        <v>4</v>
      </c>
      <c r="K865" s="72" t="s">
        <v>4</v>
      </c>
      <c r="L865" s="74"/>
      <c r="M865" s="77" t="str">
        <f>IF(Main[[#This Row],[Tech Start Date]]&lt;1/1/1990,"",IF(Main[[#This Row],[Class]]="C",WORKDAY(Main[[#This Row],[Tech Start Date]],9),IF(Main[[#This Row],[Class]]="B", WORKDAY(Main[[#This Row],[Tech Start Date]],6),IF(Main[[#This Row],[Class]]="A",WORKDAY(Main[[#This Row],[Tech Start Date]],2),""))))</f>
        <v/>
      </c>
      <c r="N865" s="77" t="str">
        <f>IF(Main[[#This Row],[Tech Start Date]]&lt;1/1/1990,"",IF(Main[[#This Row],[Class]]="C",WORKDAY(Main[[#This Row],[Tech Start Date]],19),IF(Main[[#This Row],[Class]]="B", WORKDAY(Main[[#This Row],[Tech Start Date]],12),IF(Main[[#This Row],[Class]]="A",WORKDAY(Main[[#This Row],[Tech Start Date]],4),""))))</f>
        <v/>
      </c>
      <c r="O865" s="77" t="str">
        <f>IF(Main[[#This Row],[Tech Start Date]]&lt;1/1/1990,"",IF(Main[[#This Row],[Class]]="C",WORKDAY(Main[[#This Row],[Tech Start Date]],23),IF(Main[[#This Row],[Class]]="B", WORKDAY(Main[[#This Row],[Tech Start Date]],15),IF(Main[[#This Row],[Class]]="A",WORKDAY(Main[[#This Row],[Tech Start Date]],5),""))))</f>
        <v/>
      </c>
      <c r="P865" s="77" t="str">
        <f>IF(Main[[#This Row],[Tech Start Date]]&lt;1/1/1990,"",IF(Main[[#This Row],[Class]]="C",WORKDAY(Main[[#This Row],[Tech Start Date]],28),IF(Main[[#This Row],[Class]]="B", WORKDAY(Main[[#This Row],[Tech Start Date]],19),IF(Main[[#This Row],[Class]]="A",WORKDAY(Main[[#This Row],[Tech Start Date]],9),""))))</f>
        <v/>
      </c>
      <c r="Q865" s="74">
        <v>40403</v>
      </c>
      <c r="R865" s="74"/>
      <c r="S865" s="72" t="s">
        <v>17</v>
      </c>
      <c r="T865" s="80" t="s">
        <v>4</v>
      </c>
      <c r="U865" s="72" t="s">
        <v>14</v>
      </c>
      <c r="V865" s="72" t="s">
        <v>1917</v>
      </c>
      <c r="W865" s="72" t="s">
        <v>1925</v>
      </c>
      <c r="X865" s="72" t="s">
        <v>129</v>
      </c>
      <c r="Y865" s="72" t="s">
        <v>4</v>
      </c>
      <c r="Z865" s="72" t="s">
        <v>4</v>
      </c>
      <c r="AA865" s="146" t="s">
        <v>2834</v>
      </c>
    </row>
    <row r="866" spans="1:27" ht="18.600000000000001" customHeight="1">
      <c r="A866" s="139" t="str">
        <f>IF(priority(Main[[#This Row],[Comments]])&lt;&gt;0, priority(Main[[#This Row],[Comments]]),"")</f>
        <v/>
      </c>
      <c r="B866" s="89" t="s">
        <v>1664</v>
      </c>
      <c r="C866" s="72" t="s">
        <v>58</v>
      </c>
      <c r="D866" s="73" t="s">
        <v>202</v>
      </c>
      <c r="E866" s="74"/>
      <c r="F866" s="74">
        <v>40697</v>
      </c>
      <c r="G866" s="75" t="str">
        <f>IF(stdProdLT(Main[[#This Row],[Comments]])=0.1,"N/A",IF(stdProdLT(Main[[#This Row],[Comments]])=0,"",stdProdLT(Main[[#This Row],[Comments]])))</f>
        <v/>
      </c>
      <c r="H866" s="76" t="str">
        <f>IF(AND(Main[[#This Row],[In Stock Date]]&lt;&gt;"",Main[[#This Row],[Revised Due Date]]&lt;&gt;""),Main[[#This Row],[In Stock Date]]-Main[[#This Row],[Revised Due Date]],"")</f>
        <v/>
      </c>
      <c r="I866" s="72" t="s">
        <v>4</v>
      </c>
      <c r="J866" s="72" t="s">
        <v>4</v>
      </c>
      <c r="K866" s="81" t="s">
        <v>4</v>
      </c>
      <c r="L866" s="74"/>
      <c r="M866" s="77" t="str">
        <f>IF(Main[[#This Row],[Tech Start Date]]&lt;1/1/1990,"",IF(Main[[#This Row],[Class]]="C",WORKDAY(Main[[#This Row],[Tech Start Date]],9),IF(Main[[#This Row],[Class]]="B", WORKDAY(Main[[#This Row],[Tech Start Date]],6),IF(Main[[#This Row],[Class]]="A",WORKDAY(Main[[#This Row],[Tech Start Date]],2),""))))</f>
        <v/>
      </c>
      <c r="N866" s="77" t="str">
        <f>IF(Main[[#This Row],[Tech Start Date]]&lt;1/1/1990,"",IF(Main[[#This Row],[Class]]="C",WORKDAY(Main[[#This Row],[Tech Start Date]],19),IF(Main[[#This Row],[Class]]="B", WORKDAY(Main[[#This Row],[Tech Start Date]],12),IF(Main[[#This Row],[Class]]="A",WORKDAY(Main[[#This Row],[Tech Start Date]],4),""))))</f>
        <v/>
      </c>
      <c r="O866" s="77" t="str">
        <f>IF(Main[[#This Row],[Tech Start Date]]&lt;1/1/1990,"",IF(Main[[#This Row],[Class]]="C",WORKDAY(Main[[#This Row],[Tech Start Date]],23),IF(Main[[#This Row],[Class]]="B", WORKDAY(Main[[#This Row],[Tech Start Date]],15),IF(Main[[#This Row],[Class]]="A",WORKDAY(Main[[#This Row],[Tech Start Date]],5),""))))</f>
        <v/>
      </c>
      <c r="P866" s="77" t="str">
        <f>IF(Main[[#This Row],[Tech Start Date]]&lt;1/1/1990,"",IF(Main[[#This Row],[Class]]="C",WORKDAY(Main[[#This Row],[Tech Start Date]],28),IF(Main[[#This Row],[Class]]="B", WORKDAY(Main[[#This Row],[Tech Start Date]],19),IF(Main[[#This Row],[Class]]="A",WORKDAY(Main[[#This Row],[Tech Start Date]],9),""))))</f>
        <v/>
      </c>
      <c r="Q866" s="74">
        <v>40539</v>
      </c>
      <c r="R866" s="74"/>
      <c r="S866" s="72" t="s">
        <v>11</v>
      </c>
      <c r="T866" s="80" t="s">
        <v>4</v>
      </c>
      <c r="U866" s="72" t="s">
        <v>14</v>
      </c>
      <c r="V866" s="72" t="s">
        <v>1917</v>
      </c>
      <c r="W866" s="72" t="s">
        <v>1923</v>
      </c>
      <c r="X866" s="72" t="s">
        <v>2835</v>
      </c>
      <c r="Y866" s="72" t="s">
        <v>2957</v>
      </c>
      <c r="Z866" s="72" t="s">
        <v>4</v>
      </c>
      <c r="AA866" s="146" t="s">
        <v>2835</v>
      </c>
    </row>
    <row r="867" spans="1:27" ht="18.600000000000001" customHeight="1">
      <c r="A867" s="139" t="str">
        <f>IF(priority(Main[[#This Row],[Comments]])&lt;&gt;0, priority(Main[[#This Row],[Comments]]),"")</f>
        <v/>
      </c>
      <c r="B867" s="89" t="s">
        <v>1667</v>
      </c>
      <c r="C867" s="72" t="s">
        <v>728</v>
      </c>
      <c r="D867" s="73" t="s">
        <v>729</v>
      </c>
      <c r="E867" s="74"/>
      <c r="F867" s="74">
        <v>40633</v>
      </c>
      <c r="G867" s="75" t="str">
        <f>IF(stdProdLT(Main[[#This Row],[Comments]])=0.1,"N/A",IF(stdProdLT(Main[[#This Row],[Comments]])=0,"",stdProdLT(Main[[#This Row],[Comments]])))</f>
        <v/>
      </c>
      <c r="H867" s="76" t="str">
        <f>IF(AND(Main[[#This Row],[In Stock Date]]&lt;&gt;"",Main[[#This Row],[Revised Due Date]]&lt;&gt;""),Main[[#This Row],[In Stock Date]]-Main[[#This Row],[Revised Due Date]],"")</f>
        <v/>
      </c>
      <c r="I867" s="72" t="s">
        <v>4</v>
      </c>
      <c r="J867" s="72" t="s">
        <v>4</v>
      </c>
      <c r="K867" s="72" t="s">
        <v>4</v>
      </c>
      <c r="L867" s="74"/>
      <c r="M867" s="77" t="str">
        <f>IF(Main[[#This Row],[Tech Start Date]]&lt;1/1/1990,"",IF(Main[[#This Row],[Class]]="C",WORKDAY(Main[[#This Row],[Tech Start Date]],9),IF(Main[[#This Row],[Class]]="B", WORKDAY(Main[[#This Row],[Tech Start Date]],6),IF(Main[[#This Row],[Class]]="A",WORKDAY(Main[[#This Row],[Tech Start Date]],2),""))))</f>
        <v/>
      </c>
      <c r="N867" s="77" t="str">
        <f>IF(Main[[#This Row],[Tech Start Date]]&lt;1/1/1990,"",IF(Main[[#This Row],[Class]]="C",WORKDAY(Main[[#This Row],[Tech Start Date]],19),IF(Main[[#This Row],[Class]]="B", WORKDAY(Main[[#This Row],[Tech Start Date]],12),IF(Main[[#This Row],[Class]]="A",WORKDAY(Main[[#This Row],[Tech Start Date]],4),""))))</f>
        <v/>
      </c>
      <c r="O867" s="77" t="str">
        <f>IF(Main[[#This Row],[Tech Start Date]]&lt;1/1/1990,"",IF(Main[[#This Row],[Class]]="C",WORKDAY(Main[[#This Row],[Tech Start Date]],23),IF(Main[[#This Row],[Class]]="B", WORKDAY(Main[[#This Row],[Tech Start Date]],15),IF(Main[[#This Row],[Class]]="A",WORKDAY(Main[[#This Row],[Tech Start Date]],5),""))))</f>
        <v/>
      </c>
      <c r="P867" s="77" t="str">
        <f>IF(Main[[#This Row],[Tech Start Date]]&lt;1/1/1990,"",IF(Main[[#This Row],[Class]]="C",WORKDAY(Main[[#This Row],[Tech Start Date]],28),IF(Main[[#This Row],[Class]]="B", WORKDAY(Main[[#This Row],[Tech Start Date]],19),IF(Main[[#This Row],[Class]]="A",WORKDAY(Main[[#This Row],[Tech Start Date]],9),""))))</f>
        <v/>
      </c>
      <c r="Q867" s="74">
        <v>40623</v>
      </c>
      <c r="R867" s="74"/>
      <c r="S867" s="72" t="s">
        <v>11</v>
      </c>
      <c r="T867" s="80" t="s">
        <v>4</v>
      </c>
      <c r="U867" s="72" t="s">
        <v>14</v>
      </c>
      <c r="V867" s="72" t="s">
        <v>1918</v>
      </c>
      <c r="W867" s="72" t="s">
        <v>1925</v>
      </c>
      <c r="X867" s="72" t="s">
        <v>2869</v>
      </c>
      <c r="Y867" s="72" t="s">
        <v>4</v>
      </c>
      <c r="Z867" s="72" t="s">
        <v>4</v>
      </c>
      <c r="AA867" s="146" t="s">
        <v>2869</v>
      </c>
    </row>
    <row r="868" spans="1:27" ht="18.600000000000001" customHeight="1">
      <c r="A868" s="139" t="str">
        <f>IF(priority(Main[[#This Row],[Comments]])&lt;&gt;0, priority(Main[[#This Row],[Comments]]),"")</f>
        <v/>
      </c>
      <c r="B868" s="89" t="s">
        <v>1669</v>
      </c>
      <c r="C868" s="72" t="s">
        <v>4</v>
      </c>
      <c r="D868" s="73" t="s">
        <v>97</v>
      </c>
      <c r="E868" s="74"/>
      <c r="F868" s="74"/>
      <c r="G868" s="75" t="str">
        <f>IF(stdProdLT(Main[[#This Row],[Comments]])=0.1,"N/A",IF(stdProdLT(Main[[#This Row],[Comments]])=0,"",stdProdLT(Main[[#This Row],[Comments]])))</f>
        <v/>
      </c>
      <c r="H868" s="76" t="str">
        <f>IF(AND(Main[[#This Row],[In Stock Date]]&lt;&gt;"",Main[[#This Row],[Revised Due Date]]&lt;&gt;""),Main[[#This Row],[In Stock Date]]-Main[[#This Row],[Revised Due Date]],"")</f>
        <v/>
      </c>
      <c r="I868" s="72" t="s">
        <v>4</v>
      </c>
      <c r="J868" s="72" t="s">
        <v>4</v>
      </c>
      <c r="K868" s="72" t="s">
        <v>4</v>
      </c>
      <c r="L868" s="74"/>
      <c r="M868" s="77" t="str">
        <f>IF(Main[[#This Row],[Tech Start Date]]&lt;1/1/1990,"",IF(Main[[#This Row],[Class]]="C",WORKDAY(Main[[#This Row],[Tech Start Date]],9),IF(Main[[#This Row],[Class]]="B", WORKDAY(Main[[#This Row],[Tech Start Date]],6),IF(Main[[#This Row],[Class]]="A",WORKDAY(Main[[#This Row],[Tech Start Date]],2),""))))</f>
        <v/>
      </c>
      <c r="N868" s="77" t="str">
        <f>IF(Main[[#This Row],[Tech Start Date]]&lt;1/1/1990,"",IF(Main[[#This Row],[Class]]="C",WORKDAY(Main[[#This Row],[Tech Start Date]],19),IF(Main[[#This Row],[Class]]="B", WORKDAY(Main[[#This Row],[Tech Start Date]],12),IF(Main[[#This Row],[Class]]="A",WORKDAY(Main[[#This Row],[Tech Start Date]],4),""))))</f>
        <v/>
      </c>
      <c r="O868" s="77" t="str">
        <f>IF(Main[[#This Row],[Tech Start Date]]&lt;1/1/1990,"",IF(Main[[#This Row],[Class]]="C",WORKDAY(Main[[#This Row],[Tech Start Date]],23),IF(Main[[#This Row],[Class]]="B", WORKDAY(Main[[#This Row],[Tech Start Date]],15),IF(Main[[#This Row],[Class]]="A",WORKDAY(Main[[#This Row],[Tech Start Date]],5),""))))</f>
        <v/>
      </c>
      <c r="P868" s="77" t="str">
        <f>IF(Main[[#This Row],[Tech Start Date]]&lt;1/1/1990,"",IF(Main[[#This Row],[Class]]="C",WORKDAY(Main[[#This Row],[Tech Start Date]],28),IF(Main[[#This Row],[Class]]="B", WORKDAY(Main[[#This Row],[Tech Start Date]],19),IF(Main[[#This Row],[Class]]="A",WORKDAY(Main[[#This Row],[Tech Start Date]],9),""))))</f>
        <v/>
      </c>
      <c r="Q868" s="74">
        <v>40858</v>
      </c>
      <c r="R868" s="74"/>
      <c r="S868" s="72" t="s">
        <v>17</v>
      </c>
      <c r="T868" s="80" t="s">
        <v>4</v>
      </c>
      <c r="U868" s="72" t="s">
        <v>14</v>
      </c>
      <c r="V868" s="72" t="s">
        <v>1917</v>
      </c>
      <c r="W868" s="72" t="s">
        <v>1922</v>
      </c>
      <c r="X868" s="72" t="s">
        <v>50</v>
      </c>
      <c r="Y868" s="72" t="s">
        <v>2965</v>
      </c>
      <c r="Z868" s="72" t="s">
        <v>4</v>
      </c>
      <c r="AA868" s="146" t="s">
        <v>2834</v>
      </c>
    </row>
    <row r="869" spans="1:27" ht="18.600000000000001" customHeight="1">
      <c r="A869" s="139" t="str">
        <f>IF(priority(Main[[#This Row],[Comments]])&lt;&gt;0, priority(Main[[#This Row],[Comments]]),"")</f>
        <v/>
      </c>
      <c r="B869" s="89" t="s">
        <v>1670</v>
      </c>
      <c r="C869" s="72" t="s">
        <v>4</v>
      </c>
      <c r="D869" s="73" t="s">
        <v>97</v>
      </c>
      <c r="E869" s="74"/>
      <c r="F869" s="74"/>
      <c r="G869" s="75" t="str">
        <f>IF(stdProdLT(Main[[#This Row],[Comments]])=0.1,"N/A",IF(stdProdLT(Main[[#This Row],[Comments]])=0,"",stdProdLT(Main[[#This Row],[Comments]])))</f>
        <v/>
      </c>
      <c r="H869" s="76" t="str">
        <f>IF(AND(Main[[#This Row],[In Stock Date]]&lt;&gt;"",Main[[#This Row],[Revised Due Date]]&lt;&gt;""),Main[[#This Row],[In Stock Date]]-Main[[#This Row],[Revised Due Date]],"")</f>
        <v/>
      </c>
      <c r="I869" s="72" t="s">
        <v>4</v>
      </c>
      <c r="J869" s="72" t="s">
        <v>4</v>
      </c>
      <c r="K869" s="72" t="s">
        <v>4</v>
      </c>
      <c r="L869" s="74"/>
      <c r="M869" s="77" t="str">
        <f>IF(Main[[#This Row],[Tech Start Date]]&lt;1/1/1990,"",IF(Main[[#This Row],[Class]]="C",WORKDAY(Main[[#This Row],[Tech Start Date]],9),IF(Main[[#This Row],[Class]]="B", WORKDAY(Main[[#This Row],[Tech Start Date]],6),IF(Main[[#This Row],[Class]]="A",WORKDAY(Main[[#This Row],[Tech Start Date]],2),""))))</f>
        <v/>
      </c>
      <c r="N869" s="77" t="str">
        <f>IF(Main[[#This Row],[Tech Start Date]]&lt;1/1/1990,"",IF(Main[[#This Row],[Class]]="C",WORKDAY(Main[[#This Row],[Tech Start Date]],19),IF(Main[[#This Row],[Class]]="B", WORKDAY(Main[[#This Row],[Tech Start Date]],12),IF(Main[[#This Row],[Class]]="A",WORKDAY(Main[[#This Row],[Tech Start Date]],4),""))))</f>
        <v/>
      </c>
      <c r="O869" s="77" t="str">
        <f>IF(Main[[#This Row],[Tech Start Date]]&lt;1/1/1990,"",IF(Main[[#This Row],[Class]]="C",WORKDAY(Main[[#This Row],[Tech Start Date]],23),IF(Main[[#This Row],[Class]]="B", WORKDAY(Main[[#This Row],[Tech Start Date]],15),IF(Main[[#This Row],[Class]]="A",WORKDAY(Main[[#This Row],[Tech Start Date]],5),""))))</f>
        <v/>
      </c>
      <c r="P869" s="77" t="str">
        <f>IF(Main[[#This Row],[Tech Start Date]]&lt;1/1/1990,"",IF(Main[[#This Row],[Class]]="C",WORKDAY(Main[[#This Row],[Tech Start Date]],28),IF(Main[[#This Row],[Class]]="B", WORKDAY(Main[[#This Row],[Tech Start Date]],19),IF(Main[[#This Row],[Class]]="A",WORKDAY(Main[[#This Row],[Tech Start Date]],9),""))))</f>
        <v/>
      </c>
      <c r="Q869" s="74">
        <v>40858</v>
      </c>
      <c r="R869" s="74"/>
      <c r="S869" s="72" t="s">
        <v>17</v>
      </c>
      <c r="T869" s="80" t="s">
        <v>4</v>
      </c>
      <c r="U869" s="72" t="s">
        <v>14</v>
      </c>
      <c r="V869" s="72" t="s">
        <v>1917</v>
      </c>
      <c r="W869" s="72" t="s">
        <v>1922</v>
      </c>
      <c r="X869" s="72" t="s">
        <v>50</v>
      </c>
      <c r="Y869" s="72" t="s">
        <v>2965</v>
      </c>
      <c r="Z869" s="72" t="s">
        <v>4</v>
      </c>
      <c r="AA869" s="146" t="s">
        <v>2834</v>
      </c>
    </row>
    <row r="870" spans="1:27" ht="18.600000000000001" customHeight="1">
      <c r="A870" s="139" t="str">
        <f>IF(priority(Main[[#This Row],[Comments]])&lt;&gt;0, priority(Main[[#This Row],[Comments]]),"")</f>
        <v/>
      </c>
      <c r="B870" s="89" t="s">
        <v>1671</v>
      </c>
      <c r="C870" s="72" t="s">
        <v>4</v>
      </c>
      <c r="D870" s="73" t="s">
        <v>97</v>
      </c>
      <c r="E870" s="74"/>
      <c r="F870" s="74"/>
      <c r="G870" s="75" t="str">
        <f>IF(stdProdLT(Main[[#This Row],[Comments]])=0.1,"N/A",IF(stdProdLT(Main[[#This Row],[Comments]])=0,"",stdProdLT(Main[[#This Row],[Comments]])))</f>
        <v/>
      </c>
      <c r="H870" s="76" t="str">
        <f>IF(AND(Main[[#This Row],[In Stock Date]]&lt;&gt;"",Main[[#This Row],[Revised Due Date]]&lt;&gt;""),Main[[#This Row],[In Stock Date]]-Main[[#This Row],[Revised Due Date]],"")</f>
        <v/>
      </c>
      <c r="I870" s="72" t="s">
        <v>4</v>
      </c>
      <c r="J870" s="72" t="s">
        <v>4</v>
      </c>
      <c r="K870" s="72" t="s">
        <v>4</v>
      </c>
      <c r="L870" s="74"/>
      <c r="M870" s="77" t="str">
        <f>IF(Main[[#This Row],[Tech Start Date]]&lt;1/1/1990,"",IF(Main[[#This Row],[Class]]="C",WORKDAY(Main[[#This Row],[Tech Start Date]],9),IF(Main[[#This Row],[Class]]="B", WORKDAY(Main[[#This Row],[Tech Start Date]],6),IF(Main[[#This Row],[Class]]="A",WORKDAY(Main[[#This Row],[Tech Start Date]],2),""))))</f>
        <v/>
      </c>
      <c r="N870" s="77" t="str">
        <f>IF(Main[[#This Row],[Tech Start Date]]&lt;1/1/1990,"",IF(Main[[#This Row],[Class]]="C",WORKDAY(Main[[#This Row],[Tech Start Date]],19),IF(Main[[#This Row],[Class]]="B", WORKDAY(Main[[#This Row],[Tech Start Date]],12),IF(Main[[#This Row],[Class]]="A",WORKDAY(Main[[#This Row],[Tech Start Date]],4),""))))</f>
        <v/>
      </c>
      <c r="O870" s="77" t="str">
        <f>IF(Main[[#This Row],[Tech Start Date]]&lt;1/1/1990,"",IF(Main[[#This Row],[Class]]="C",WORKDAY(Main[[#This Row],[Tech Start Date]],23),IF(Main[[#This Row],[Class]]="B", WORKDAY(Main[[#This Row],[Tech Start Date]],15),IF(Main[[#This Row],[Class]]="A",WORKDAY(Main[[#This Row],[Tech Start Date]],5),""))))</f>
        <v/>
      </c>
      <c r="P870" s="77" t="str">
        <f>IF(Main[[#This Row],[Tech Start Date]]&lt;1/1/1990,"",IF(Main[[#This Row],[Class]]="C",WORKDAY(Main[[#This Row],[Tech Start Date]],28),IF(Main[[#This Row],[Class]]="B", WORKDAY(Main[[#This Row],[Tech Start Date]],19),IF(Main[[#This Row],[Class]]="A",WORKDAY(Main[[#This Row],[Tech Start Date]],9),""))))</f>
        <v/>
      </c>
      <c r="Q870" s="74">
        <v>40858</v>
      </c>
      <c r="R870" s="74"/>
      <c r="S870" s="72" t="s">
        <v>17</v>
      </c>
      <c r="T870" s="80" t="s">
        <v>4</v>
      </c>
      <c r="U870" s="72" t="s">
        <v>14</v>
      </c>
      <c r="V870" s="72" t="s">
        <v>1917</v>
      </c>
      <c r="W870" s="72" t="s">
        <v>1922</v>
      </c>
      <c r="X870" s="72" t="s">
        <v>50</v>
      </c>
      <c r="Y870" s="72" t="s">
        <v>2965</v>
      </c>
      <c r="Z870" s="72" t="s">
        <v>4</v>
      </c>
      <c r="AA870" s="146" t="s">
        <v>2834</v>
      </c>
    </row>
    <row r="871" spans="1:27" ht="18.600000000000001" customHeight="1">
      <c r="A871" s="139" t="str">
        <f>IF(priority(Main[[#This Row],[Comments]])&lt;&gt;0, priority(Main[[#This Row],[Comments]]),"")</f>
        <v/>
      </c>
      <c r="B871" s="89" t="s">
        <v>1253</v>
      </c>
      <c r="C871" s="72" t="s">
        <v>4</v>
      </c>
      <c r="D871" s="73" t="s">
        <v>316</v>
      </c>
      <c r="E871" s="74"/>
      <c r="F871" s="74"/>
      <c r="G871" s="75" t="str">
        <f>IF(stdProdLT(Main[[#This Row],[Comments]])=0.1,"N/A",IF(stdProdLT(Main[[#This Row],[Comments]])=0,"",stdProdLT(Main[[#This Row],[Comments]])))</f>
        <v/>
      </c>
      <c r="H871" s="76" t="str">
        <f>IF(AND(Main[[#This Row],[In Stock Date]]&lt;&gt;"",Main[[#This Row],[Revised Due Date]]&lt;&gt;""),Main[[#This Row],[In Stock Date]]-Main[[#This Row],[Revised Due Date]],"")</f>
        <v/>
      </c>
      <c r="I871" s="72" t="s">
        <v>4</v>
      </c>
      <c r="J871" s="72" t="s">
        <v>4</v>
      </c>
      <c r="K871" s="72" t="s">
        <v>4</v>
      </c>
      <c r="L871" s="74"/>
      <c r="M871" s="77" t="str">
        <f>IF(Main[[#This Row],[Tech Start Date]]&lt;1/1/1990,"",IF(Main[[#This Row],[Class]]="C",WORKDAY(Main[[#This Row],[Tech Start Date]],9),IF(Main[[#This Row],[Class]]="B", WORKDAY(Main[[#This Row],[Tech Start Date]],6),IF(Main[[#This Row],[Class]]="A",WORKDAY(Main[[#This Row],[Tech Start Date]],2),""))))</f>
        <v/>
      </c>
      <c r="N871" s="77" t="str">
        <f>IF(Main[[#This Row],[Tech Start Date]]&lt;1/1/1990,"",IF(Main[[#This Row],[Class]]="C",WORKDAY(Main[[#This Row],[Tech Start Date]],19),IF(Main[[#This Row],[Class]]="B", WORKDAY(Main[[#This Row],[Tech Start Date]],12),IF(Main[[#This Row],[Class]]="A",WORKDAY(Main[[#This Row],[Tech Start Date]],4),""))))</f>
        <v/>
      </c>
      <c r="O871" s="77" t="str">
        <f>IF(Main[[#This Row],[Tech Start Date]]&lt;1/1/1990,"",IF(Main[[#This Row],[Class]]="C",WORKDAY(Main[[#This Row],[Tech Start Date]],23),IF(Main[[#This Row],[Class]]="B", WORKDAY(Main[[#This Row],[Tech Start Date]],15),IF(Main[[#This Row],[Class]]="A",WORKDAY(Main[[#This Row],[Tech Start Date]],5),""))))</f>
        <v/>
      </c>
      <c r="P871" s="77" t="str">
        <f>IF(Main[[#This Row],[Tech Start Date]]&lt;1/1/1990,"",IF(Main[[#This Row],[Class]]="C",WORKDAY(Main[[#This Row],[Tech Start Date]],28),IF(Main[[#This Row],[Class]]="B", WORKDAY(Main[[#This Row],[Tech Start Date]],19),IF(Main[[#This Row],[Class]]="A",WORKDAY(Main[[#This Row],[Tech Start Date]],9),""))))</f>
        <v/>
      </c>
      <c r="Q871" s="74">
        <v>40229</v>
      </c>
      <c r="R871" s="74"/>
      <c r="S871" s="72" t="s">
        <v>6</v>
      </c>
      <c r="T871" s="80" t="s">
        <v>4</v>
      </c>
      <c r="U871" s="72" t="s">
        <v>14</v>
      </c>
      <c r="V871" s="72" t="s">
        <v>1917</v>
      </c>
      <c r="W871" s="72" t="s">
        <v>1921</v>
      </c>
      <c r="X871" s="72" t="s">
        <v>2827</v>
      </c>
      <c r="Y871" s="72" t="s">
        <v>2942</v>
      </c>
      <c r="Z871" s="72" t="s">
        <v>4</v>
      </c>
      <c r="AA871" s="146" t="s">
        <v>2827</v>
      </c>
    </row>
    <row r="872" spans="1:27" ht="18.600000000000001" customHeight="1">
      <c r="A872" s="139" t="str">
        <f>IF(priority(Main[[#This Row],[Comments]])&lt;&gt;0, priority(Main[[#This Row],[Comments]]),"")</f>
        <v/>
      </c>
      <c r="B872" s="89" t="s">
        <v>1685</v>
      </c>
      <c r="C872" s="72" t="s">
        <v>4</v>
      </c>
      <c r="D872" s="73" t="s">
        <v>742</v>
      </c>
      <c r="E872" s="74">
        <v>40591.815474537034</v>
      </c>
      <c r="F872" s="74"/>
      <c r="G872" s="75" t="str">
        <f>IF(stdProdLT(Main[[#This Row],[Comments]])=0.1,"N/A",IF(stdProdLT(Main[[#This Row],[Comments]])=0,"",stdProdLT(Main[[#This Row],[Comments]])))</f>
        <v/>
      </c>
      <c r="H872" s="76" t="str">
        <f>IF(AND(Main[[#This Row],[In Stock Date]]&lt;&gt;"",Main[[#This Row],[Revised Due Date]]&lt;&gt;""),Main[[#This Row],[In Stock Date]]-Main[[#This Row],[Revised Due Date]],"")</f>
        <v/>
      </c>
      <c r="I872" s="72" t="s">
        <v>130</v>
      </c>
      <c r="J872" s="72" t="s">
        <v>70</v>
      </c>
      <c r="K872" s="72" t="s">
        <v>1926</v>
      </c>
      <c r="L872" s="74"/>
      <c r="M872" s="77" t="str">
        <f>IF(Main[[#This Row],[Tech Start Date]]&lt;1/1/1990,"",IF(Main[[#This Row],[Class]]="C",WORKDAY(Main[[#This Row],[Tech Start Date]],9),IF(Main[[#This Row],[Class]]="B", WORKDAY(Main[[#This Row],[Tech Start Date]],6),IF(Main[[#This Row],[Class]]="A",WORKDAY(Main[[#This Row],[Tech Start Date]],2),""))))</f>
        <v/>
      </c>
      <c r="N872" s="77" t="str">
        <f>IF(Main[[#This Row],[Tech Start Date]]&lt;1/1/1990,"",IF(Main[[#This Row],[Class]]="C",WORKDAY(Main[[#This Row],[Tech Start Date]],19),IF(Main[[#This Row],[Class]]="B", WORKDAY(Main[[#This Row],[Tech Start Date]],12),IF(Main[[#This Row],[Class]]="A",WORKDAY(Main[[#This Row],[Tech Start Date]],4),""))))</f>
        <v/>
      </c>
      <c r="O872" s="77" t="str">
        <f>IF(Main[[#This Row],[Tech Start Date]]&lt;1/1/1990,"",IF(Main[[#This Row],[Class]]="C",WORKDAY(Main[[#This Row],[Tech Start Date]],23),IF(Main[[#This Row],[Class]]="B", WORKDAY(Main[[#This Row],[Tech Start Date]],15),IF(Main[[#This Row],[Class]]="A",WORKDAY(Main[[#This Row],[Tech Start Date]],5),""))))</f>
        <v/>
      </c>
      <c r="P872" s="77" t="str">
        <f>IF(Main[[#This Row],[Tech Start Date]]&lt;1/1/1990,"",IF(Main[[#This Row],[Class]]="C",WORKDAY(Main[[#This Row],[Tech Start Date]],28),IF(Main[[#This Row],[Class]]="B", WORKDAY(Main[[#This Row],[Tech Start Date]],19),IF(Main[[#This Row],[Class]]="A",WORKDAY(Main[[#This Row],[Tech Start Date]],9),""))))</f>
        <v/>
      </c>
      <c r="Q872" s="74">
        <v>40736</v>
      </c>
      <c r="R872" s="74"/>
      <c r="S872" s="72" t="s">
        <v>6</v>
      </c>
      <c r="T872" s="80" t="s">
        <v>4</v>
      </c>
      <c r="U872" s="72" t="s">
        <v>29</v>
      </c>
      <c r="V872" s="72" t="s">
        <v>1920</v>
      </c>
      <c r="W872" s="72" t="s">
        <v>1921</v>
      </c>
      <c r="X872" s="72" t="s">
        <v>30</v>
      </c>
      <c r="Y872" s="72" t="s">
        <v>2963</v>
      </c>
      <c r="Z872" s="72" t="s">
        <v>30</v>
      </c>
      <c r="AA872" s="146" t="s">
        <v>30</v>
      </c>
    </row>
    <row r="873" spans="1:27" ht="18.600000000000001" customHeight="1">
      <c r="A873" s="139" t="str">
        <f>IF(priority(Main[[#This Row],[Comments]])&lt;&gt;0, priority(Main[[#This Row],[Comments]]),"")</f>
        <v/>
      </c>
      <c r="B873" s="89" t="s">
        <v>2037</v>
      </c>
      <c r="C873" s="72" t="s">
        <v>37</v>
      </c>
      <c r="D873" s="73" t="s">
        <v>485</v>
      </c>
      <c r="E873" s="74"/>
      <c r="F873" s="74"/>
      <c r="G873" s="75" t="str">
        <f>IF(stdProdLT(Main[[#This Row],[Comments]])=0.1,"N/A",IF(stdProdLT(Main[[#This Row],[Comments]])=0,"",stdProdLT(Main[[#This Row],[Comments]])))</f>
        <v/>
      </c>
      <c r="H873" s="76" t="str">
        <f>IF(AND(Main[[#This Row],[In Stock Date]]&lt;&gt;"",Main[[#This Row],[Revised Due Date]]&lt;&gt;""),Main[[#This Row],[In Stock Date]]-Main[[#This Row],[Revised Due Date]],"")</f>
        <v/>
      </c>
      <c r="I873" s="72" t="s">
        <v>4</v>
      </c>
      <c r="J873" s="72" t="s">
        <v>21</v>
      </c>
      <c r="K873" s="72" t="s">
        <v>4</v>
      </c>
      <c r="L873" s="74"/>
      <c r="M873" s="77" t="str">
        <f>IF(Main[[#This Row],[Tech Start Date]]&lt;1/1/1990,"",IF(Main[[#This Row],[Class]]="C",WORKDAY(Main[[#This Row],[Tech Start Date]],9),IF(Main[[#This Row],[Class]]="B", WORKDAY(Main[[#This Row],[Tech Start Date]],6),IF(Main[[#This Row],[Class]]="A",WORKDAY(Main[[#This Row],[Tech Start Date]],2),""))))</f>
        <v/>
      </c>
      <c r="N873" s="77" t="str">
        <f>IF(Main[[#This Row],[Tech Start Date]]&lt;1/1/1990,"",IF(Main[[#This Row],[Class]]="C",WORKDAY(Main[[#This Row],[Tech Start Date]],19),IF(Main[[#This Row],[Class]]="B", WORKDAY(Main[[#This Row],[Tech Start Date]],12),IF(Main[[#This Row],[Class]]="A",WORKDAY(Main[[#This Row],[Tech Start Date]],4),""))))</f>
        <v/>
      </c>
      <c r="O873" s="77" t="str">
        <f>IF(Main[[#This Row],[Tech Start Date]]&lt;1/1/1990,"",IF(Main[[#This Row],[Class]]="C",WORKDAY(Main[[#This Row],[Tech Start Date]],23),IF(Main[[#This Row],[Class]]="B", WORKDAY(Main[[#This Row],[Tech Start Date]],15),IF(Main[[#This Row],[Class]]="A",WORKDAY(Main[[#This Row],[Tech Start Date]],5),""))))</f>
        <v/>
      </c>
      <c r="P873" s="77" t="str">
        <f>IF(Main[[#This Row],[Tech Start Date]]&lt;1/1/1990,"",IF(Main[[#This Row],[Class]]="C",WORKDAY(Main[[#This Row],[Tech Start Date]],28),IF(Main[[#This Row],[Class]]="B", WORKDAY(Main[[#This Row],[Tech Start Date]],19),IF(Main[[#This Row],[Class]]="A",WORKDAY(Main[[#This Row],[Tech Start Date]],9),""))))</f>
        <v/>
      </c>
      <c r="Q873" s="74">
        <v>40696</v>
      </c>
      <c r="R873" s="74"/>
      <c r="S873" s="72" t="s">
        <v>6</v>
      </c>
      <c r="T873" s="80" t="s">
        <v>4</v>
      </c>
      <c r="U873" s="72" t="s">
        <v>12</v>
      </c>
      <c r="V873" s="72" t="s">
        <v>1917</v>
      </c>
      <c r="W873" s="72" t="s">
        <v>1928</v>
      </c>
      <c r="X873" s="72" t="s">
        <v>50</v>
      </c>
      <c r="Y873" s="72" t="s">
        <v>3103</v>
      </c>
      <c r="Z873" s="72" t="s">
        <v>3166</v>
      </c>
      <c r="AA873" s="146" t="s">
        <v>972</v>
      </c>
    </row>
    <row r="874" spans="1:27" ht="18.600000000000001" customHeight="1">
      <c r="A874" s="139" t="str">
        <f>IF(priority(Main[[#This Row],[Comments]])&lt;&gt;0, priority(Main[[#This Row],[Comments]]),"")</f>
        <v/>
      </c>
      <c r="B874" s="89" t="s">
        <v>2195</v>
      </c>
      <c r="C874" s="72" t="s">
        <v>4</v>
      </c>
      <c r="D874" s="73" t="s">
        <v>2196</v>
      </c>
      <c r="E874" s="74"/>
      <c r="F874" s="74">
        <v>40848</v>
      </c>
      <c r="G874" s="75" t="str">
        <f>IF(stdProdLT(Main[[#This Row],[Comments]])=0.1,"N/A",IF(stdProdLT(Main[[#This Row],[Comments]])=0,"",stdProdLT(Main[[#This Row],[Comments]])))</f>
        <v/>
      </c>
      <c r="H874" s="76" t="str">
        <f>IF(AND(Main[[#This Row],[In Stock Date]]&lt;&gt;"",Main[[#This Row],[Revised Due Date]]&lt;&gt;""),Main[[#This Row],[In Stock Date]]-Main[[#This Row],[Revised Due Date]],"")</f>
        <v/>
      </c>
      <c r="I874" s="72" t="s">
        <v>4</v>
      </c>
      <c r="J874" s="72" t="s">
        <v>4</v>
      </c>
      <c r="K874" s="72" t="s">
        <v>4</v>
      </c>
      <c r="L874" s="74"/>
      <c r="M874" s="77" t="str">
        <f>IF(Main[[#This Row],[Tech Start Date]]&lt;1/1/1990,"",IF(Main[[#This Row],[Class]]="C",WORKDAY(Main[[#This Row],[Tech Start Date]],9),IF(Main[[#This Row],[Class]]="B", WORKDAY(Main[[#This Row],[Tech Start Date]],6),IF(Main[[#This Row],[Class]]="A",WORKDAY(Main[[#This Row],[Tech Start Date]],2),""))))</f>
        <v/>
      </c>
      <c r="N874" s="77" t="str">
        <f>IF(Main[[#This Row],[Tech Start Date]]&lt;1/1/1990,"",IF(Main[[#This Row],[Class]]="C",WORKDAY(Main[[#This Row],[Tech Start Date]],19),IF(Main[[#This Row],[Class]]="B", WORKDAY(Main[[#This Row],[Tech Start Date]],12),IF(Main[[#This Row],[Class]]="A",WORKDAY(Main[[#This Row],[Tech Start Date]],4),""))))</f>
        <v/>
      </c>
      <c r="O874" s="77" t="str">
        <f>IF(Main[[#This Row],[Tech Start Date]]&lt;1/1/1990,"",IF(Main[[#This Row],[Class]]="C",WORKDAY(Main[[#This Row],[Tech Start Date]],23),IF(Main[[#This Row],[Class]]="B", WORKDAY(Main[[#This Row],[Tech Start Date]],15),IF(Main[[#This Row],[Class]]="A",WORKDAY(Main[[#This Row],[Tech Start Date]],5),""))))</f>
        <v/>
      </c>
      <c r="P874" s="77" t="str">
        <f>IF(Main[[#This Row],[Tech Start Date]]&lt;1/1/1990,"",IF(Main[[#This Row],[Class]]="C",WORKDAY(Main[[#This Row],[Tech Start Date]],28),IF(Main[[#This Row],[Class]]="B", WORKDAY(Main[[#This Row],[Tech Start Date]],19),IF(Main[[#This Row],[Class]]="A",WORKDAY(Main[[#This Row],[Tech Start Date]],9),""))))</f>
        <v/>
      </c>
      <c r="Q874" s="74">
        <v>40800</v>
      </c>
      <c r="R874" s="74"/>
      <c r="S874" s="72" t="s">
        <v>11</v>
      </c>
      <c r="T874" s="80" t="s">
        <v>4</v>
      </c>
      <c r="U874" s="72" t="s">
        <v>14</v>
      </c>
      <c r="V874" s="72" t="s">
        <v>1927</v>
      </c>
      <c r="W874" s="72" t="s">
        <v>1925</v>
      </c>
      <c r="X874" s="72" t="s">
        <v>2911</v>
      </c>
      <c r="Y874" s="72" t="s">
        <v>3104</v>
      </c>
      <c r="Z874" s="72" t="s">
        <v>4</v>
      </c>
      <c r="AA874" s="146" t="s">
        <v>2911</v>
      </c>
    </row>
    <row r="875" spans="1:27" ht="18.600000000000001" customHeight="1">
      <c r="A875" s="139" t="str">
        <f>IF(priority(Main[[#This Row],[Comments]])&lt;&gt;0, priority(Main[[#This Row],[Comments]]),"")</f>
        <v/>
      </c>
      <c r="B875" s="89" t="s">
        <v>1686</v>
      </c>
      <c r="C875" s="72" t="s">
        <v>4</v>
      </c>
      <c r="D875" s="73" t="s">
        <v>739</v>
      </c>
      <c r="E875" s="74">
        <v>40520.411597222221</v>
      </c>
      <c r="F875" s="74"/>
      <c r="G875" s="75" t="str">
        <f>IF(stdProdLT(Main[[#This Row],[Comments]])=0.1,"N/A",IF(stdProdLT(Main[[#This Row],[Comments]])=0,"",stdProdLT(Main[[#This Row],[Comments]])))</f>
        <v/>
      </c>
      <c r="H875" s="76" t="str">
        <f>IF(AND(Main[[#This Row],[In Stock Date]]&lt;&gt;"",Main[[#This Row],[Revised Due Date]]&lt;&gt;""),Main[[#This Row],[In Stock Date]]-Main[[#This Row],[Revised Due Date]],"")</f>
        <v/>
      </c>
      <c r="I875" s="72" t="s">
        <v>4</v>
      </c>
      <c r="J875" s="72" t="s">
        <v>28</v>
      </c>
      <c r="K875" s="72" t="s">
        <v>4</v>
      </c>
      <c r="L875" s="74"/>
      <c r="M875" s="77" t="str">
        <f>IF(Main[[#This Row],[Tech Start Date]]&lt;1/1/1990,"",IF(Main[[#This Row],[Class]]="C",WORKDAY(Main[[#This Row],[Tech Start Date]],9),IF(Main[[#This Row],[Class]]="B", WORKDAY(Main[[#This Row],[Tech Start Date]],6),IF(Main[[#This Row],[Class]]="A",WORKDAY(Main[[#This Row],[Tech Start Date]],2),""))))</f>
        <v/>
      </c>
      <c r="N875" s="77" t="str">
        <f>IF(Main[[#This Row],[Tech Start Date]]&lt;1/1/1990,"",IF(Main[[#This Row],[Class]]="C",WORKDAY(Main[[#This Row],[Tech Start Date]],19),IF(Main[[#This Row],[Class]]="B", WORKDAY(Main[[#This Row],[Tech Start Date]],12),IF(Main[[#This Row],[Class]]="A",WORKDAY(Main[[#This Row],[Tech Start Date]],4),""))))</f>
        <v/>
      </c>
      <c r="O875" s="77" t="str">
        <f>IF(Main[[#This Row],[Tech Start Date]]&lt;1/1/1990,"",IF(Main[[#This Row],[Class]]="C",WORKDAY(Main[[#This Row],[Tech Start Date]],23),IF(Main[[#This Row],[Class]]="B", WORKDAY(Main[[#This Row],[Tech Start Date]],15),IF(Main[[#This Row],[Class]]="A",WORKDAY(Main[[#This Row],[Tech Start Date]],5),""))))</f>
        <v/>
      </c>
      <c r="P875" s="77" t="str">
        <f>IF(Main[[#This Row],[Tech Start Date]]&lt;1/1/1990,"",IF(Main[[#This Row],[Class]]="C",WORKDAY(Main[[#This Row],[Tech Start Date]],28),IF(Main[[#This Row],[Class]]="B", WORKDAY(Main[[#This Row],[Tech Start Date]],19),IF(Main[[#This Row],[Class]]="A",WORKDAY(Main[[#This Row],[Tech Start Date]],9),""))))</f>
        <v/>
      </c>
      <c r="Q875" s="74">
        <v>40571</v>
      </c>
      <c r="R875" s="74"/>
      <c r="S875" s="72" t="s">
        <v>6</v>
      </c>
      <c r="T875" s="80" t="s">
        <v>4</v>
      </c>
      <c r="U875" s="72" t="s">
        <v>7</v>
      </c>
      <c r="V875" s="72" t="s">
        <v>1917</v>
      </c>
      <c r="W875" s="72" t="s">
        <v>1919</v>
      </c>
      <c r="X875" s="72" t="s">
        <v>2824</v>
      </c>
      <c r="Y875" s="72" t="s">
        <v>2935</v>
      </c>
      <c r="Z875" s="72" t="s">
        <v>129</v>
      </c>
      <c r="AA875" s="146" t="s">
        <v>2824</v>
      </c>
    </row>
    <row r="876" spans="1:27" ht="18.600000000000001" customHeight="1">
      <c r="A876" s="139" t="str">
        <f>IF(priority(Main[[#This Row],[Comments]])&lt;&gt;0, priority(Main[[#This Row],[Comments]]),"")</f>
        <v/>
      </c>
      <c r="B876" s="89" t="s">
        <v>1687</v>
      </c>
      <c r="C876" s="72" t="s">
        <v>4</v>
      </c>
      <c r="D876" s="73" t="s">
        <v>740</v>
      </c>
      <c r="E876" s="74"/>
      <c r="F876" s="74"/>
      <c r="G876" s="75" t="str">
        <f>IF(stdProdLT(Main[[#This Row],[Comments]])=0.1,"N/A",IF(stdProdLT(Main[[#This Row],[Comments]])=0,"",stdProdLT(Main[[#This Row],[Comments]])))</f>
        <v/>
      </c>
      <c r="H876" s="76" t="str">
        <f>IF(AND(Main[[#This Row],[In Stock Date]]&lt;&gt;"",Main[[#This Row],[Revised Due Date]]&lt;&gt;""),Main[[#This Row],[In Stock Date]]-Main[[#This Row],[Revised Due Date]],"")</f>
        <v/>
      </c>
      <c r="I876" s="72" t="s">
        <v>4</v>
      </c>
      <c r="J876" s="72" t="s">
        <v>28</v>
      </c>
      <c r="K876" s="72" t="s">
        <v>4</v>
      </c>
      <c r="L876" s="74"/>
      <c r="M876" s="77" t="str">
        <f>IF(Main[[#This Row],[Tech Start Date]]&lt;1/1/1990,"",IF(Main[[#This Row],[Class]]="C",WORKDAY(Main[[#This Row],[Tech Start Date]],9),IF(Main[[#This Row],[Class]]="B", WORKDAY(Main[[#This Row],[Tech Start Date]],6),IF(Main[[#This Row],[Class]]="A",WORKDAY(Main[[#This Row],[Tech Start Date]],2),""))))</f>
        <v/>
      </c>
      <c r="N876" s="77" t="str">
        <f>IF(Main[[#This Row],[Tech Start Date]]&lt;1/1/1990,"",IF(Main[[#This Row],[Class]]="C",WORKDAY(Main[[#This Row],[Tech Start Date]],19),IF(Main[[#This Row],[Class]]="B", WORKDAY(Main[[#This Row],[Tech Start Date]],12),IF(Main[[#This Row],[Class]]="A",WORKDAY(Main[[#This Row],[Tech Start Date]],4),""))))</f>
        <v/>
      </c>
      <c r="O876" s="77" t="str">
        <f>IF(Main[[#This Row],[Tech Start Date]]&lt;1/1/1990,"",IF(Main[[#This Row],[Class]]="C",WORKDAY(Main[[#This Row],[Tech Start Date]],23),IF(Main[[#This Row],[Class]]="B", WORKDAY(Main[[#This Row],[Tech Start Date]],15),IF(Main[[#This Row],[Class]]="A",WORKDAY(Main[[#This Row],[Tech Start Date]],5),""))))</f>
        <v/>
      </c>
      <c r="P876" s="77" t="str">
        <f>IF(Main[[#This Row],[Tech Start Date]]&lt;1/1/1990,"",IF(Main[[#This Row],[Class]]="C",WORKDAY(Main[[#This Row],[Tech Start Date]],28),IF(Main[[#This Row],[Class]]="B", WORKDAY(Main[[#This Row],[Tech Start Date]],19),IF(Main[[#This Row],[Class]]="A",WORKDAY(Main[[#This Row],[Tech Start Date]],9),""))))</f>
        <v/>
      </c>
      <c r="Q876" s="74"/>
      <c r="R876" s="74"/>
      <c r="S876" s="72" t="s">
        <v>17</v>
      </c>
      <c r="T876" s="80" t="s">
        <v>4</v>
      </c>
      <c r="U876" s="72" t="s">
        <v>14</v>
      </c>
      <c r="V876" s="72" t="s">
        <v>1917</v>
      </c>
      <c r="W876" s="72" t="s">
        <v>1925</v>
      </c>
      <c r="X876" s="72" t="s">
        <v>924</v>
      </c>
      <c r="Y876" s="72" t="s">
        <v>2988</v>
      </c>
      <c r="Z876" s="72" t="s">
        <v>129</v>
      </c>
      <c r="AA876" s="146" t="s">
        <v>924</v>
      </c>
    </row>
    <row r="877" spans="1:27" ht="18.600000000000001" customHeight="1">
      <c r="A877" s="139" t="str">
        <f>IF(priority(Main[[#This Row],[Comments]])&lt;&gt;0, priority(Main[[#This Row],[Comments]]),"")</f>
        <v/>
      </c>
      <c r="B877" s="89" t="s">
        <v>1690</v>
      </c>
      <c r="C877" s="72" t="s">
        <v>4</v>
      </c>
      <c r="D877" s="73" t="s">
        <v>744</v>
      </c>
      <c r="E877" s="74"/>
      <c r="F877" s="74"/>
      <c r="G877" s="75" t="str">
        <f>IF(stdProdLT(Main[[#This Row],[Comments]])=0.1,"N/A",IF(stdProdLT(Main[[#This Row],[Comments]])=0,"",stdProdLT(Main[[#This Row],[Comments]])))</f>
        <v/>
      </c>
      <c r="H877" s="76" t="str">
        <f>IF(AND(Main[[#This Row],[In Stock Date]]&lt;&gt;"",Main[[#This Row],[Revised Due Date]]&lt;&gt;""),Main[[#This Row],[In Stock Date]]-Main[[#This Row],[Revised Due Date]],"")</f>
        <v/>
      </c>
      <c r="I877" s="72" t="s">
        <v>4</v>
      </c>
      <c r="J877" s="72" t="s">
        <v>4</v>
      </c>
      <c r="K877" s="72" t="s">
        <v>4</v>
      </c>
      <c r="L877" s="74"/>
      <c r="M877" s="77" t="str">
        <f>IF(Main[[#This Row],[Tech Start Date]]&lt;1/1/1990,"",IF(Main[[#This Row],[Class]]="C",WORKDAY(Main[[#This Row],[Tech Start Date]],9),IF(Main[[#This Row],[Class]]="B", WORKDAY(Main[[#This Row],[Tech Start Date]],6),IF(Main[[#This Row],[Class]]="A",WORKDAY(Main[[#This Row],[Tech Start Date]],2),""))))</f>
        <v/>
      </c>
      <c r="N877" s="77" t="str">
        <f>IF(Main[[#This Row],[Tech Start Date]]&lt;1/1/1990,"",IF(Main[[#This Row],[Class]]="C",WORKDAY(Main[[#This Row],[Tech Start Date]],19),IF(Main[[#This Row],[Class]]="B", WORKDAY(Main[[#This Row],[Tech Start Date]],12),IF(Main[[#This Row],[Class]]="A",WORKDAY(Main[[#This Row],[Tech Start Date]],4),""))))</f>
        <v/>
      </c>
      <c r="O877" s="77" t="str">
        <f>IF(Main[[#This Row],[Tech Start Date]]&lt;1/1/1990,"",IF(Main[[#This Row],[Class]]="C",WORKDAY(Main[[#This Row],[Tech Start Date]],23),IF(Main[[#This Row],[Class]]="B", WORKDAY(Main[[#This Row],[Tech Start Date]],15),IF(Main[[#This Row],[Class]]="A",WORKDAY(Main[[#This Row],[Tech Start Date]],5),""))))</f>
        <v/>
      </c>
      <c r="P877" s="77" t="str">
        <f>IF(Main[[#This Row],[Tech Start Date]]&lt;1/1/1990,"",IF(Main[[#This Row],[Class]]="C",WORKDAY(Main[[#This Row],[Tech Start Date]],28),IF(Main[[#This Row],[Class]]="B", WORKDAY(Main[[#This Row],[Tech Start Date]],19),IF(Main[[#This Row],[Class]]="A",WORKDAY(Main[[#This Row],[Tech Start Date]],9),""))))</f>
        <v/>
      </c>
      <c r="Q877" s="74"/>
      <c r="R877" s="74"/>
      <c r="S877" s="72" t="s">
        <v>23</v>
      </c>
      <c r="T877" s="80" t="s">
        <v>4</v>
      </c>
      <c r="U877" s="72" t="s">
        <v>14</v>
      </c>
      <c r="V877" s="72" t="s">
        <v>1917</v>
      </c>
      <c r="W877" s="72" t="s">
        <v>1921</v>
      </c>
      <c r="X877" s="72" t="s">
        <v>399</v>
      </c>
      <c r="Y877" s="72" t="s">
        <v>4</v>
      </c>
      <c r="Z877" s="72" t="s">
        <v>4</v>
      </c>
      <c r="AA877" s="146" t="s">
        <v>3038</v>
      </c>
    </row>
    <row r="878" spans="1:27" ht="18.600000000000001" customHeight="1">
      <c r="A878" s="139" t="str">
        <f>IF(priority(Main[[#This Row],[Comments]])&lt;&gt;0, priority(Main[[#This Row],[Comments]]),"")</f>
        <v/>
      </c>
      <c r="B878" s="89" t="s">
        <v>1836</v>
      </c>
      <c r="C878" s="72" t="s">
        <v>4</v>
      </c>
      <c r="D878" s="73" t="s">
        <v>889</v>
      </c>
      <c r="E878" s="74">
        <v>40371.599317129629</v>
      </c>
      <c r="F878" s="74"/>
      <c r="G878" s="75" t="str">
        <f>IF(stdProdLT(Main[[#This Row],[Comments]])=0.1,"N/A",IF(stdProdLT(Main[[#This Row],[Comments]])=0,"",stdProdLT(Main[[#This Row],[Comments]])))</f>
        <v/>
      </c>
      <c r="H878" s="76" t="str">
        <f>IF(AND(Main[[#This Row],[In Stock Date]]&lt;&gt;"",Main[[#This Row],[Revised Due Date]]&lt;&gt;""),Main[[#This Row],[In Stock Date]]-Main[[#This Row],[Revised Due Date]],"")</f>
        <v/>
      </c>
      <c r="I878" s="72" t="s">
        <v>126</v>
      </c>
      <c r="J878" s="72" t="s">
        <v>28</v>
      </c>
      <c r="K878" s="72" t="s">
        <v>1929</v>
      </c>
      <c r="L878" s="74"/>
      <c r="M878" s="77" t="str">
        <f>IF(Main[[#This Row],[Tech Start Date]]&lt;1/1/1990,"",IF(Main[[#This Row],[Class]]="C",WORKDAY(Main[[#This Row],[Tech Start Date]],9),IF(Main[[#This Row],[Class]]="B", WORKDAY(Main[[#This Row],[Tech Start Date]],6),IF(Main[[#This Row],[Class]]="A",WORKDAY(Main[[#This Row],[Tech Start Date]],2),""))))</f>
        <v/>
      </c>
      <c r="N878" s="77" t="str">
        <f>IF(Main[[#This Row],[Tech Start Date]]&lt;1/1/1990,"",IF(Main[[#This Row],[Class]]="C",WORKDAY(Main[[#This Row],[Tech Start Date]],19),IF(Main[[#This Row],[Class]]="B", WORKDAY(Main[[#This Row],[Tech Start Date]],12),IF(Main[[#This Row],[Class]]="A",WORKDAY(Main[[#This Row],[Tech Start Date]],4),""))))</f>
        <v/>
      </c>
      <c r="O878" s="77" t="str">
        <f>IF(Main[[#This Row],[Tech Start Date]]&lt;1/1/1990,"",IF(Main[[#This Row],[Class]]="C",WORKDAY(Main[[#This Row],[Tech Start Date]],23),IF(Main[[#This Row],[Class]]="B", WORKDAY(Main[[#This Row],[Tech Start Date]],15),IF(Main[[#This Row],[Class]]="A",WORKDAY(Main[[#This Row],[Tech Start Date]],5),""))))</f>
        <v/>
      </c>
      <c r="P878" s="77" t="str">
        <f>IF(Main[[#This Row],[Tech Start Date]]&lt;1/1/1990,"",IF(Main[[#This Row],[Class]]="C",WORKDAY(Main[[#This Row],[Tech Start Date]],28),IF(Main[[#This Row],[Class]]="B", WORKDAY(Main[[#This Row],[Tech Start Date]],19),IF(Main[[#This Row],[Class]]="A",WORKDAY(Main[[#This Row],[Tech Start Date]],9),""))))</f>
        <v/>
      </c>
      <c r="Q878" s="74">
        <v>40420</v>
      </c>
      <c r="R878" s="74">
        <v>40420</v>
      </c>
      <c r="S878" s="72" t="s">
        <v>17</v>
      </c>
      <c r="T878" s="80" t="s">
        <v>4</v>
      </c>
      <c r="U878" s="72" t="s">
        <v>29</v>
      </c>
      <c r="V878" s="72" t="s">
        <v>1917</v>
      </c>
      <c r="W878" s="72" t="s">
        <v>1925</v>
      </c>
      <c r="X878" s="72" t="s">
        <v>129</v>
      </c>
      <c r="Y878" s="72" t="s">
        <v>2965</v>
      </c>
      <c r="Z878" s="72" t="s">
        <v>129</v>
      </c>
      <c r="AA878" s="146" t="s">
        <v>2834</v>
      </c>
    </row>
    <row r="879" spans="1:27" ht="18.600000000000001" customHeight="1">
      <c r="A879" s="139" t="str">
        <f>IF(priority(Main[[#This Row],[Comments]])&lt;&gt;0, priority(Main[[#This Row],[Comments]]),"")</f>
        <v/>
      </c>
      <c r="B879" s="89" t="s">
        <v>1691</v>
      </c>
      <c r="C879" s="72" t="s">
        <v>4</v>
      </c>
      <c r="D879" s="73" t="s">
        <v>745</v>
      </c>
      <c r="E879" s="74"/>
      <c r="F879" s="74"/>
      <c r="G879" s="75" t="str">
        <f>IF(stdProdLT(Main[[#This Row],[Comments]])=0.1,"N/A",IF(stdProdLT(Main[[#This Row],[Comments]])=0,"",stdProdLT(Main[[#This Row],[Comments]])))</f>
        <v/>
      </c>
      <c r="H879" s="76" t="str">
        <f>IF(AND(Main[[#This Row],[In Stock Date]]&lt;&gt;"",Main[[#This Row],[Revised Due Date]]&lt;&gt;""),Main[[#This Row],[In Stock Date]]-Main[[#This Row],[Revised Due Date]],"")</f>
        <v/>
      </c>
      <c r="I879" s="72" t="s">
        <v>4</v>
      </c>
      <c r="J879" s="72" t="s">
        <v>28</v>
      </c>
      <c r="K879" s="72" t="s">
        <v>1924</v>
      </c>
      <c r="L879" s="74"/>
      <c r="M879" s="77" t="str">
        <f>IF(Main[[#This Row],[Tech Start Date]]&lt;1/1/1990,"",IF(Main[[#This Row],[Class]]="C",WORKDAY(Main[[#This Row],[Tech Start Date]],9),IF(Main[[#This Row],[Class]]="B", WORKDAY(Main[[#This Row],[Tech Start Date]],6),IF(Main[[#This Row],[Class]]="A",WORKDAY(Main[[#This Row],[Tech Start Date]],2),""))))</f>
        <v/>
      </c>
      <c r="N879" s="77" t="str">
        <f>IF(Main[[#This Row],[Tech Start Date]]&lt;1/1/1990,"",IF(Main[[#This Row],[Class]]="C",WORKDAY(Main[[#This Row],[Tech Start Date]],19),IF(Main[[#This Row],[Class]]="B", WORKDAY(Main[[#This Row],[Tech Start Date]],12),IF(Main[[#This Row],[Class]]="A",WORKDAY(Main[[#This Row],[Tech Start Date]],4),""))))</f>
        <v/>
      </c>
      <c r="O879" s="77" t="str">
        <f>IF(Main[[#This Row],[Tech Start Date]]&lt;1/1/1990,"",IF(Main[[#This Row],[Class]]="C",WORKDAY(Main[[#This Row],[Tech Start Date]],23),IF(Main[[#This Row],[Class]]="B", WORKDAY(Main[[#This Row],[Tech Start Date]],15),IF(Main[[#This Row],[Class]]="A",WORKDAY(Main[[#This Row],[Tech Start Date]],5),""))))</f>
        <v/>
      </c>
      <c r="P879" s="77" t="str">
        <f>IF(Main[[#This Row],[Tech Start Date]]&lt;1/1/1990,"",IF(Main[[#This Row],[Class]]="C",WORKDAY(Main[[#This Row],[Tech Start Date]],28),IF(Main[[#This Row],[Class]]="B", WORKDAY(Main[[#This Row],[Tech Start Date]],19),IF(Main[[#This Row],[Class]]="A",WORKDAY(Main[[#This Row],[Tech Start Date]],9),""))))</f>
        <v/>
      </c>
      <c r="Q879" s="74"/>
      <c r="R879" s="74"/>
      <c r="S879" s="72" t="s">
        <v>6</v>
      </c>
      <c r="T879" s="80" t="s">
        <v>4</v>
      </c>
      <c r="U879" s="72" t="s">
        <v>14</v>
      </c>
      <c r="V879" s="72" t="s">
        <v>1917</v>
      </c>
      <c r="W879" s="72" t="s">
        <v>1921</v>
      </c>
      <c r="X879" s="72" t="s">
        <v>306</v>
      </c>
      <c r="Y879" s="72" t="s">
        <v>3105</v>
      </c>
      <c r="Z879" s="72" t="s">
        <v>129</v>
      </c>
      <c r="AA879" s="146" t="s">
        <v>3448</v>
      </c>
    </row>
    <row r="880" spans="1:27" ht="18.600000000000001" customHeight="1">
      <c r="A880" s="139" t="str">
        <f>IF(priority(Main[[#This Row],[Comments]])&lt;&gt;0, priority(Main[[#This Row],[Comments]]),"")</f>
        <v/>
      </c>
      <c r="B880" s="89" t="s">
        <v>1693</v>
      </c>
      <c r="C880" s="72" t="s">
        <v>4</v>
      </c>
      <c r="D880" s="73" t="s">
        <v>748</v>
      </c>
      <c r="E880" s="74"/>
      <c r="F880" s="74"/>
      <c r="G880" s="75" t="str">
        <f>IF(stdProdLT(Main[[#This Row],[Comments]])=0.1,"N/A",IF(stdProdLT(Main[[#This Row],[Comments]])=0,"",stdProdLT(Main[[#This Row],[Comments]])))</f>
        <v/>
      </c>
      <c r="H880" s="76" t="str">
        <f>IF(AND(Main[[#This Row],[In Stock Date]]&lt;&gt;"",Main[[#This Row],[Revised Due Date]]&lt;&gt;""),Main[[#This Row],[In Stock Date]]-Main[[#This Row],[Revised Due Date]],"")</f>
        <v/>
      </c>
      <c r="I880" s="72" t="s">
        <v>4</v>
      </c>
      <c r="J880" s="72" t="s">
        <v>4</v>
      </c>
      <c r="K880" s="72" t="s">
        <v>4</v>
      </c>
      <c r="L880" s="74"/>
      <c r="M880" s="77" t="str">
        <f>IF(Main[[#This Row],[Tech Start Date]]&lt;1/1/1990,"",IF(Main[[#This Row],[Class]]="C",WORKDAY(Main[[#This Row],[Tech Start Date]],9),IF(Main[[#This Row],[Class]]="B", WORKDAY(Main[[#This Row],[Tech Start Date]],6),IF(Main[[#This Row],[Class]]="A",WORKDAY(Main[[#This Row],[Tech Start Date]],2),""))))</f>
        <v/>
      </c>
      <c r="N880" s="77" t="str">
        <f>IF(Main[[#This Row],[Tech Start Date]]&lt;1/1/1990,"",IF(Main[[#This Row],[Class]]="C",WORKDAY(Main[[#This Row],[Tech Start Date]],19),IF(Main[[#This Row],[Class]]="B", WORKDAY(Main[[#This Row],[Tech Start Date]],12),IF(Main[[#This Row],[Class]]="A",WORKDAY(Main[[#This Row],[Tech Start Date]],4),""))))</f>
        <v/>
      </c>
      <c r="O880" s="77" t="str">
        <f>IF(Main[[#This Row],[Tech Start Date]]&lt;1/1/1990,"",IF(Main[[#This Row],[Class]]="C",WORKDAY(Main[[#This Row],[Tech Start Date]],23),IF(Main[[#This Row],[Class]]="B", WORKDAY(Main[[#This Row],[Tech Start Date]],15),IF(Main[[#This Row],[Class]]="A",WORKDAY(Main[[#This Row],[Tech Start Date]],5),""))))</f>
        <v/>
      </c>
      <c r="P880" s="77" t="str">
        <f>IF(Main[[#This Row],[Tech Start Date]]&lt;1/1/1990,"",IF(Main[[#This Row],[Class]]="C",WORKDAY(Main[[#This Row],[Tech Start Date]],28),IF(Main[[#This Row],[Class]]="B", WORKDAY(Main[[#This Row],[Tech Start Date]],19),IF(Main[[#This Row],[Class]]="A",WORKDAY(Main[[#This Row],[Tech Start Date]],9),""))))</f>
        <v/>
      </c>
      <c r="Q880" s="74"/>
      <c r="R880" s="74"/>
      <c r="S880" s="72" t="s">
        <v>11</v>
      </c>
      <c r="T880" s="80" t="s">
        <v>4</v>
      </c>
      <c r="U880" s="72" t="s">
        <v>14</v>
      </c>
      <c r="V880" s="72" t="s">
        <v>1917</v>
      </c>
      <c r="W880" s="72" t="s">
        <v>1921</v>
      </c>
      <c r="X880" s="72" t="s">
        <v>710</v>
      </c>
      <c r="Y880" s="72" t="s">
        <v>3091</v>
      </c>
      <c r="Z880" s="72" t="s">
        <v>4</v>
      </c>
      <c r="AA880" s="146" t="s">
        <v>971</v>
      </c>
    </row>
    <row r="881" spans="1:27" ht="18.600000000000001" customHeight="1">
      <c r="A881" s="139" t="str">
        <f>IF(priority(Main[[#This Row],[Comments]])&lt;&gt;0, priority(Main[[#This Row],[Comments]]),"")</f>
        <v/>
      </c>
      <c r="B881" s="89" t="s">
        <v>1694</v>
      </c>
      <c r="C881" s="72" t="s">
        <v>4</v>
      </c>
      <c r="D881" s="73" t="s">
        <v>749</v>
      </c>
      <c r="E881" s="74"/>
      <c r="F881" s="74"/>
      <c r="G881" s="75" t="str">
        <f>IF(stdProdLT(Main[[#This Row],[Comments]])=0.1,"N/A",IF(stdProdLT(Main[[#This Row],[Comments]])=0,"",stdProdLT(Main[[#This Row],[Comments]])))</f>
        <v/>
      </c>
      <c r="H881" s="76" t="str">
        <f>IF(AND(Main[[#This Row],[In Stock Date]]&lt;&gt;"",Main[[#This Row],[Revised Due Date]]&lt;&gt;""),Main[[#This Row],[In Stock Date]]-Main[[#This Row],[Revised Due Date]],"")</f>
        <v/>
      </c>
      <c r="I881" s="72" t="s">
        <v>429</v>
      </c>
      <c r="J881" s="72" t="s">
        <v>70</v>
      </c>
      <c r="K881" s="72" t="s">
        <v>4</v>
      </c>
      <c r="L881" s="74"/>
      <c r="M881" s="77" t="str">
        <f>IF(Main[[#This Row],[Tech Start Date]]&lt;1/1/1990,"",IF(Main[[#This Row],[Class]]="C",WORKDAY(Main[[#This Row],[Tech Start Date]],9),IF(Main[[#This Row],[Class]]="B", WORKDAY(Main[[#This Row],[Tech Start Date]],6),IF(Main[[#This Row],[Class]]="A",WORKDAY(Main[[#This Row],[Tech Start Date]],2),""))))</f>
        <v/>
      </c>
      <c r="N881" s="77" t="str">
        <f>IF(Main[[#This Row],[Tech Start Date]]&lt;1/1/1990,"",IF(Main[[#This Row],[Class]]="C",WORKDAY(Main[[#This Row],[Tech Start Date]],19),IF(Main[[#This Row],[Class]]="B", WORKDAY(Main[[#This Row],[Tech Start Date]],12),IF(Main[[#This Row],[Class]]="A",WORKDAY(Main[[#This Row],[Tech Start Date]],4),""))))</f>
        <v/>
      </c>
      <c r="O881" s="77" t="str">
        <f>IF(Main[[#This Row],[Tech Start Date]]&lt;1/1/1990,"",IF(Main[[#This Row],[Class]]="C",WORKDAY(Main[[#This Row],[Tech Start Date]],23),IF(Main[[#This Row],[Class]]="B", WORKDAY(Main[[#This Row],[Tech Start Date]],15),IF(Main[[#This Row],[Class]]="A",WORKDAY(Main[[#This Row],[Tech Start Date]],5),""))))</f>
        <v/>
      </c>
      <c r="P881" s="77" t="str">
        <f>IF(Main[[#This Row],[Tech Start Date]]&lt;1/1/1990,"",IF(Main[[#This Row],[Class]]="C",WORKDAY(Main[[#This Row],[Tech Start Date]],28),IF(Main[[#This Row],[Class]]="B", WORKDAY(Main[[#This Row],[Tech Start Date]],19),IF(Main[[#This Row],[Class]]="A",WORKDAY(Main[[#This Row],[Tech Start Date]],9),""))))</f>
        <v/>
      </c>
      <c r="Q881" s="74">
        <v>40437</v>
      </c>
      <c r="R881" s="74"/>
      <c r="S881" s="72" t="s">
        <v>6</v>
      </c>
      <c r="T881" s="80" t="s">
        <v>4</v>
      </c>
      <c r="U881" s="72" t="s">
        <v>14</v>
      </c>
      <c r="V881" s="72" t="s">
        <v>1920</v>
      </c>
      <c r="W881" s="72" t="s">
        <v>1919</v>
      </c>
      <c r="X881" s="72" t="s">
        <v>2828</v>
      </c>
      <c r="Y881" s="72" t="s">
        <v>2944</v>
      </c>
      <c r="Z881" s="72" t="s">
        <v>530</v>
      </c>
      <c r="AA881" s="146" t="s">
        <v>2828</v>
      </c>
    </row>
    <row r="882" spans="1:27" ht="18.600000000000001" customHeight="1">
      <c r="A882" s="139" t="str">
        <f>IF(priority(Main[[#This Row],[Comments]])&lt;&gt;0, priority(Main[[#This Row],[Comments]]),"")</f>
        <v/>
      </c>
      <c r="B882" s="89" t="s">
        <v>2743</v>
      </c>
      <c r="C882" s="72" t="s">
        <v>4</v>
      </c>
      <c r="D882" s="73" t="s">
        <v>2744</v>
      </c>
      <c r="E882" s="74">
        <v>40886.69462962963</v>
      </c>
      <c r="F882" s="74"/>
      <c r="G882" s="75" t="str">
        <f>IF(stdProdLT(Main[[#This Row],[Comments]])=0.1,"N/A",IF(stdProdLT(Main[[#This Row],[Comments]])=0,"",stdProdLT(Main[[#This Row],[Comments]])))</f>
        <v/>
      </c>
      <c r="H882" s="76" t="str">
        <f>IF(AND(Main[[#This Row],[In Stock Date]]&lt;&gt;"",Main[[#This Row],[Revised Due Date]]&lt;&gt;""),Main[[#This Row],[In Stock Date]]-Main[[#This Row],[Revised Due Date]],"")</f>
        <v/>
      </c>
      <c r="I882" s="72" t="s">
        <v>4</v>
      </c>
      <c r="J882" s="72" t="s">
        <v>4</v>
      </c>
      <c r="K882" s="72" t="s">
        <v>4</v>
      </c>
      <c r="L882" s="74"/>
      <c r="M882" s="77" t="str">
        <f>IF(Main[[#This Row],[Tech Start Date]]&lt;1/1/1990,"",IF(Main[[#This Row],[Class]]="C",WORKDAY(Main[[#This Row],[Tech Start Date]],9),IF(Main[[#This Row],[Class]]="B", WORKDAY(Main[[#This Row],[Tech Start Date]],6),IF(Main[[#This Row],[Class]]="A",WORKDAY(Main[[#This Row],[Tech Start Date]],2),""))))</f>
        <v/>
      </c>
      <c r="N882" s="77" t="str">
        <f>IF(Main[[#This Row],[Tech Start Date]]&lt;1/1/1990,"",IF(Main[[#This Row],[Class]]="C",WORKDAY(Main[[#This Row],[Tech Start Date]],19),IF(Main[[#This Row],[Class]]="B", WORKDAY(Main[[#This Row],[Tech Start Date]],12),IF(Main[[#This Row],[Class]]="A",WORKDAY(Main[[#This Row],[Tech Start Date]],4),""))))</f>
        <v/>
      </c>
      <c r="O882" s="77" t="str">
        <f>IF(Main[[#This Row],[Tech Start Date]]&lt;1/1/1990,"",IF(Main[[#This Row],[Class]]="C",WORKDAY(Main[[#This Row],[Tech Start Date]],23),IF(Main[[#This Row],[Class]]="B", WORKDAY(Main[[#This Row],[Tech Start Date]],15),IF(Main[[#This Row],[Class]]="A",WORKDAY(Main[[#This Row],[Tech Start Date]],5),""))))</f>
        <v/>
      </c>
      <c r="P882" s="77" t="str">
        <f>IF(Main[[#This Row],[Tech Start Date]]&lt;1/1/1990,"",IF(Main[[#This Row],[Class]]="C",WORKDAY(Main[[#This Row],[Tech Start Date]],28),IF(Main[[#This Row],[Class]]="B", WORKDAY(Main[[#This Row],[Tech Start Date]],19),IF(Main[[#This Row],[Class]]="A",WORKDAY(Main[[#This Row],[Tech Start Date]],9),""))))</f>
        <v/>
      </c>
      <c r="Q882" s="74">
        <v>40959</v>
      </c>
      <c r="R882" s="74"/>
      <c r="S882" s="72" t="s">
        <v>17</v>
      </c>
      <c r="T882" s="80" t="s">
        <v>4</v>
      </c>
      <c r="U882" s="72" t="s">
        <v>7</v>
      </c>
      <c r="V882" s="72" t="s">
        <v>1917</v>
      </c>
      <c r="W882" s="72" t="s">
        <v>4</v>
      </c>
      <c r="X882" s="72" t="s">
        <v>958</v>
      </c>
      <c r="Y882" s="72" t="s">
        <v>3100</v>
      </c>
      <c r="Z882" s="72" t="s">
        <v>4</v>
      </c>
      <c r="AA882" s="146" t="s">
        <v>958</v>
      </c>
    </row>
    <row r="883" spans="1:27" ht="18.600000000000001" customHeight="1">
      <c r="A883" s="139" t="str">
        <f>IF(priority(Main[[#This Row],[Comments]])&lt;&gt;0, priority(Main[[#This Row],[Comments]]),"")</f>
        <v/>
      </c>
      <c r="B883" s="89" t="s">
        <v>1698</v>
      </c>
      <c r="C883" s="72" t="s">
        <v>47</v>
      </c>
      <c r="D883" s="73" t="s">
        <v>753</v>
      </c>
      <c r="E883" s="74"/>
      <c r="F883" s="74"/>
      <c r="G883" s="75" t="str">
        <f>IF(stdProdLT(Main[[#This Row],[Comments]])=0.1,"N/A",IF(stdProdLT(Main[[#This Row],[Comments]])=0,"",stdProdLT(Main[[#This Row],[Comments]])))</f>
        <v/>
      </c>
      <c r="H883" s="76" t="str">
        <f>IF(AND(Main[[#This Row],[In Stock Date]]&lt;&gt;"",Main[[#This Row],[Revised Due Date]]&lt;&gt;""),Main[[#This Row],[In Stock Date]]-Main[[#This Row],[Revised Due Date]],"")</f>
        <v/>
      </c>
      <c r="I883" s="72" t="s">
        <v>4</v>
      </c>
      <c r="J883" s="72" t="s">
        <v>4</v>
      </c>
      <c r="K883" s="72" t="s">
        <v>4</v>
      </c>
      <c r="L883" s="74"/>
      <c r="M883" s="77" t="str">
        <f>IF(Main[[#This Row],[Tech Start Date]]&lt;1/1/1990,"",IF(Main[[#This Row],[Class]]="C",WORKDAY(Main[[#This Row],[Tech Start Date]],9),IF(Main[[#This Row],[Class]]="B", WORKDAY(Main[[#This Row],[Tech Start Date]],6),IF(Main[[#This Row],[Class]]="A",WORKDAY(Main[[#This Row],[Tech Start Date]],2),""))))</f>
        <v/>
      </c>
      <c r="N883" s="77" t="str">
        <f>IF(Main[[#This Row],[Tech Start Date]]&lt;1/1/1990,"",IF(Main[[#This Row],[Class]]="C",WORKDAY(Main[[#This Row],[Tech Start Date]],19),IF(Main[[#This Row],[Class]]="B", WORKDAY(Main[[#This Row],[Tech Start Date]],12),IF(Main[[#This Row],[Class]]="A",WORKDAY(Main[[#This Row],[Tech Start Date]],4),""))))</f>
        <v/>
      </c>
      <c r="O883" s="77" t="str">
        <f>IF(Main[[#This Row],[Tech Start Date]]&lt;1/1/1990,"",IF(Main[[#This Row],[Class]]="C",WORKDAY(Main[[#This Row],[Tech Start Date]],23),IF(Main[[#This Row],[Class]]="B", WORKDAY(Main[[#This Row],[Tech Start Date]],15),IF(Main[[#This Row],[Class]]="A",WORKDAY(Main[[#This Row],[Tech Start Date]],5),""))))</f>
        <v/>
      </c>
      <c r="P883" s="77" t="str">
        <f>IF(Main[[#This Row],[Tech Start Date]]&lt;1/1/1990,"",IF(Main[[#This Row],[Class]]="C",WORKDAY(Main[[#This Row],[Tech Start Date]],28),IF(Main[[#This Row],[Class]]="B", WORKDAY(Main[[#This Row],[Tech Start Date]],19),IF(Main[[#This Row],[Class]]="A",WORKDAY(Main[[#This Row],[Tech Start Date]],9),""))))</f>
        <v/>
      </c>
      <c r="Q883" s="74"/>
      <c r="R883" s="74"/>
      <c r="S883" s="72" t="s">
        <v>49</v>
      </c>
      <c r="T883" s="80" t="s">
        <v>4</v>
      </c>
      <c r="U883" s="72" t="s">
        <v>14</v>
      </c>
      <c r="V883" s="72" t="s">
        <v>1920</v>
      </c>
      <c r="W883" s="72" t="s">
        <v>1921</v>
      </c>
      <c r="X883" s="72" t="s">
        <v>306</v>
      </c>
      <c r="Y883" s="72" t="s">
        <v>2947</v>
      </c>
      <c r="Z883" s="72" t="s">
        <v>4</v>
      </c>
      <c r="AA883" s="146" t="s">
        <v>3388</v>
      </c>
    </row>
    <row r="884" spans="1:27" ht="18.600000000000001" customHeight="1">
      <c r="A884" s="139" t="str">
        <f>IF(priority(Main[[#This Row],[Comments]])&lt;&gt;0, priority(Main[[#This Row],[Comments]]),"")</f>
        <v/>
      </c>
      <c r="B884" s="89" t="s">
        <v>2100</v>
      </c>
      <c r="C884" s="72" t="s">
        <v>953</v>
      </c>
      <c r="D884" s="73" t="s">
        <v>2101</v>
      </c>
      <c r="E884" s="74"/>
      <c r="F884" s="74">
        <v>40871</v>
      </c>
      <c r="G884" s="75" t="str">
        <f>IF(stdProdLT(Main[[#This Row],[Comments]])=0.1,"N/A",IF(stdProdLT(Main[[#This Row],[Comments]])=0,"",stdProdLT(Main[[#This Row],[Comments]])))</f>
        <v/>
      </c>
      <c r="H884" s="76" t="str">
        <f>IF(AND(Main[[#This Row],[In Stock Date]]&lt;&gt;"",Main[[#This Row],[Revised Due Date]]&lt;&gt;""),Main[[#This Row],[In Stock Date]]-Main[[#This Row],[Revised Due Date]],"")</f>
        <v/>
      </c>
      <c r="I884" s="72" t="s">
        <v>4</v>
      </c>
      <c r="J884" s="72" t="s">
        <v>4</v>
      </c>
      <c r="K884" s="72" t="s">
        <v>4</v>
      </c>
      <c r="L884" s="74"/>
      <c r="M884" s="77" t="str">
        <f>IF(Main[[#This Row],[Tech Start Date]]&lt;1/1/1990,"",IF(Main[[#This Row],[Class]]="C",WORKDAY(Main[[#This Row],[Tech Start Date]],9),IF(Main[[#This Row],[Class]]="B", WORKDAY(Main[[#This Row],[Tech Start Date]],6),IF(Main[[#This Row],[Class]]="A",WORKDAY(Main[[#This Row],[Tech Start Date]],2),""))))</f>
        <v/>
      </c>
      <c r="N884" s="77" t="str">
        <f>IF(Main[[#This Row],[Tech Start Date]]&lt;1/1/1990,"",IF(Main[[#This Row],[Class]]="C",WORKDAY(Main[[#This Row],[Tech Start Date]],19),IF(Main[[#This Row],[Class]]="B", WORKDAY(Main[[#This Row],[Tech Start Date]],12),IF(Main[[#This Row],[Class]]="A",WORKDAY(Main[[#This Row],[Tech Start Date]],4),""))))</f>
        <v/>
      </c>
      <c r="O884" s="77" t="str">
        <f>IF(Main[[#This Row],[Tech Start Date]]&lt;1/1/1990,"",IF(Main[[#This Row],[Class]]="C",WORKDAY(Main[[#This Row],[Tech Start Date]],23),IF(Main[[#This Row],[Class]]="B", WORKDAY(Main[[#This Row],[Tech Start Date]],15),IF(Main[[#This Row],[Class]]="A",WORKDAY(Main[[#This Row],[Tech Start Date]],5),""))))</f>
        <v/>
      </c>
      <c r="P884" s="77" t="str">
        <f>IF(Main[[#This Row],[Tech Start Date]]&lt;1/1/1990,"",IF(Main[[#This Row],[Class]]="C",WORKDAY(Main[[#This Row],[Tech Start Date]],28),IF(Main[[#This Row],[Class]]="B", WORKDAY(Main[[#This Row],[Tech Start Date]],19),IF(Main[[#This Row],[Class]]="A",WORKDAY(Main[[#This Row],[Tech Start Date]],9),""))))</f>
        <v/>
      </c>
      <c r="Q884" s="74"/>
      <c r="R884" s="74"/>
      <c r="S884" s="72" t="s">
        <v>11</v>
      </c>
      <c r="T884" s="80" t="s">
        <v>4</v>
      </c>
      <c r="U884" s="72" t="s">
        <v>14</v>
      </c>
      <c r="V884" s="72" t="s">
        <v>1920</v>
      </c>
      <c r="W884" s="72" t="s">
        <v>1925</v>
      </c>
      <c r="X884" s="72" t="s">
        <v>50</v>
      </c>
      <c r="Y884" s="72" t="s">
        <v>2967</v>
      </c>
      <c r="Z884" s="72" t="s">
        <v>4</v>
      </c>
      <c r="AA884" s="146" t="s">
        <v>50</v>
      </c>
    </row>
    <row r="885" spans="1:27" ht="18.600000000000001" customHeight="1">
      <c r="A885" s="139" t="str">
        <f>IF(priority(Main[[#This Row],[Comments]])&lt;&gt;0, priority(Main[[#This Row],[Comments]]),"")</f>
        <v/>
      </c>
      <c r="B885" s="89" t="s">
        <v>3527</v>
      </c>
      <c r="C885" s="72" t="s">
        <v>4</v>
      </c>
      <c r="D885" s="73" t="s">
        <v>3528</v>
      </c>
      <c r="E885" s="74">
        <v>40948.373171296298</v>
      </c>
      <c r="F885" s="74"/>
      <c r="G885" s="75" t="str">
        <f>IF(stdProdLT(Main[[#This Row],[Comments]])=0.1,"N/A",IF(stdProdLT(Main[[#This Row],[Comments]])=0,"",stdProdLT(Main[[#This Row],[Comments]])))</f>
        <v/>
      </c>
      <c r="H885" s="76" t="str">
        <f>IF(AND(Main[[#This Row],[In Stock Date]]&lt;&gt;"",Main[[#This Row],[Revised Due Date]]&lt;&gt;""),Main[[#This Row],[In Stock Date]]-Main[[#This Row],[Revised Due Date]],"")</f>
        <v/>
      </c>
      <c r="I885" s="72" t="s">
        <v>4</v>
      </c>
      <c r="J885" s="72" t="s">
        <v>4</v>
      </c>
      <c r="K885" s="81" t="s">
        <v>4</v>
      </c>
      <c r="L885" s="74"/>
      <c r="M885" s="77" t="str">
        <f>IF(Main[[#This Row],[Tech Start Date]]&lt;1/1/1990,"",IF(Main[[#This Row],[Class]]="C",WORKDAY(Main[[#This Row],[Tech Start Date]],9),IF(Main[[#This Row],[Class]]="B", WORKDAY(Main[[#This Row],[Tech Start Date]],6),IF(Main[[#This Row],[Class]]="A",WORKDAY(Main[[#This Row],[Tech Start Date]],2),""))))</f>
        <v/>
      </c>
      <c r="N885" s="77" t="str">
        <f>IF(Main[[#This Row],[Tech Start Date]]&lt;1/1/1990,"",IF(Main[[#This Row],[Class]]="C",WORKDAY(Main[[#This Row],[Tech Start Date]],19),IF(Main[[#This Row],[Class]]="B", WORKDAY(Main[[#This Row],[Tech Start Date]],12),IF(Main[[#This Row],[Class]]="A",WORKDAY(Main[[#This Row],[Tech Start Date]],4),""))))</f>
        <v/>
      </c>
      <c r="O885" s="77" t="str">
        <f>IF(Main[[#This Row],[Tech Start Date]]&lt;1/1/1990,"",IF(Main[[#This Row],[Class]]="C",WORKDAY(Main[[#This Row],[Tech Start Date]],23),IF(Main[[#This Row],[Class]]="B", WORKDAY(Main[[#This Row],[Tech Start Date]],15),IF(Main[[#This Row],[Class]]="A",WORKDAY(Main[[#This Row],[Tech Start Date]],5),""))))</f>
        <v/>
      </c>
      <c r="P885" s="77" t="str">
        <f>IF(Main[[#This Row],[Tech Start Date]]&lt;1/1/1990,"",IF(Main[[#This Row],[Class]]="C",WORKDAY(Main[[#This Row],[Tech Start Date]],28),IF(Main[[#This Row],[Class]]="B", WORKDAY(Main[[#This Row],[Tech Start Date]],19),IF(Main[[#This Row],[Class]]="A",WORKDAY(Main[[#This Row],[Tech Start Date]],9),""))))</f>
        <v/>
      </c>
      <c r="Q885" s="74">
        <v>40977</v>
      </c>
      <c r="R885" s="74"/>
      <c r="S885" s="72" t="s">
        <v>6</v>
      </c>
      <c r="T885" s="80" t="s">
        <v>4</v>
      </c>
      <c r="U885" s="72" t="s">
        <v>7</v>
      </c>
      <c r="V885" s="72" t="s">
        <v>1917</v>
      </c>
      <c r="W885" s="72" t="s">
        <v>4</v>
      </c>
      <c r="X885" s="72" t="s">
        <v>2828</v>
      </c>
      <c r="Y885" s="72" t="s">
        <v>2944</v>
      </c>
      <c r="Z885" s="72" t="s">
        <v>4</v>
      </c>
      <c r="AA885" s="146" t="s">
        <v>2828</v>
      </c>
    </row>
    <row r="886" spans="1:27" ht="18.600000000000001" customHeight="1">
      <c r="A886" s="139" t="str">
        <f>IF(priority(Main[[#This Row],[Comments]])&lt;&gt;0, priority(Main[[#This Row],[Comments]]),"")</f>
        <v/>
      </c>
      <c r="B886" s="89" t="s">
        <v>1901</v>
      </c>
      <c r="C886" s="72" t="s">
        <v>72</v>
      </c>
      <c r="D886" s="73" t="s">
        <v>2114</v>
      </c>
      <c r="E886" s="74">
        <v>40469.926608796297</v>
      </c>
      <c r="F886" s="74">
        <v>40487</v>
      </c>
      <c r="G886" s="75">
        <f>IF(stdProdLT(Main[[#This Row],[Comments]])=0.1,"N/A",IF(stdProdLT(Main[[#This Row],[Comments]])=0,"",stdProdLT(Main[[#This Row],[Comments]])))</f>
        <v>42</v>
      </c>
      <c r="H886" s="76">
        <f>IF(AND(Main[[#This Row],[In Stock Date]]&lt;&gt;"",Main[[#This Row],[Revised Due Date]]&lt;&gt;""),Main[[#This Row],[In Stock Date]]-Main[[#This Row],[Revised Due Date]],"")</f>
        <v>-294</v>
      </c>
      <c r="I886" s="72" t="s">
        <v>2056</v>
      </c>
      <c r="J886" s="72" t="s">
        <v>52</v>
      </c>
      <c r="K886" s="72" t="s">
        <v>1930</v>
      </c>
      <c r="L886" s="74"/>
      <c r="M886" s="77" t="str">
        <f>IF(Main[[#This Row],[Tech Start Date]]&lt;1/1/1990,"",IF(Main[[#This Row],[Class]]="C",WORKDAY(Main[[#This Row],[Tech Start Date]],9),IF(Main[[#This Row],[Class]]="B", WORKDAY(Main[[#This Row],[Tech Start Date]],6),IF(Main[[#This Row],[Class]]="A",WORKDAY(Main[[#This Row],[Tech Start Date]],2),""))))</f>
        <v/>
      </c>
      <c r="N886" s="77" t="str">
        <f>IF(Main[[#This Row],[Tech Start Date]]&lt;1/1/1990,"",IF(Main[[#This Row],[Class]]="C",WORKDAY(Main[[#This Row],[Tech Start Date]],19),IF(Main[[#This Row],[Class]]="B", WORKDAY(Main[[#This Row],[Tech Start Date]],12),IF(Main[[#This Row],[Class]]="A",WORKDAY(Main[[#This Row],[Tech Start Date]],4),""))))</f>
        <v/>
      </c>
      <c r="O886" s="77" t="str">
        <f>IF(Main[[#This Row],[Tech Start Date]]&lt;1/1/1990,"",IF(Main[[#This Row],[Class]]="C",WORKDAY(Main[[#This Row],[Tech Start Date]],23),IF(Main[[#This Row],[Class]]="B", WORKDAY(Main[[#This Row],[Tech Start Date]],15),IF(Main[[#This Row],[Class]]="A",WORKDAY(Main[[#This Row],[Tech Start Date]],5),""))))</f>
        <v/>
      </c>
      <c r="P886" s="77" t="str">
        <f>IF(Main[[#This Row],[Tech Start Date]]&lt;1/1/1990,"",IF(Main[[#This Row],[Class]]="C",WORKDAY(Main[[#This Row],[Tech Start Date]],28),IF(Main[[#This Row],[Class]]="B", WORKDAY(Main[[#This Row],[Tech Start Date]],19),IF(Main[[#This Row],[Class]]="A",WORKDAY(Main[[#This Row],[Tech Start Date]],9),""))))</f>
        <v/>
      </c>
      <c r="Q886" s="74"/>
      <c r="R886" s="74">
        <v>40781</v>
      </c>
      <c r="S886" s="72" t="s">
        <v>6</v>
      </c>
      <c r="T886" s="80" t="s">
        <v>2115</v>
      </c>
      <c r="U886" s="72" t="s">
        <v>29</v>
      </c>
      <c r="V886" s="72" t="s">
        <v>1918</v>
      </c>
      <c r="W886" s="72" t="s">
        <v>1919</v>
      </c>
      <c r="X886" s="72" t="s">
        <v>2907</v>
      </c>
      <c r="Y886" s="72" t="s">
        <v>3085</v>
      </c>
      <c r="Z886" s="72" t="s">
        <v>108</v>
      </c>
      <c r="AA886" s="146" t="s">
        <v>2907</v>
      </c>
    </row>
    <row r="887" spans="1:27" ht="18.600000000000001" customHeight="1">
      <c r="A887" s="139" t="str">
        <f>IF(priority(Main[[#This Row],[Comments]])&lt;&gt;0, priority(Main[[#This Row],[Comments]]),"")</f>
        <v/>
      </c>
      <c r="B887" s="89" t="s">
        <v>1865</v>
      </c>
      <c r="C887" s="72" t="s">
        <v>31</v>
      </c>
      <c r="D887" s="73" t="s">
        <v>920</v>
      </c>
      <c r="E887" s="74"/>
      <c r="F887" s="74">
        <v>40664</v>
      </c>
      <c r="G887" s="75" t="str">
        <f>IF(stdProdLT(Main[[#This Row],[Comments]])=0.1,"N/A",IF(stdProdLT(Main[[#This Row],[Comments]])=0,"",stdProdLT(Main[[#This Row],[Comments]])))</f>
        <v/>
      </c>
      <c r="H887" s="76">
        <f>IF(AND(Main[[#This Row],[In Stock Date]]&lt;&gt;"",Main[[#This Row],[Revised Due Date]]&lt;&gt;""),Main[[#This Row],[In Stock Date]]-Main[[#This Row],[Revised Due Date]],"")</f>
        <v>87</v>
      </c>
      <c r="I887" s="72" t="s">
        <v>417</v>
      </c>
      <c r="J887" s="72" t="s">
        <v>75</v>
      </c>
      <c r="K887" s="72" t="s">
        <v>1926</v>
      </c>
      <c r="L887" s="74"/>
      <c r="M887" s="77" t="str">
        <f>IF(Main[[#This Row],[Tech Start Date]]&lt;1/1/1990,"",IF(Main[[#This Row],[Class]]="C",WORKDAY(Main[[#This Row],[Tech Start Date]],9),IF(Main[[#This Row],[Class]]="B", WORKDAY(Main[[#This Row],[Tech Start Date]],6),IF(Main[[#This Row],[Class]]="A",WORKDAY(Main[[#This Row],[Tech Start Date]],2),""))))</f>
        <v/>
      </c>
      <c r="N887" s="77" t="str">
        <f>IF(Main[[#This Row],[Tech Start Date]]&lt;1/1/1990,"",IF(Main[[#This Row],[Class]]="C",WORKDAY(Main[[#This Row],[Tech Start Date]],19),IF(Main[[#This Row],[Class]]="B", WORKDAY(Main[[#This Row],[Tech Start Date]],12),IF(Main[[#This Row],[Class]]="A",WORKDAY(Main[[#This Row],[Tech Start Date]],4),""))))</f>
        <v/>
      </c>
      <c r="O887" s="77" t="str">
        <f>IF(Main[[#This Row],[Tech Start Date]]&lt;1/1/1990,"",IF(Main[[#This Row],[Class]]="C",WORKDAY(Main[[#This Row],[Tech Start Date]],23),IF(Main[[#This Row],[Class]]="B", WORKDAY(Main[[#This Row],[Tech Start Date]],15),IF(Main[[#This Row],[Class]]="A",WORKDAY(Main[[#This Row],[Tech Start Date]],5),""))))</f>
        <v/>
      </c>
      <c r="P887" s="77" t="str">
        <f>IF(Main[[#This Row],[Tech Start Date]]&lt;1/1/1990,"",IF(Main[[#This Row],[Class]]="C",WORKDAY(Main[[#This Row],[Tech Start Date]],28),IF(Main[[#This Row],[Class]]="B", WORKDAY(Main[[#This Row],[Tech Start Date]],19),IF(Main[[#This Row],[Class]]="A",WORKDAY(Main[[#This Row],[Tech Start Date]],9),""))))</f>
        <v/>
      </c>
      <c r="Q887" s="74">
        <v>40589</v>
      </c>
      <c r="R887" s="74">
        <v>40577</v>
      </c>
      <c r="S887" s="72" t="s">
        <v>11</v>
      </c>
      <c r="T887" s="80" t="s">
        <v>4</v>
      </c>
      <c r="U887" s="72" t="s">
        <v>14</v>
      </c>
      <c r="V887" s="72" t="s">
        <v>1920</v>
      </c>
      <c r="W887" s="72" t="s">
        <v>1923</v>
      </c>
      <c r="X887" s="72" t="s">
        <v>2831</v>
      </c>
      <c r="Y887" s="72" t="s">
        <v>2973</v>
      </c>
      <c r="Z887" s="72" t="s">
        <v>530</v>
      </c>
      <c r="AA887" s="146" t="s">
        <v>2831</v>
      </c>
    </row>
    <row r="888" spans="1:27" ht="18.600000000000001" customHeight="1">
      <c r="A888" s="139" t="str">
        <f>IF(priority(Main[[#This Row],[Comments]])&lt;&gt;0, priority(Main[[#This Row],[Comments]]),"")</f>
        <v/>
      </c>
      <c r="B888" s="89" t="s">
        <v>1695</v>
      </c>
      <c r="C888" s="72" t="s">
        <v>4</v>
      </c>
      <c r="D888" s="73" t="s">
        <v>750</v>
      </c>
      <c r="E888" s="74"/>
      <c r="F888" s="74"/>
      <c r="G888" s="75" t="str">
        <f>IF(stdProdLT(Main[[#This Row],[Comments]])=0.1,"N/A",IF(stdProdLT(Main[[#This Row],[Comments]])=0,"",stdProdLT(Main[[#This Row],[Comments]])))</f>
        <v/>
      </c>
      <c r="H888" s="76" t="str">
        <f>IF(AND(Main[[#This Row],[In Stock Date]]&lt;&gt;"",Main[[#This Row],[Revised Due Date]]&lt;&gt;""),Main[[#This Row],[In Stock Date]]-Main[[#This Row],[Revised Due Date]],"")</f>
        <v/>
      </c>
      <c r="I888" s="72" t="s">
        <v>4</v>
      </c>
      <c r="J888" s="72" t="s">
        <v>28</v>
      </c>
      <c r="K888" s="72" t="s">
        <v>1929</v>
      </c>
      <c r="L888" s="74"/>
      <c r="M888" s="77" t="str">
        <f>IF(Main[[#This Row],[Tech Start Date]]&lt;1/1/1990,"",IF(Main[[#This Row],[Class]]="C",WORKDAY(Main[[#This Row],[Tech Start Date]],9),IF(Main[[#This Row],[Class]]="B", WORKDAY(Main[[#This Row],[Tech Start Date]],6),IF(Main[[#This Row],[Class]]="A",WORKDAY(Main[[#This Row],[Tech Start Date]],2),""))))</f>
        <v/>
      </c>
      <c r="N888" s="77" t="str">
        <f>IF(Main[[#This Row],[Tech Start Date]]&lt;1/1/1990,"",IF(Main[[#This Row],[Class]]="C",WORKDAY(Main[[#This Row],[Tech Start Date]],19),IF(Main[[#This Row],[Class]]="B", WORKDAY(Main[[#This Row],[Tech Start Date]],12),IF(Main[[#This Row],[Class]]="A",WORKDAY(Main[[#This Row],[Tech Start Date]],4),""))))</f>
        <v/>
      </c>
      <c r="O888" s="77" t="str">
        <f>IF(Main[[#This Row],[Tech Start Date]]&lt;1/1/1990,"",IF(Main[[#This Row],[Class]]="C",WORKDAY(Main[[#This Row],[Tech Start Date]],23),IF(Main[[#This Row],[Class]]="B", WORKDAY(Main[[#This Row],[Tech Start Date]],15),IF(Main[[#This Row],[Class]]="A",WORKDAY(Main[[#This Row],[Tech Start Date]],5),""))))</f>
        <v/>
      </c>
      <c r="P888" s="77" t="str">
        <f>IF(Main[[#This Row],[Tech Start Date]]&lt;1/1/1990,"",IF(Main[[#This Row],[Class]]="C",WORKDAY(Main[[#This Row],[Tech Start Date]],28),IF(Main[[#This Row],[Class]]="B", WORKDAY(Main[[#This Row],[Tech Start Date]],19),IF(Main[[#This Row],[Class]]="A",WORKDAY(Main[[#This Row],[Tech Start Date]],9),""))))</f>
        <v/>
      </c>
      <c r="Q888" s="74">
        <v>40522</v>
      </c>
      <c r="R888" s="74"/>
      <c r="S888" s="72" t="s">
        <v>17</v>
      </c>
      <c r="T888" s="80" t="s">
        <v>4</v>
      </c>
      <c r="U888" s="72" t="s">
        <v>14</v>
      </c>
      <c r="V888" s="72" t="s">
        <v>1917</v>
      </c>
      <c r="W888" s="72" t="s">
        <v>1922</v>
      </c>
      <c r="X888" s="72" t="s">
        <v>2868</v>
      </c>
      <c r="Y888" s="72" t="s">
        <v>3012</v>
      </c>
      <c r="Z888" s="72" t="s">
        <v>129</v>
      </c>
      <c r="AA888" s="146" t="s">
        <v>2868</v>
      </c>
    </row>
    <row r="889" spans="1:27" ht="18.600000000000001" customHeight="1">
      <c r="A889" s="139" t="str">
        <f>IF(priority(Main[[#This Row],[Comments]])&lt;&gt;0, priority(Main[[#This Row],[Comments]]),"")</f>
        <v/>
      </c>
      <c r="B889" s="89" t="s">
        <v>1696</v>
      </c>
      <c r="C889" s="72" t="s">
        <v>67</v>
      </c>
      <c r="D889" s="73" t="s">
        <v>751</v>
      </c>
      <c r="E889" s="74"/>
      <c r="F889" s="74"/>
      <c r="G889" s="75" t="str">
        <f>IF(stdProdLT(Main[[#This Row],[Comments]])=0.1,"N/A",IF(stdProdLT(Main[[#This Row],[Comments]])=0,"",stdProdLT(Main[[#This Row],[Comments]])))</f>
        <v/>
      </c>
      <c r="H889" s="76" t="str">
        <f>IF(AND(Main[[#This Row],[In Stock Date]]&lt;&gt;"",Main[[#This Row],[Revised Due Date]]&lt;&gt;""),Main[[#This Row],[In Stock Date]]-Main[[#This Row],[Revised Due Date]],"")</f>
        <v/>
      </c>
      <c r="I889" s="72" t="s">
        <v>4</v>
      </c>
      <c r="J889" s="72" t="s">
        <v>4</v>
      </c>
      <c r="K889" s="72" t="s">
        <v>4</v>
      </c>
      <c r="L889" s="74"/>
      <c r="M889" s="77" t="str">
        <f>IF(Main[[#This Row],[Tech Start Date]]&lt;1/1/1990,"",IF(Main[[#This Row],[Class]]="C",WORKDAY(Main[[#This Row],[Tech Start Date]],9),IF(Main[[#This Row],[Class]]="B", WORKDAY(Main[[#This Row],[Tech Start Date]],6),IF(Main[[#This Row],[Class]]="A",WORKDAY(Main[[#This Row],[Tech Start Date]],2),""))))</f>
        <v/>
      </c>
      <c r="N889" s="77" t="str">
        <f>IF(Main[[#This Row],[Tech Start Date]]&lt;1/1/1990,"",IF(Main[[#This Row],[Class]]="C",WORKDAY(Main[[#This Row],[Tech Start Date]],19),IF(Main[[#This Row],[Class]]="B", WORKDAY(Main[[#This Row],[Tech Start Date]],12),IF(Main[[#This Row],[Class]]="A",WORKDAY(Main[[#This Row],[Tech Start Date]],4),""))))</f>
        <v/>
      </c>
      <c r="O889" s="77" t="str">
        <f>IF(Main[[#This Row],[Tech Start Date]]&lt;1/1/1990,"",IF(Main[[#This Row],[Class]]="C",WORKDAY(Main[[#This Row],[Tech Start Date]],23),IF(Main[[#This Row],[Class]]="B", WORKDAY(Main[[#This Row],[Tech Start Date]],15),IF(Main[[#This Row],[Class]]="A",WORKDAY(Main[[#This Row],[Tech Start Date]],5),""))))</f>
        <v/>
      </c>
      <c r="P889" s="77" t="str">
        <f>IF(Main[[#This Row],[Tech Start Date]]&lt;1/1/1990,"",IF(Main[[#This Row],[Class]]="C",WORKDAY(Main[[#This Row],[Tech Start Date]],28),IF(Main[[#This Row],[Class]]="B", WORKDAY(Main[[#This Row],[Tech Start Date]],19),IF(Main[[#This Row],[Class]]="A",WORKDAY(Main[[#This Row],[Tech Start Date]],9),""))))</f>
        <v/>
      </c>
      <c r="Q889" s="74">
        <v>40241</v>
      </c>
      <c r="R889" s="74"/>
      <c r="S889" s="72" t="s">
        <v>11</v>
      </c>
      <c r="T889" s="80" t="s">
        <v>4</v>
      </c>
      <c r="U889" s="72" t="s">
        <v>14</v>
      </c>
      <c r="V889" s="72" t="s">
        <v>1927</v>
      </c>
      <c r="W889" s="72" t="s">
        <v>1919</v>
      </c>
      <c r="X889" s="72" t="s">
        <v>554</v>
      </c>
      <c r="Y889" s="72" t="s">
        <v>4</v>
      </c>
      <c r="Z889" s="72" t="s">
        <v>4</v>
      </c>
      <c r="AA889" s="146" t="s">
        <v>2864</v>
      </c>
    </row>
    <row r="890" spans="1:27" ht="18.600000000000001" customHeight="1">
      <c r="A890" s="139" t="str">
        <f>IF(priority(Main[[#This Row],[Comments]])&lt;&gt;0, priority(Main[[#This Row],[Comments]]),"")</f>
        <v/>
      </c>
      <c r="B890" s="89" t="s">
        <v>1697</v>
      </c>
      <c r="C890" s="72" t="s">
        <v>4</v>
      </c>
      <c r="D890" s="73" t="s">
        <v>752</v>
      </c>
      <c r="E890" s="74"/>
      <c r="F890" s="74"/>
      <c r="G890" s="75" t="str">
        <f>IF(stdProdLT(Main[[#This Row],[Comments]])=0.1,"N/A",IF(stdProdLT(Main[[#This Row],[Comments]])=0,"",stdProdLT(Main[[#This Row],[Comments]])))</f>
        <v/>
      </c>
      <c r="H890" s="76" t="str">
        <f>IF(AND(Main[[#This Row],[In Stock Date]]&lt;&gt;"",Main[[#This Row],[Revised Due Date]]&lt;&gt;""),Main[[#This Row],[In Stock Date]]-Main[[#This Row],[Revised Due Date]],"")</f>
        <v/>
      </c>
      <c r="I890" s="72" t="s">
        <v>4</v>
      </c>
      <c r="J890" s="72" t="s">
        <v>28</v>
      </c>
      <c r="K890" s="72" t="s">
        <v>4</v>
      </c>
      <c r="L890" s="74"/>
      <c r="M890" s="77" t="str">
        <f>IF(Main[[#This Row],[Tech Start Date]]&lt;1/1/1990,"",IF(Main[[#This Row],[Class]]="C",WORKDAY(Main[[#This Row],[Tech Start Date]],9),IF(Main[[#This Row],[Class]]="B", WORKDAY(Main[[#This Row],[Tech Start Date]],6),IF(Main[[#This Row],[Class]]="A",WORKDAY(Main[[#This Row],[Tech Start Date]],2),""))))</f>
        <v/>
      </c>
      <c r="N890" s="77" t="str">
        <f>IF(Main[[#This Row],[Tech Start Date]]&lt;1/1/1990,"",IF(Main[[#This Row],[Class]]="C",WORKDAY(Main[[#This Row],[Tech Start Date]],19),IF(Main[[#This Row],[Class]]="B", WORKDAY(Main[[#This Row],[Tech Start Date]],12),IF(Main[[#This Row],[Class]]="A",WORKDAY(Main[[#This Row],[Tech Start Date]],4),""))))</f>
        <v/>
      </c>
      <c r="O890" s="77" t="str">
        <f>IF(Main[[#This Row],[Tech Start Date]]&lt;1/1/1990,"",IF(Main[[#This Row],[Class]]="C",WORKDAY(Main[[#This Row],[Tech Start Date]],23),IF(Main[[#This Row],[Class]]="B", WORKDAY(Main[[#This Row],[Tech Start Date]],15),IF(Main[[#This Row],[Class]]="A",WORKDAY(Main[[#This Row],[Tech Start Date]],5),""))))</f>
        <v/>
      </c>
      <c r="P890" s="77" t="str">
        <f>IF(Main[[#This Row],[Tech Start Date]]&lt;1/1/1990,"",IF(Main[[#This Row],[Class]]="C",WORKDAY(Main[[#This Row],[Tech Start Date]],28),IF(Main[[#This Row],[Class]]="B", WORKDAY(Main[[#This Row],[Tech Start Date]],19),IF(Main[[#This Row],[Class]]="A",WORKDAY(Main[[#This Row],[Tech Start Date]],9),""))))</f>
        <v/>
      </c>
      <c r="Q890" s="74">
        <v>40471</v>
      </c>
      <c r="R890" s="74"/>
      <c r="S890" s="72" t="s">
        <v>6</v>
      </c>
      <c r="T890" s="80" t="s">
        <v>4</v>
      </c>
      <c r="U890" s="72" t="s">
        <v>14</v>
      </c>
      <c r="V890" s="72" t="s">
        <v>1927</v>
      </c>
      <c r="W890" s="72" t="s">
        <v>1919</v>
      </c>
      <c r="X890" s="72" t="s">
        <v>2853</v>
      </c>
      <c r="Y890" s="72" t="s">
        <v>2984</v>
      </c>
      <c r="Z890" s="72" t="s">
        <v>530</v>
      </c>
      <c r="AA890" s="146" t="s">
        <v>2853</v>
      </c>
    </row>
    <row r="891" spans="1:27" ht="18.600000000000001" customHeight="1">
      <c r="A891" s="139" t="str">
        <f>IF(priority(Main[[#This Row],[Comments]])&lt;&gt;0, priority(Main[[#This Row],[Comments]]),"")</f>
        <v/>
      </c>
      <c r="B891" s="89" t="s">
        <v>1700</v>
      </c>
      <c r="C891" s="72" t="s">
        <v>275</v>
      </c>
      <c r="D891" s="73" t="s">
        <v>755</v>
      </c>
      <c r="E891" s="74"/>
      <c r="F891" s="74">
        <v>40451</v>
      </c>
      <c r="G891" s="75" t="str">
        <f>IF(stdProdLT(Main[[#This Row],[Comments]])=0.1,"N/A",IF(stdProdLT(Main[[#This Row],[Comments]])=0,"",stdProdLT(Main[[#This Row],[Comments]])))</f>
        <v/>
      </c>
      <c r="H891" s="76" t="str">
        <f>IF(AND(Main[[#This Row],[In Stock Date]]&lt;&gt;"",Main[[#This Row],[Revised Due Date]]&lt;&gt;""),Main[[#This Row],[In Stock Date]]-Main[[#This Row],[Revised Due Date]],"")</f>
        <v/>
      </c>
      <c r="I891" s="72" t="s">
        <v>4</v>
      </c>
      <c r="J891" s="72" t="s">
        <v>4</v>
      </c>
      <c r="K891" s="72" t="s">
        <v>4</v>
      </c>
      <c r="L891" s="74"/>
      <c r="M891" s="77" t="str">
        <f>IF(Main[[#This Row],[Tech Start Date]]&lt;1/1/1990,"",IF(Main[[#This Row],[Class]]="C",WORKDAY(Main[[#This Row],[Tech Start Date]],9),IF(Main[[#This Row],[Class]]="B", WORKDAY(Main[[#This Row],[Tech Start Date]],6),IF(Main[[#This Row],[Class]]="A",WORKDAY(Main[[#This Row],[Tech Start Date]],2),""))))</f>
        <v/>
      </c>
      <c r="N891" s="77" t="str">
        <f>IF(Main[[#This Row],[Tech Start Date]]&lt;1/1/1990,"",IF(Main[[#This Row],[Class]]="C",WORKDAY(Main[[#This Row],[Tech Start Date]],19),IF(Main[[#This Row],[Class]]="B", WORKDAY(Main[[#This Row],[Tech Start Date]],12),IF(Main[[#This Row],[Class]]="A",WORKDAY(Main[[#This Row],[Tech Start Date]],4),""))))</f>
        <v/>
      </c>
      <c r="O891" s="77" t="str">
        <f>IF(Main[[#This Row],[Tech Start Date]]&lt;1/1/1990,"",IF(Main[[#This Row],[Class]]="C",WORKDAY(Main[[#This Row],[Tech Start Date]],23),IF(Main[[#This Row],[Class]]="B", WORKDAY(Main[[#This Row],[Tech Start Date]],15),IF(Main[[#This Row],[Class]]="A",WORKDAY(Main[[#This Row],[Tech Start Date]],5),""))))</f>
        <v/>
      </c>
      <c r="P891" s="77" t="str">
        <f>IF(Main[[#This Row],[Tech Start Date]]&lt;1/1/1990,"",IF(Main[[#This Row],[Class]]="C",WORKDAY(Main[[#This Row],[Tech Start Date]],28),IF(Main[[#This Row],[Class]]="B", WORKDAY(Main[[#This Row],[Tech Start Date]],19),IF(Main[[#This Row],[Class]]="A",WORKDAY(Main[[#This Row],[Tech Start Date]],9),""))))</f>
        <v/>
      </c>
      <c r="Q891" s="74">
        <v>40269</v>
      </c>
      <c r="R891" s="74"/>
      <c r="S891" s="72" t="s">
        <v>11</v>
      </c>
      <c r="T891" s="80" t="s">
        <v>4</v>
      </c>
      <c r="U891" s="72" t="s">
        <v>14</v>
      </c>
      <c r="V891" s="72" t="s">
        <v>1920</v>
      </c>
      <c r="W891" s="72" t="s">
        <v>1922</v>
      </c>
      <c r="X891" s="72" t="s">
        <v>65</v>
      </c>
      <c r="Y891" s="72" t="s">
        <v>4</v>
      </c>
      <c r="Z891" s="72" t="s">
        <v>4</v>
      </c>
      <c r="AA891" s="146" t="s">
        <v>65</v>
      </c>
    </row>
    <row r="892" spans="1:27" ht="18.600000000000001" customHeight="1">
      <c r="A892" s="139" t="str">
        <f>IF(priority(Main[[#This Row],[Comments]])&lt;&gt;0, priority(Main[[#This Row],[Comments]]),"")</f>
        <v/>
      </c>
      <c r="B892" s="89" t="s">
        <v>2741</v>
      </c>
      <c r="C892" s="72" t="s">
        <v>4</v>
      </c>
      <c r="D892" s="73" t="s">
        <v>3223</v>
      </c>
      <c r="E892" s="74">
        <v>40912.464259259257</v>
      </c>
      <c r="F892" s="74"/>
      <c r="G892" s="75" t="str">
        <f>IF(stdProdLT(Main[[#This Row],[Comments]])=0.1,"N/A",IF(stdProdLT(Main[[#This Row],[Comments]])=0,"",stdProdLT(Main[[#This Row],[Comments]])))</f>
        <v/>
      </c>
      <c r="H892" s="76" t="str">
        <f>IF(AND(Main[[#This Row],[In Stock Date]]&lt;&gt;"",Main[[#This Row],[Revised Due Date]]&lt;&gt;""),Main[[#This Row],[In Stock Date]]-Main[[#This Row],[Revised Due Date]],"")</f>
        <v/>
      </c>
      <c r="I892" s="72" t="s">
        <v>30</v>
      </c>
      <c r="J892" s="72" t="s">
        <v>28</v>
      </c>
      <c r="K892" s="72" t="s">
        <v>1926</v>
      </c>
      <c r="L892" s="74"/>
      <c r="M892" s="77" t="str">
        <f>IF(Main[[#This Row],[Tech Start Date]]&lt;1/1/1990,"",IF(Main[[#This Row],[Class]]="C",WORKDAY(Main[[#This Row],[Tech Start Date]],9),IF(Main[[#This Row],[Class]]="B", WORKDAY(Main[[#This Row],[Tech Start Date]],6),IF(Main[[#This Row],[Class]]="A",WORKDAY(Main[[#This Row],[Tech Start Date]],2),""))))</f>
        <v/>
      </c>
      <c r="N892" s="77" t="str">
        <f>IF(Main[[#This Row],[Tech Start Date]]&lt;1/1/1990,"",IF(Main[[#This Row],[Class]]="C",WORKDAY(Main[[#This Row],[Tech Start Date]],19),IF(Main[[#This Row],[Class]]="B", WORKDAY(Main[[#This Row],[Tech Start Date]],12),IF(Main[[#This Row],[Class]]="A",WORKDAY(Main[[#This Row],[Tech Start Date]],4),""))))</f>
        <v/>
      </c>
      <c r="O892" s="77" t="str">
        <f>IF(Main[[#This Row],[Tech Start Date]]&lt;1/1/1990,"",IF(Main[[#This Row],[Class]]="C",WORKDAY(Main[[#This Row],[Tech Start Date]],23),IF(Main[[#This Row],[Class]]="B", WORKDAY(Main[[#This Row],[Tech Start Date]],15),IF(Main[[#This Row],[Class]]="A",WORKDAY(Main[[#This Row],[Tech Start Date]],5),""))))</f>
        <v/>
      </c>
      <c r="P892" s="77" t="str">
        <f>IF(Main[[#This Row],[Tech Start Date]]&lt;1/1/1990,"",IF(Main[[#This Row],[Class]]="C",WORKDAY(Main[[#This Row],[Tech Start Date]],28),IF(Main[[#This Row],[Class]]="B", WORKDAY(Main[[#This Row],[Tech Start Date]],19),IF(Main[[#This Row],[Class]]="A",WORKDAY(Main[[#This Row],[Tech Start Date]],9),""))))</f>
        <v/>
      </c>
      <c r="Q892" s="74">
        <v>40942</v>
      </c>
      <c r="R892" s="74"/>
      <c r="S892" s="72" t="s">
        <v>6</v>
      </c>
      <c r="T892" s="80" t="s">
        <v>4</v>
      </c>
      <c r="U892" s="72" t="s">
        <v>29</v>
      </c>
      <c r="V892" s="72" t="s">
        <v>1920</v>
      </c>
      <c r="W892" s="72" t="s">
        <v>1921</v>
      </c>
      <c r="X892" s="72" t="s">
        <v>2825</v>
      </c>
      <c r="Y892" s="72" t="s">
        <v>2938</v>
      </c>
      <c r="Z892" s="72" t="s">
        <v>30</v>
      </c>
      <c r="AA892" s="146" t="s">
        <v>2825</v>
      </c>
    </row>
    <row r="893" spans="1:27" ht="18.600000000000001" customHeight="1">
      <c r="A893" s="139" t="str">
        <f>IF(priority(Main[[#This Row],[Comments]])&lt;&gt;0, priority(Main[[#This Row],[Comments]]),"")</f>
        <v/>
      </c>
      <c r="B893" s="89" t="s">
        <v>1876</v>
      </c>
      <c r="C893" s="72" t="s">
        <v>4</v>
      </c>
      <c r="D893" s="73" t="s">
        <v>2742</v>
      </c>
      <c r="E893" s="74">
        <v>40624.37060185185</v>
      </c>
      <c r="F893" s="74"/>
      <c r="G893" s="75" t="str">
        <f>IF(stdProdLT(Main[[#This Row],[Comments]])=0.1,"N/A",IF(stdProdLT(Main[[#This Row],[Comments]])=0,"",stdProdLT(Main[[#This Row],[Comments]])))</f>
        <v/>
      </c>
      <c r="H893" s="76" t="str">
        <f>IF(AND(Main[[#This Row],[In Stock Date]]&lt;&gt;"",Main[[#This Row],[Revised Due Date]]&lt;&gt;""),Main[[#This Row],[In Stock Date]]-Main[[#This Row],[Revised Due Date]],"")</f>
        <v/>
      </c>
      <c r="I893" s="72" t="s">
        <v>879</v>
      </c>
      <c r="J893" s="72" t="s">
        <v>28</v>
      </c>
      <c r="K893" s="81" t="s">
        <v>1930</v>
      </c>
      <c r="L893" s="74"/>
      <c r="M893" s="77" t="str">
        <f>IF(Main[[#This Row],[Tech Start Date]]&lt;1/1/1990,"",IF(Main[[#This Row],[Class]]="C",WORKDAY(Main[[#This Row],[Tech Start Date]],9),IF(Main[[#This Row],[Class]]="B", WORKDAY(Main[[#This Row],[Tech Start Date]],6),IF(Main[[#This Row],[Class]]="A",WORKDAY(Main[[#This Row],[Tech Start Date]],2),""))))</f>
        <v/>
      </c>
      <c r="N893" s="77" t="str">
        <f>IF(Main[[#This Row],[Tech Start Date]]&lt;1/1/1990,"",IF(Main[[#This Row],[Class]]="C",WORKDAY(Main[[#This Row],[Tech Start Date]],19),IF(Main[[#This Row],[Class]]="B", WORKDAY(Main[[#This Row],[Tech Start Date]],12),IF(Main[[#This Row],[Class]]="A",WORKDAY(Main[[#This Row],[Tech Start Date]],4),""))))</f>
        <v/>
      </c>
      <c r="O893" s="77" t="str">
        <f>IF(Main[[#This Row],[Tech Start Date]]&lt;1/1/1990,"",IF(Main[[#This Row],[Class]]="C",WORKDAY(Main[[#This Row],[Tech Start Date]],23),IF(Main[[#This Row],[Class]]="B", WORKDAY(Main[[#This Row],[Tech Start Date]],15),IF(Main[[#This Row],[Class]]="A",WORKDAY(Main[[#This Row],[Tech Start Date]],5),""))))</f>
        <v/>
      </c>
      <c r="P893" s="77" t="str">
        <f>IF(Main[[#This Row],[Tech Start Date]]&lt;1/1/1990,"",IF(Main[[#This Row],[Class]]="C",WORKDAY(Main[[#This Row],[Tech Start Date]],28),IF(Main[[#This Row],[Class]]="B", WORKDAY(Main[[#This Row],[Tech Start Date]],19),IF(Main[[#This Row],[Class]]="A",WORKDAY(Main[[#This Row],[Tech Start Date]],9),""))))</f>
        <v/>
      </c>
      <c r="Q893" s="74">
        <v>40648</v>
      </c>
      <c r="R893" s="74">
        <v>40967</v>
      </c>
      <c r="S893" s="72" t="s">
        <v>6</v>
      </c>
      <c r="T893" s="80" t="s">
        <v>4</v>
      </c>
      <c r="U893" s="72" t="s">
        <v>29</v>
      </c>
      <c r="V893" s="72" t="s">
        <v>1917</v>
      </c>
      <c r="W893" s="72" t="s">
        <v>1921</v>
      </c>
      <c r="X893" s="72" t="s">
        <v>879</v>
      </c>
      <c r="Y893" s="72" t="s">
        <v>4</v>
      </c>
      <c r="Z893" s="72" t="s">
        <v>129</v>
      </c>
      <c r="AA893" s="146" t="s">
        <v>3447</v>
      </c>
    </row>
    <row r="894" spans="1:27" ht="18.600000000000001" customHeight="1">
      <c r="A894" s="139" t="str">
        <f>IF(priority(Main[[#This Row],[Comments]])&lt;&gt;0, priority(Main[[#This Row],[Comments]]),"")</f>
        <v/>
      </c>
      <c r="B894" s="89" t="s">
        <v>1672</v>
      </c>
      <c r="C894" s="72" t="s">
        <v>4</v>
      </c>
      <c r="D894" s="73" t="s">
        <v>731</v>
      </c>
      <c r="E894" s="74"/>
      <c r="F894" s="74"/>
      <c r="G894" s="75" t="str">
        <f>IF(stdProdLT(Main[[#This Row],[Comments]])=0.1,"N/A",IF(stdProdLT(Main[[#This Row],[Comments]])=0,"",stdProdLT(Main[[#This Row],[Comments]])))</f>
        <v/>
      </c>
      <c r="H894" s="76" t="str">
        <f>IF(AND(Main[[#This Row],[In Stock Date]]&lt;&gt;"",Main[[#This Row],[Revised Due Date]]&lt;&gt;""),Main[[#This Row],[In Stock Date]]-Main[[#This Row],[Revised Due Date]],"")</f>
        <v/>
      </c>
      <c r="I894" s="72" t="s">
        <v>4</v>
      </c>
      <c r="J894" s="72" t="s">
        <v>4</v>
      </c>
      <c r="K894" s="72" t="s">
        <v>4</v>
      </c>
      <c r="L894" s="74"/>
      <c r="M894" s="77" t="str">
        <f>IF(Main[[#This Row],[Tech Start Date]]&lt;1/1/1990,"",IF(Main[[#This Row],[Class]]="C",WORKDAY(Main[[#This Row],[Tech Start Date]],9),IF(Main[[#This Row],[Class]]="B", WORKDAY(Main[[#This Row],[Tech Start Date]],6),IF(Main[[#This Row],[Class]]="A",WORKDAY(Main[[#This Row],[Tech Start Date]],2),""))))</f>
        <v/>
      </c>
      <c r="N894" s="77" t="str">
        <f>IF(Main[[#This Row],[Tech Start Date]]&lt;1/1/1990,"",IF(Main[[#This Row],[Class]]="C",WORKDAY(Main[[#This Row],[Tech Start Date]],19),IF(Main[[#This Row],[Class]]="B", WORKDAY(Main[[#This Row],[Tech Start Date]],12),IF(Main[[#This Row],[Class]]="A",WORKDAY(Main[[#This Row],[Tech Start Date]],4),""))))</f>
        <v/>
      </c>
      <c r="O894" s="77" t="str">
        <f>IF(Main[[#This Row],[Tech Start Date]]&lt;1/1/1990,"",IF(Main[[#This Row],[Class]]="C",WORKDAY(Main[[#This Row],[Tech Start Date]],23),IF(Main[[#This Row],[Class]]="B", WORKDAY(Main[[#This Row],[Tech Start Date]],15),IF(Main[[#This Row],[Class]]="A",WORKDAY(Main[[#This Row],[Tech Start Date]],5),""))))</f>
        <v/>
      </c>
      <c r="P894" s="77" t="str">
        <f>IF(Main[[#This Row],[Tech Start Date]]&lt;1/1/1990,"",IF(Main[[#This Row],[Class]]="C",WORKDAY(Main[[#This Row],[Tech Start Date]],28),IF(Main[[#This Row],[Class]]="B", WORKDAY(Main[[#This Row],[Tech Start Date]],19),IF(Main[[#This Row],[Class]]="A",WORKDAY(Main[[#This Row],[Tech Start Date]],9),""))))</f>
        <v/>
      </c>
      <c r="Q894" s="74"/>
      <c r="R894" s="74"/>
      <c r="S894" s="72" t="s">
        <v>23</v>
      </c>
      <c r="T894" s="80" t="s">
        <v>4</v>
      </c>
      <c r="U894" s="72" t="s">
        <v>14</v>
      </c>
      <c r="V894" s="72" t="s">
        <v>1917</v>
      </c>
      <c r="W894" s="72" t="s">
        <v>1921</v>
      </c>
      <c r="X894" s="72" t="s">
        <v>399</v>
      </c>
      <c r="Y894" s="72" t="s">
        <v>4</v>
      </c>
      <c r="Z894" s="72" t="s">
        <v>4</v>
      </c>
      <c r="AA894" s="146" t="s">
        <v>3038</v>
      </c>
    </row>
    <row r="895" spans="1:27" ht="18.600000000000001" customHeight="1">
      <c r="A895" s="139" t="str">
        <f>IF(priority(Main[[#This Row],[Comments]])&lt;&gt;0, priority(Main[[#This Row],[Comments]]),"")</f>
        <v/>
      </c>
      <c r="B895" s="89" t="s">
        <v>1674</v>
      </c>
      <c r="C895" s="72" t="s">
        <v>4</v>
      </c>
      <c r="D895" s="73" t="s">
        <v>733</v>
      </c>
      <c r="E895" s="74">
        <v>40679.253067129626</v>
      </c>
      <c r="F895" s="74"/>
      <c r="G895" s="75" t="str">
        <f>IF(stdProdLT(Main[[#This Row],[Comments]])=0.1,"N/A",IF(stdProdLT(Main[[#This Row],[Comments]])=0,"",stdProdLT(Main[[#This Row],[Comments]])))</f>
        <v/>
      </c>
      <c r="H895" s="76" t="str">
        <f>IF(AND(Main[[#This Row],[In Stock Date]]&lt;&gt;"",Main[[#This Row],[Revised Due Date]]&lt;&gt;""),Main[[#This Row],[In Stock Date]]-Main[[#This Row],[Revised Due Date]],"")</f>
        <v/>
      </c>
      <c r="I895" s="72" t="s">
        <v>4</v>
      </c>
      <c r="J895" s="72" t="s">
        <v>4</v>
      </c>
      <c r="K895" s="72" t="s">
        <v>4</v>
      </c>
      <c r="L895" s="74"/>
      <c r="M895" s="77" t="str">
        <f>IF(Main[[#This Row],[Tech Start Date]]&lt;1/1/1990,"",IF(Main[[#This Row],[Class]]="C",WORKDAY(Main[[#This Row],[Tech Start Date]],9),IF(Main[[#This Row],[Class]]="B", WORKDAY(Main[[#This Row],[Tech Start Date]],6),IF(Main[[#This Row],[Class]]="A",WORKDAY(Main[[#This Row],[Tech Start Date]],2),""))))</f>
        <v/>
      </c>
      <c r="N895" s="77" t="str">
        <f>IF(Main[[#This Row],[Tech Start Date]]&lt;1/1/1990,"",IF(Main[[#This Row],[Class]]="C",WORKDAY(Main[[#This Row],[Tech Start Date]],19),IF(Main[[#This Row],[Class]]="B", WORKDAY(Main[[#This Row],[Tech Start Date]],12),IF(Main[[#This Row],[Class]]="A",WORKDAY(Main[[#This Row],[Tech Start Date]],4),""))))</f>
        <v/>
      </c>
      <c r="O895" s="77" t="str">
        <f>IF(Main[[#This Row],[Tech Start Date]]&lt;1/1/1990,"",IF(Main[[#This Row],[Class]]="C",WORKDAY(Main[[#This Row],[Tech Start Date]],23),IF(Main[[#This Row],[Class]]="B", WORKDAY(Main[[#This Row],[Tech Start Date]],15),IF(Main[[#This Row],[Class]]="A",WORKDAY(Main[[#This Row],[Tech Start Date]],5),""))))</f>
        <v/>
      </c>
      <c r="P895" s="77" t="str">
        <f>IF(Main[[#This Row],[Tech Start Date]]&lt;1/1/1990,"",IF(Main[[#This Row],[Class]]="C",WORKDAY(Main[[#This Row],[Tech Start Date]],28),IF(Main[[#This Row],[Class]]="B", WORKDAY(Main[[#This Row],[Tech Start Date]],19),IF(Main[[#This Row],[Class]]="A",WORKDAY(Main[[#This Row],[Tech Start Date]],9),""))))</f>
        <v/>
      </c>
      <c r="Q895" s="74">
        <v>40724</v>
      </c>
      <c r="R895" s="74"/>
      <c r="S895" s="72" t="s">
        <v>6</v>
      </c>
      <c r="T895" s="80" t="s">
        <v>4</v>
      </c>
      <c r="U895" s="72" t="s">
        <v>7</v>
      </c>
      <c r="V895" s="72" t="s">
        <v>1917</v>
      </c>
      <c r="W895" s="72" t="s">
        <v>4</v>
      </c>
      <c r="X895" s="72" t="s">
        <v>2828</v>
      </c>
      <c r="Y895" s="72" t="s">
        <v>2944</v>
      </c>
      <c r="Z895" s="72" t="s">
        <v>4</v>
      </c>
      <c r="AA895" s="146" t="s">
        <v>2828</v>
      </c>
    </row>
    <row r="896" spans="1:27" ht="18.600000000000001" customHeight="1">
      <c r="A896" s="139" t="str">
        <f>IF(priority(Main[[#This Row],[Comments]])&lt;&gt;0, priority(Main[[#This Row],[Comments]]),"")</f>
        <v/>
      </c>
      <c r="B896" s="89" t="s">
        <v>1675</v>
      </c>
      <c r="C896" s="72" t="s">
        <v>4</v>
      </c>
      <c r="D896" s="73" t="s">
        <v>734</v>
      </c>
      <c r="E896" s="74">
        <v>40679.252465277779</v>
      </c>
      <c r="F896" s="74"/>
      <c r="G896" s="75" t="str">
        <f>IF(stdProdLT(Main[[#This Row],[Comments]])=0.1,"N/A",IF(stdProdLT(Main[[#This Row],[Comments]])=0,"",stdProdLT(Main[[#This Row],[Comments]])))</f>
        <v/>
      </c>
      <c r="H896" s="76" t="str">
        <f>IF(AND(Main[[#This Row],[In Stock Date]]&lt;&gt;"",Main[[#This Row],[Revised Due Date]]&lt;&gt;""),Main[[#This Row],[In Stock Date]]-Main[[#This Row],[Revised Due Date]],"")</f>
        <v/>
      </c>
      <c r="I896" s="72" t="s">
        <v>4</v>
      </c>
      <c r="J896" s="72" t="s">
        <v>4</v>
      </c>
      <c r="K896" s="81" t="s">
        <v>4</v>
      </c>
      <c r="L896" s="74"/>
      <c r="M896" s="77" t="str">
        <f>IF(Main[[#This Row],[Tech Start Date]]&lt;1/1/1990,"",IF(Main[[#This Row],[Class]]="C",WORKDAY(Main[[#This Row],[Tech Start Date]],9),IF(Main[[#This Row],[Class]]="B", WORKDAY(Main[[#This Row],[Tech Start Date]],6),IF(Main[[#This Row],[Class]]="A",WORKDAY(Main[[#This Row],[Tech Start Date]],2),""))))</f>
        <v/>
      </c>
      <c r="N896" s="77" t="str">
        <f>IF(Main[[#This Row],[Tech Start Date]]&lt;1/1/1990,"",IF(Main[[#This Row],[Class]]="C",WORKDAY(Main[[#This Row],[Tech Start Date]],19),IF(Main[[#This Row],[Class]]="B", WORKDAY(Main[[#This Row],[Tech Start Date]],12),IF(Main[[#This Row],[Class]]="A",WORKDAY(Main[[#This Row],[Tech Start Date]],4),""))))</f>
        <v/>
      </c>
      <c r="O896" s="77" t="str">
        <f>IF(Main[[#This Row],[Tech Start Date]]&lt;1/1/1990,"",IF(Main[[#This Row],[Class]]="C",WORKDAY(Main[[#This Row],[Tech Start Date]],23),IF(Main[[#This Row],[Class]]="B", WORKDAY(Main[[#This Row],[Tech Start Date]],15),IF(Main[[#This Row],[Class]]="A",WORKDAY(Main[[#This Row],[Tech Start Date]],5),""))))</f>
        <v/>
      </c>
      <c r="P896" s="77" t="str">
        <f>IF(Main[[#This Row],[Tech Start Date]]&lt;1/1/1990,"",IF(Main[[#This Row],[Class]]="C",WORKDAY(Main[[#This Row],[Tech Start Date]],28),IF(Main[[#This Row],[Class]]="B", WORKDAY(Main[[#This Row],[Tech Start Date]],19),IF(Main[[#This Row],[Class]]="A",WORKDAY(Main[[#This Row],[Tech Start Date]],9),""))))</f>
        <v/>
      </c>
      <c r="Q896" s="74">
        <v>40724</v>
      </c>
      <c r="R896" s="74"/>
      <c r="S896" s="72" t="s">
        <v>6</v>
      </c>
      <c r="T896" s="80" t="s">
        <v>4</v>
      </c>
      <c r="U896" s="72" t="s">
        <v>7</v>
      </c>
      <c r="V896" s="72" t="s">
        <v>1917</v>
      </c>
      <c r="W896" s="72" t="s">
        <v>4</v>
      </c>
      <c r="X896" s="72" t="s">
        <v>2828</v>
      </c>
      <c r="Y896" s="72" t="s">
        <v>2944</v>
      </c>
      <c r="Z896" s="72" t="s">
        <v>4</v>
      </c>
      <c r="AA896" s="146" t="s">
        <v>2828</v>
      </c>
    </row>
    <row r="897" spans="1:27" ht="18.600000000000001" customHeight="1">
      <c r="A897" s="139" t="str">
        <f>IF(priority(Main[[#This Row],[Comments]])&lt;&gt;0, priority(Main[[#This Row],[Comments]]),"")</f>
        <v/>
      </c>
      <c r="B897" s="89" t="s">
        <v>1676</v>
      </c>
      <c r="C897" s="72" t="s">
        <v>4</v>
      </c>
      <c r="D897" s="73" t="s">
        <v>735</v>
      </c>
      <c r="E897" s="74">
        <v>40679.253668981481</v>
      </c>
      <c r="F897" s="74"/>
      <c r="G897" s="75" t="str">
        <f>IF(stdProdLT(Main[[#This Row],[Comments]])=0.1,"N/A",IF(stdProdLT(Main[[#This Row],[Comments]])=0,"",stdProdLT(Main[[#This Row],[Comments]])))</f>
        <v/>
      </c>
      <c r="H897" s="76" t="str">
        <f>IF(AND(Main[[#This Row],[In Stock Date]]&lt;&gt;"",Main[[#This Row],[Revised Due Date]]&lt;&gt;""),Main[[#This Row],[In Stock Date]]-Main[[#This Row],[Revised Due Date]],"")</f>
        <v/>
      </c>
      <c r="I897" s="72" t="s">
        <v>4</v>
      </c>
      <c r="J897" s="72" t="s">
        <v>4</v>
      </c>
      <c r="K897" s="81" t="s">
        <v>4</v>
      </c>
      <c r="L897" s="74"/>
      <c r="M897" s="77" t="str">
        <f>IF(Main[[#This Row],[Tech Start Date]]&lt;1/1/1990,"",IF(Main[[#This Row],[Class]]="C",WORKDAY(Main[[#This Row],[Tech Start Date]],9),IF(Main[[#This Row],[Class]]="B", WORKDAY(Main[[#This Row],[Tech Start Date]],6),IF(Main[[#This Row],[Class]]="A",WORKDAY(Main[[#This Row],[Tech Start Date]],2),""))))</f>
        <v/>
      </c>
      <c r="N897" s="77" t="str">
        <f>IF(Main[[#This Row],[Tech Start Date]]&lt;1/1/1990,"",IF(Main[[#This Row],[Class]]="C",WORKDAY(Main[[#This Row],[Tech Start Date]],19),IF(Main[[#This Row],[Class]]="B", WORKDAY(Main[[#This Row],[Tech Start Date]],12),IF(Main[[#This Row],[Class]]="A",WORKDAY(Main[[#This Row],[Tech Start Date]],4),""))))</f>
        <v/>
      </c>
      <c r="O897" s="77" t="str">
        <f>IF(Main[[#This Row],[Tech Start Date]]&lt;1/1/1990,"",IF(Main[[#This Row],[Class]]="C",WORKDAY(Main[[#This Row],[Tech Start Date]],23),IF(Main[[#This Row],[Class]]="B", WORKDAY(Main[[#This Row],[Tech Start Date]],15),IF(Main[[#This Row],[Class]]="A",WORKDAY(Main[[#This Row],[Tech Start Date]],5),""))))</f>
        <v/>
      </c>
      <c r="P897" s="77" t="str">
        <f>IF(Main[[#This Row],[Tech Start Date]]&lt;1/1/1990,"",IF(Main[[#This Row],[Class]]="C",WORKDAY(Main[[#This Row],[Tech Start Date]],28),IF(Main[[#This Row],[Class]]="B", WORKDAY(Main[[#This Row],[Tech Start Date]],19),IF(Main[[#This Row],[Class]]="A",WORKDAY(Main[[#This Row],[Tech Start Date]],9),""))))</f>
        <v/>
      </c>
      <c r="Q897" s="74">
        <v>40724</v>
      </c>
      <c r="R897" s="74"/>
      <c r="S897" s="72" t="s">
        <v>6</v>
      </c>
      <c r="T897" s="80" t="s">
        <v>4</v>
      </c>
      <c r="U897" s="72" t="s">
        <v>7</v>
      </c>
      <c r="V897" s="72" t="s">
        <v>1917</v>
      </c>
      <c r="W897" s="72" t="s">
        <v>4</v>
      </c>
      <c r="X897" s="72" t="s">
        <v>2828</v>
      </c>
      <c r="Y897" s="72" t="s">
        <v>2944</v>
      </c>
      <c r="Z897" s="72" t="s">
        <v>4</v>
      </c>
      <c r="AA897" s="146" t="s">
        <v>2828</v>
      </c>
    </row>
    <row r="898" spans="1:27" ht="18.600000000000001" customHeight="1">
      <c r="A898" s="139" t="str">
        <f>IF(priority(Main[[#This Row],[Comments]])&lt;&gt;0, priority(Main[[#This Row],[Comments]]),"")</f>
        <v/>
      </c>
      <c r="B898" s="89" t="s">
        <v>1682</v>
      </c>
      <c r="C898" s="72" t="s">
        <v>4</v>
      </c>
      <c r="D898" s="73" t="s">
        <v>738</v>
      </c>
      <c r="E898" s="74"/>
      <c r="F898" s="74">
        <v>40598</v>
      </c>
      <c r="G898" s="75" t="str">
        <f>IF(stdProdLT(Main[[#This Row],[Comments]])=0.1,"N/A",IF(stdProdLT(Main[[#This Row],[Comments]])=0,"",stdProdLT(Main[[#This Row],[Comments]])))</f>
        <v/>
      </c>
      <c r="H898" s="76" t="str">
        <f>IF(AND(Main[[#This Row],[In Stock Date]]&lt;&gt;"",Main[[#This Row],[Revised Due Date]]&lt;&gt;""),Main[[#This Row],[In Stock Date]]-Main[[#This Row],[Revised Due Date]],"")</f>
        <v/>
      </c>
      <c r="I898" s="72" t="s">
        <v>4</v>
      </c>
      <c r="J898" s="72" t="s">
        <v>4</v>
      </c>
      <c r="K898" s="72" t="s">
        <v>4</v>
      </c>
      <c r="L898" s="74"/>
      <c r="M898" s="77" t="str">
        <f>IF(Main[[#This Row],[Tech Start Date]]&lt;1/1/1990,"",IF(Main[[#This Row],[Class]]="C",WORKDAY(Main[[#This Row],[Tech Start Date]],9),IF(Main[[#This Row],[Class]]="B", WORKDAY(Main[[#This Row],[Tech Start Date]],6),IF(Main[[#This Row],[Class]]="A",WORKDAY(Main[[#This Row],[Tech Start Date]],2),""))))</f>
        <v/>
      </c>
      <c r="N898" s="77" t="str">
        <f>IF(Main[[#This Row],[Tech Start Date]]&lt;1/1/1990,"",IF(Main[[#This Row],[Class]]="C",WORKDAY(Main[[#This Row],[Tech Start Date]],19),IF(Main[[#This Row],[Class]]="B", WORKDAY(Main[[#This Row],[Tech Start Date]],12),IF(Main[[#This Row],[Class]]="A",WORKDAY(Main[[#This Row],[Tech Start Date]],4),""))))</f>
        <v/>
      </c>
      <c r="O898" s="77" t="str">
        <f>IF(Main[[#This Row],[Tech Start Date]]&lt;1/1/1990,"",IF(Main[[#This Row],[Class]]="C",WORKDAY(Main[[#This Row],[Tech Start Date]],23),IF(Main[[#This Row],[Class]]="B", WORKDAY(Main[[#This Row],[Tech Start Date]],15),IF(Main[[#This Row],[Class]]="A",WORKDAY(Main[[#This Row],[Tech Start Date]],5),""))))</f>
        <v/>
      </c>
      <c r="P898" s="77" t="str">
        <f>IF(Main[[#This Row],[Tech Start Date]]&lt;1/1/1990,"",IF(Main[[#This Row],[Class]]="C",WORKDAY(Main[[#This Row],[Tech Start Date]],28),IF(Main[[#This Row],[Class]]="B", WORKDAY(Main[[#This Row],[Tech Start Date]],19),IF(Main[[#This Row],[Class]]="A",WORKDAY(Main[[#This Row],[Tech Start Date]],9),""))))</f>
        <v/>
      </c>
      <c r="Q898" s="74">
        <v>40598</v>
      </c>
      <c r="R898" s="74"/>
      <c r="S898" s="72" t="s">
        <v>11</v>
      </c>
      <c r="T898" s="80" t="s">
        <v>4</v>
      </c>
      <c r="U898" s="72" t="s">
        <v>14</v>
      </c>
      <c r="V898" s="72" t="s">
        <v>1927</v>
      </c>
      <c r="W898" s="72" t="s">
        <v>1923</v>
      </c>
      <c r="X898" s="72" t="s">
        <v>2854</v>
      </c>
      <c r="Y898" s="72" t="s">
        <v>2985</v>
      </c>
      <c r="Z898" s="72" t="s">
        <v>4</v>
      </c>
      <c r="AA898" s="146" t="s">
        <v>2854</v>
      </c>
    </row>
    <row r="899" spans="1:27" ht="18.600000000000001" customHeight="1">
      <c r="A899" s="139" t="str">
        <f>IF(priority(Main[[#This Row],[Comments]])&lt;&gt;0, priority(Main[[#This Row],[Comments]]),"")</f>
        <v/>
      </c>
      <c r="B899" s="89" t="s">
        <v>1707</v>
      </c>
      <c r="C899" s="72" t="s">
        <v>31</v>
      </c>
      <c r="D899" s="73" t="s">
        <v>756</v>
      </c>
      <c r="E899" s="74"/>
      <c r="F899" s="74">
        <v>40602</v>
      </c>
      <c r="G899" s="75" t="str">
        <f>IF(stdProdLT(Main[[#This Row],[Comments]])=0.1,"N/A",IF(stdProdLT(Main[[#This Row],[Comments]])=0,"",stdProdLT(Main[[#This Row],[Comments]])))</f>
        <v/>
      </c>
      <c r="H899" s="76" t="str">
        <f>IF(AND(Main[[#This Row],[In Stock Date]]&lt;&gt;"",Main[[#This Row],[Revised Due Date]]&lt;&gt;""),Main[[#This Row],[In Stock Date]]-Main[[#This Row],[Revised Due Date]],"")</f>
        <v/>
      </c>
      <c r="I899" s="72" t="s">
        <v>399</v>
      </c>
      <c r="J899" s="72" t="s">
        <v>75</v>
      </c>
      <c r="K899" s="72" t="s">
        <v>1926</v>
      </c>
      <c r="L899" s="74"/>
      <c r="M899" s="77" t="str">
        <f>IF(Main[[#This Row],[Tech Start Date]]&lt;1/1/1990,"",IF(Main[[#This Row],[Class]]="C",WORKDAY(Main[[#This Row],[Tech Start Date]],9),IF(Main[[#This Row],[Class]]="B", WORKDAY(Main[[#This Row],[Tech Start Date]],6),IF(Main[[#This Row],[Class]]="A",WORKDAY(Main[[#This Row],[Tech Start Date]],2),""))))</f>
        <v/>
      </c>
      <c r="N899" s="77" t="str">
        <f>IF(Main[[#This Row],[Tech Start Date]]&lt;1/1/1990,"",IF(Main[[#This Row],[Class]]="C",WORKDAY(Main[[#This Row],[Tech Start Date]],19),IF(Main[[#This Row],[Class]]="B", WORKDAY(Main[[#This Row],[Tech Start Date]],12),IF(Main[[#This Row],[Class]]="A",WORKDAY(Main[[#This Row],[Tech Start Date]],4),""))))</f>
        <v/>
      </c>
      <c r="O899" s="77" t="str">
        <f>IF(Main[[#This Row],[Tech Start Date]]&lt;1/1/1990,"",IF(Main[[#This Row],[Class]]="C",WORKDAY(Main[[#This Row],[Tech Start Date]],23),IF(Main[[#This Row],[Class]]="B", WORKDAY(Main[[#This Row],[Tech Start Date]],15),IF(Main[[#This Row],[Class]]="A",WORKDAY(Main[[#This Row],[Tech Start Date]],5),""))))</f>
        <v/>
      </c>
      <c r="P899" s="77" t="str">
        <f>IF(Main[[#This Row],[Tech Start Date]]&lt;1/1/1990,"",IF(Main[[#This Row],[Class]]="C",WORKDAY(Main[[#This Row],[Tech Start Date]],28),IF(Main[[#This Row],[Class]]="B", WORKDAY(Main[[#This Row],[Tech Start Date]],19),IF(Main[[#This Row],[Class]]="A",WORKDAY(Main[[#This Row],[Tech Start Date]],9),""))))</f>
        <v/>
      </c>
      <c r="Q899" s="74"/>
      <c r="R899" s="74"/>
      <c r="S899" s="72" t="s">
        <v>11</v>
      </c>
      <c r="T899" s="80" t="s">
        <v>4</v>
      </c>
      <c r="U899" s="72" t="s">
        <v>14</v>
      </c>
      <c r="V899" s="72" t="s">
        <v>1920</v>
      </c>
      <c r="W899" s="72" t="s">
        <v>1923</v>
      </c>
      <c r="X899" s="72" t="s">
        <v>50</v>
      </c>
      <c r="Y899" s="72" t="s">
        <v>2967</v>
      </c>
      <c r="Z899" s="72" t="s">
        <v>306</v>
      </c>
      <c r="AA899" s="146" t="s">
        <v>50</v>
      </c>
    </row>
    <row r="900" spans="1:27" ht="18.600000000000001" customHeight="1">
      <c r="A900" s="139" t="str">
        <f>IF(priority(Main[[#This Row],[Comments]])&lt;&gt;0, priority(Main[[#This Row],[Comments]]),"")</f>
        <v/>
      </c>
      <c r="B900" s="89" t="s">
        <v>1708</v>
      </c>
      <c r="C900" s="72" t="s">
        <v>93</v>
      </c>
      <c r="D900" s="73" t="s">
        <v>757</v>
      </c>
      <c r="E900" s="74"/>
      <c r="F900" s="74">
        <v>40302</v>
      </c>
      <c r="G900" s="75" t="str">
        <f>IF(stdProdLT(Main[[#This Row],[Comments]])=0.1,"N/A",IF(stdProdLT(Main[[#This Row],[Comments]])=0,"",stdProdLT(Main[[#This Row],[Comments]])))</f>
        <v/>
      </c>
      <c r="H900" s="76" t="str">
        <f>IF(AND(Main[[#This Row],[In Stock Date]]&lt;&gt;"",Main[[#This Row],[Revised Due Date]]&lt;&gt;""),Main[[#This Row],[In Stock Date]]-Main[[#This Row],[Revised Due Date]],"")</f>
        <v/>
      </c>
      <c r="I900" s="72" t="s">
        <v>4</v>
      </c>
      <c r="J900" s="72" t="s">
        <v>4</v>
      </c>
      <c r="K900" s="72" t="s">
        <v>4</v>
      </c>
      <c r="L900" s="74"/>
      <c r="M900" s="77" t="str">
        <f>IF(Main[[#This Row],[Tech Start Date]]&lt;1/1/1990,"",IF(Main[[#This Row],[Class]]="C",WORKDAY(Main[[#This Row],[Tech Start Date]],9),IF(Main[[#This Row],[Class]]="B", WORKDAY(Main[[#This Row],[Tech Start Date]],6),IF(Main[[#This Row],[Class]]="A",WORKDAY(Main[[#This Row],[Tech Start Date]],2),""))))</f>
        <v/>
      </c>
      <c r="N900" s="77" t="str">
        <f>IF(Main[[#This Row],[Tech Start Date]]&lt;1/1/1990,"",IF(Main[[#This Row],[Class]]="C",WORKDAY(Main[[#This Row],[Tech Start Date]],19),IF(Main[[#This Row],[Class]]="B", WORKDAY(Main[[#This Row],[Tech Start Date]],12),IF(Main[[#This Row],[Class]]="A",WORKDAY(Main[[#This Row],[Tech Start Date]],4),""))))</f>
        <v/>
      </c>
      <c r="O900" s="77" t="str">
        <f>IF(Main[[#This Row],[Tech Start Date]]&lt;1/1/1990,"",IF(Main[[#This Row],[Class]]="C",WORKDAY(Main[[#This Row],[Tech Start Date]],23),IF(Main[[#This Row],[Class]]="B", WORKDAY(Main[[#This Row],[Tech Start Date]],15),IF(Main[[#This Row],[Class]]="A",WORKDAY(Main[[#This Row],[Tech Start Date]],5),""))))</f>
        <v/>
      </c>
      <c r="P900" s="77" t="str">
        <f>IF(Main[[#This Row],[Tech Start Date]]&lt;1/1/1990,"",IF(Main[[#This Row],[Class]]="C",WORKDAY(Main[[#This Row],[Tech Start Date]],28),IF(Main[[#This Row],[Class]]="B", WORKDAY(Main[[#This Row],[Tech Start Date]],19),IF(Main[[#This Row],[Class]]="A",WORKDAY(Main[[#This Row],[Tech Start Date]],9),""))))</f>
        <v/>
      </c>
      <c r="Q900" s="74">
        <v>40190</v>
      </c>
      <c r="R900" s="74"/>
      <c r="S900" s="72" t="s">
        <v>11</v>
      </c>
      <c r="T900" s="80" t="s">
        <v>4</v>
      </c>
      <c r="U900" s="72" t="s">
        <v>12</v>
      </c>
      <c r="V900" s="72" t="s">
        <v>1927</v>
      </c>
      <c r="W900" s="72" t="s">
        <v>1923</v>
      </c>
      <c r="X900" s="72" t="s">
        <v>2904</v>
      </c>
      <c r="Y900" s="72" t="s">
        <v>4</v>
      </c>
      <c r="Z900" s="72" t="s">
        <v>4</v>
      </c>
      <c r="AA900" s="146" t="s">
        <v>2904</v>
      </c>
    </row>
    <row r="901" spans="1:27" ht="18.600000000000001" customHeight="1">
      <c r="A901" s="139" t="str">
        <f>IF(priority(Main[[#This Row],[Comments]])&lt;&gt;0, priority(Main[[#This Row],[Comments]]),"")</f>
        <v/>
      </c>
      <c r="B901" s="89" t="s">
        <v>1863</v>
      </c>
      <c r="C901" s="72" t="s">
        <v>31</v>
      </c>
      <c r="D901" s="73" t="s">
        <v>919</v>
      </c>
      <c r="E901" s="74"/>
      <c r="F901" s="74">
        <v>40664</v>
      </c>
      <c r="G901" s="75" t="str">
        <f>IF(stdProdLT(Main[[#This Row],[Comments]])=0.1,"N/A",IF(stdProdLT(Main[[#This Row],[Comments]])=0,"",stdProdLT(Main[[#This Row],[Comments]])))</f>
        <v/>
      </c>
      <c r="H901" s="76">
        <f>IF(AND(Main[[#This Row],[In Stock Date]]&lt;&gt;"",Main[[#This Row],[Revised Due Date]]&lt;&gt;""),Main[[#This Row],[In Stock Date]]-Main[[#This Row],[Revised Due Date]],"")</f>
        <v>87</v>
      </c>
      <c r="I901" s="72" t="s">
        <v>399</v>
      </c>
      <c r="J901" s="72" t="s">
        <v>75</v>
      </c>
      <c r="K901" s="72" t="s">
        <v>1926</v>
      </c>
      <c r="L901" s="74"/>
      <c r="M901" s="77" t="str">
        <f>IF(Main[[#This Row],[Tech Start Date]]&lt;1/1/1990,"",IF(Main[[#This Row],[Class]]="C",WORKDAY(Main[[#This Row],[Tech Start Date]],9),IF(Main[[#This Row],[Class]]="B", WORKDAY(Main[[#This Row],[Tech Start Date]],6),IF(Main[[#This Row],[Class]]="A",WORKDAY(Main[[#This Row],[Tech Start Date]],2),""))))</f>
        <v/>
      </c>
      <c r="N901" s="77" t="str">
        <f>IF(Main[[#This Row],[Tech Start Date]]&lt;1/1/1990,"",IF(Main[[#This Row],[Class]]="C",WORKDAY(Main[[#This Row],[Tech Start Date]],19),IF(Main[[#This Row],[Class]]="B", WORKDAY(Main[[#This Row],[Tech Start Date]],12),IF(Main[[#This Row],[Class]]="A",WORKDAY(Main[[#This Row],[Tech Start Date]],4),""))))</f>
        <v/>
      </c>
      <c r="O901" s="77" t="str">
        <f>IF(Main[[#This Row],[Tech Start Date]]&lt;1/1/1990,"",IF(Main[[#This Row],[Class]]="C",WORKDAY(Main[[#This Row],[Tech Start Date]],23),IF(Main[[#This Row],[Class]]="B", WORKDAY(Main[[#This Row],[Tech Start Date]],15),IF(Main[[#This Row],[Class]]="A",WORKDAY(Main[[#This Row],[Tech Start Date]],5),""))))</f>
        <v/>
      </c>
      <c r="P901" s="77" t="str">
        <f>IF(Main[[#This Row],[Tech Start Date]]&lt;1/1/1990,"",IF(Main[[#This Row],[Class]]="C",WORKDAY(Main[[#This Row],[Tech Start Date]],28),IF(Main[[#This Row],[Class]]="B", WORKDAY(Main[[#This Row],[Tech Start Date]],19),IF(Main[[#This Row],[Class]]="A",WORKDAY(Main[[#This Row],[Tech Start Date]],9),""))))</f>
        <v/>
      </c>
      <c r="Q901" s="74"/>
      <c r="R901" s="74">
        <v>40577</v>
      </c>
      <c r="S901" s="72" t="s">
        <v>11</v>
      </c>
      <c r="T901" s="80" t="s">
        <v>4</v>
      </c>
      <c r="U901" s="72" t="s">
        <v>14</v>
      </c>
      <c r="V901" s="72" t="s">
        <v>1920</v>
      </c>
      <c r="W901" s="72" t="s">
        <v>1923</v>
      </c>
      <c r="X901" s="72" t="s">
        <v>2831</v>
      </c>
      <c r="Y901" s="72" t="s">
        <v>2973</v>
      </c>
      <c r="Z901" s="72" t="s">
        <v>530</v>
      </c>
      <c r="AA901" s="146" t="s">
        <v>2831</v>
      </c>
    </row>
    <row r="902" spans="1:27" ht="18.600000000000001" customHeight="1">
      <c r="A902" s="139" t="str">
        <f>IF(priority(Main[[#This Row],[Comments]])&lt;&gt;0, priority(Main[[#This Row],[Comments]]),"")</f>
        <v/>
      </c>
      <c r="B902" s="89" t="s">
        <v>1729</v>
      </c>
      <c r="C902" s="72" t="s">
        <v>4</v>
      </c>
      <c r="D902" s="73" t="s">
        <v>784</v>
      </c>
      <c r="E902" s="74"/>
      <c r="F902" s="74"/>
      <c r="G902" s="75" t="str">
        <f>IF(stdProdLT(Main[[#This Row],[Comments]])=0.1,"N/A",IF(stdProdLT(Main[[#This Row],[Comments]])=0,"",stdProdLT(Main[[#This Row],[Comments]])))</f>
        <v/>
      </c>
      <c r="H902" s="76" t="str">
        <f>IF(AND(Main[[#This Row],[In Stock Date]]&lt;&gt;"",Main[[#This Row],[Revised Due Date]]&lt;&gt;""),Main[[#This Row],[In Stock Date]]-Main[[#This Row],[Revised Due Date]],"")</f>
        <v/>
      </c>
      <c r="I902" s="72" t="s">
        <v>4</v>
      </c>
      <c r="J902" s="72" t="s">
        <v>4</v>
      </c>
      <c r="K902" s="72" t="s">
        <v>4</v>
      </c>
      <c r="L902" s="74"/>
      <c r="M902" s="77" t="str">
        <f>IF(Main[[#This Row],[Tech Start Date]]&lt;1/1/1990,"",IF(Main[[#This Row],[Class]]="C",WORKDAY(Main[[#This Row],[Tech Start Date]],9),IF(Main[[#This Row],[Class]]="B", WORKDAY(Main[[#This Row],[Tech Start Date]],6),IF(Main[[#This Row],[Class]]="A",WORKDAY(Main[[#This Row],[Tech Start Date]],2),""))))</f>
        <v/>
      </c>
      <c r="N902" s="77" t="str">
        <f>IF(Main[[#This Row],[Tech Start Date]]&lt;1/1/1990,"",IF(Main[[#This Row],[Class]]="C",WORKDAY(Main[[#This Row],[Tech Start Date]],19),IF(Main[[#This Row],[Class]]="B", WORKDAY(Main[[#This Row],[Tech Start Date]],12),IF(Main[[#This Row],[Class]]="A",WORKDAY(Main[[#This Row],[Tech Start Date]],4),""))))</f>
        <v/>
      </c>
      <c r="O902" s="77" t="str">
        <f>IF(Main[[#This Row],[Tech Start Date]]&lt;1/1/1990,"",IF(Main[[#This Row],[Class]]="C",WORKDAY(Main[[#This Row],[Tech Start Date]],23),IF(Main[[#This Row],[Class]]="B", WORKDAY(Main[[#This Row],[Tech Start Date]],15),IF(Main[[#This Row],[Class]]="A",WORKDAY(Main[[#This Row],[Tech Start Date]],5),""))))</f>
        <v/>
      </c>
      <c r="P902" s="77" t="str">
        <f>IF(Main[[#This Row],[Tech Start Date]]&lt;1/1/1990,"",IF(Main[[#This Row],[Class]]="C",WORKDAY(Main[[#This Row],[Tech Start Date]],28),IF(Main[[#This Row],[Class]]="B", WORKDAY(Main[[#This Row],[Tech Start Date]],19),IF(Main[[#This Row],[Class]]="A",WORKDAY(Main[[#This Row],[Tech Start Date]],9),""))))</f>
        <v/>
      </c>
      <c r="Q902" s="74"/>
      <c r="R902" s="74"/>
      <c r="S902" s="72" t="s">
        <v>49</v>
      </c>
      <c r="T902" s="80" t="s">
        <v>4</v>
      </c>
      <c r="U902" s="72" t="s">
        <v>103</v>
      </c>
      <c r="V902" s="72" t="s">
        <v>1918</v>
      </c>
      <c r="W902" s="72" t="s">
        <v>1921</v>
      </c>
      <c r="X902" s="72" t="s">
        <v>306</v>
      </c>
      <c r="Y902" s="72" t="s">
        <v>4</v>
      </c>
      <c r="Z902" s="72" t="s">
        <v>4</v>
      </c>
      <c r="AA902" s="146" t="s">
        <v>4</v>
      </c>
    </row>
    <row r="903" spans="1:27" ht="18.600000000000001" customHeight="1">
      <c r="A903" s="139" t="str">
        <f>IF(priority(Main[[#This Row],[Comments]])&lt;&gt;0, priority(Main[[#This Row],[Comments]]),"")</f>
        <v/>
      </c>
      <c r="B903" s="89" t="s">
        <v>2197</v>
      </c>
      <c r="C903" s="72" t="s">
        <v>4</v>
      </c>
      <c r="D903" s="73" t="s">
        <v>2198</v>
      </c>
      <c r="E903" s="74"/>
      <c r="F903" s="74"/>
      <c r="G903" s="75" t="str">
        <f>IF(stdProdLT(Main[[#This Row],[Comments]])=0.1,"N/A",IF(stdProdLT(Main[[#This Row],[Comments]])=0,"",stdProdLT(Main[[#This Row],[Comments]])))</f>
        <v/>
      </c>
      <c r="H903" s="76" t="str">
        <f>IF(AND(Main[[#This Row],[In Stock Date]]&lt;&gt;"",Main[[#This Row],[Revised Due Date]]&lt;&gt;""),Main[[#This Row],[In Stock Date]]-Main[[#This Row],[Revised Due Date]],"")</f>
        <v/>
      </c>
      <c r="I903" s="72" t="s">
        <v>4</v>
      </c>
      <c r="J903" s="72" t="s">
        <v>4</v>
      </c>
      <c r="K903" s="72" t="s">
        <v>4</v>
      </c>
      <c r="L903" s="74"/>
      <c r="M903" s="77" t="str">
        <f>IF(Main[[#This Row],[Tech Start Date]]&lt;1/1/1990,"",IF(Main[[#This Row],[Class]]="C",WORKDAY(Main[[#This Row],[Tech Start Date]],9),IF(Main[[#This Row],[Class]]="B", WORKDAY(Main[[#This Row],[Tech Start Date]],6),IF(Main[[#This Row],[Class]]="A",WORKDAY(Main[[#This Row],[Tech Start Date]],2),""))))</f>
        <v/>
      </c>
      <c r="N903" s="77" t="str">
        <f>IF(Main[[#This Row],[Tech Start Date]]&lt;1/1/1990,"",IF(Main[[#This Row],[Class]]="C",WORKDAY(Main[[#This Row],[Tech Start Date]],19),IF(Main[[#This Row],[Class]]="B", WORKDAY(Main[[#This Row],[Tech Start Date]],12),IF(Main[[#This Row],[Class]]="A",WORKDAY(Main[[#This Row],[Tech Start Date]],4),""))))</f>
        <v/>
      </c>
      <c r="O903" s="77" t="str">
        <f>IF(Main[[#This Row],[Tech Start Date]]&lt;1/1/1990,"",IF(Main[[#This Row],[Class]]="C",WORKDAY(Main[[#This Row],[Tech Start Date]],23),IF(Main[[#This Row],[Class]]="B", WORKDAY(Main[[#This Row],[Tech Start Date]],15),IF(Main[[#This Row],[Class]]="A",WORKDAY(Main[[#This Row],[Tech Start Date]],5),""))))</f>
        <v/>
      </c>
      <c r="P903" s="77" t="str">
        <f>IF(Main[[#This Row],[Tech Start Date]]&lt;1/1/1990,"",IF(Main[[#This Row],[Class]]="C",WORKDAY(Main[[#This Row],[Tech Start Date]],28),IF(Main[[#This Row],[Class]]="B", WORKDAY(Main[[#This Row],[Tech Start Date]],19),IF(Main[[#This Row],[Class]]="A",WORKDAY(Main[[#This Row],[Tech Start Date]],9),""))))</f>
        <v/>
      </c>
      <c r="Q903" s="74"/>
      <c r="R903" s="74"/>
      <c r="S903" s="72" t="s">
        <v>6</v>
      </c>
      <c r="T903" s="80" t="s">
        <v>4</v>
      </c>
      <c r="U903" s="72" t="s">
        <v>14</v>
      </c>
      <c r="V903" s="72" t="s">
        <v>1932</v>
      </c>
      <c r="W903" s="72" t="s">
        <v>4</v>
      </c>
      <c r="X903" s="72" t="s">
        <v>306</v>
      </c>
      <c r="Y903" s="72" t="s">
        <v>4</v>
      </c>
      <c r="Z903" s="72" t="s">
        <v>4</v>
      </c>
      <c r="AA903" s="146" t="s">
        <v>4</v>
      </c>
    </row>
    <row r="904" spans="1:27" ht="18.600000000000001" customHeight="1">
      <c r="A904" s="139" t="str">
        <f>IF(priority(Main[[#This Row],[Comments]])&lt;&gt;0, priority(Main[[#This Row],[Comments]]),"")</f>
        <v/>
      </c>
      <c r="B904" s="89" t="s">
        <v>1702</v>
      </c>
      <c r="C904" s="72" t="s">
        <v>758</v>
      </c>
      <c r="D904" s="73" t="s">
        <v>759</v>
      </c>
      <c r="E904" s="74"/>
      <c r="F904" s="74"/>
      <c r="G904" s="75" t="str">
        <f>IF(stdProdLT(Main[[#This Row],[Comments]])=0.1,"N/A",IF(stdProdLT(Main[[#This Row],[Comments]])=0,"",stdProdLT(Main[[#This Row],[Comments]])))</f>
        <v/>
      </c>
      <c r="H904" s="76" t="str">
        <f>IF(AND(Main[[#This Row],[In Stock Date]]&lt;&gt;"",Main[[#This Row],[Revised Due Date]]&lt;&gt;""),Main[[#This Row],[In Stock Date]]-Main[[#This Row],[Revised Due Date]],"")</f>
        <v/>
      </c>
      <c r="I904" s="72" t="s">
        <v>4</v>
      </c>
      <c r="J904" s="72" t="s">
        <v>4</v>
      </c>
      <c r="K904" s="81" t="s">
        <v>4</v>
      </c>
      <c r="L904" s="74"/>
      <c r="M904" s="77" t="str">
        <f>IF(Main[[#This Row],[Tech Start Date]]&lt;1/1/1990,"",IF(Main[[#This Row],[Class]]="C",WORKDAY(Main[[#This Row],[Tech Start Date]],9),IF(Main[[#This Row],[Class]]="B", WORKDAY(Main[[#This Row],[Tech Start Date]],6),IF(Main[[#This Row],[Class]]="A",WORKDAY(Main[[#This Row],[Tech Start Date]],2),""))))</f>
        <v/>
      </c>
      <c r="N904" s="77" t="str">
        <f>IF(Main[[#This Row],[Tech Start Date]]&lt;1/1/1990,"",IF(Main[[#This Row],[Class]]="C",WORKDAY(Main[[#This Row],[Tech Start Date]],19),IF(Main[[#This Row],[Class]]="B", WORKDAY(Main[[#This Row],[Tech Start Date]],12),IF(Main[[#This Row],[Class]]="A",WORKDAY(Main[[#This Row],[Tech Start Date]],4),""))))</f>
        <v/>
      </c>
      <c r="O904" s="77" t="str">
        <f>IF(Main[[#This Row],[Tech Start Date]]&lt;1/1/1990,"",IF(Main[[#This Row],[Class]]="C",WORKDAY(Main[[#This Row],[Tech Start Date]],23),IF(Main[[#This Row],[Class]]="B", WORKDAY(Main[[#This Row],[Tech Start Date]],15),IF(Main[[#This Row],[Class]]="A",WORKDAY(Main[[#This Row],[Tech Start Date]],5),""))))</f>
        <v/>
      </c>
      <c r="P904" s="77" t="str">
        <f>IF(Main[[#This Row],[Tech Start Date]]&lt;1/1/1990,"",IF(Main[[#This Row],[Class]]="C",WORKDAY(Main[[#This Row],[Tech Start Date]],28),IF(Main[[#This Row],[Class]]="B", WORKDAY(Main[[#This Row],[Tech Start Date]],19),IF(Main[[#This Row],[Class]]="A",WORKDAY(Main[[#This Row],[Tech Start Date]],9),""))))</f>
        <v/>
      </c>
      <c r="Q904" s="74"/>
      <c r="R904" s="74"/>
      <c r="S904" s="72" t="s">
        <v>11</v>
      </c>
      <c r="T904" s="80" t="s">
        <v>4</v>
      </c>
      <c r="U904" s="72" t="s">
        <v>14</v>
      </c>
      <c r="V904" s="72" t="s">
        <v>1918</v>
      </c>
      <c r="W904" s="72" t="s">
        <v>1925</v>
      </c>
      <c r="X904" s="72" t="s">
        <v>2833</v>
      </c>
      <c r="Y904" s="72" t="s">
        <v>2954</v>
      </c>
      <c r="Z904" s="72" t="s">
        <v>4</v>
      </c>
      <c r="AA904" s="146" t="s">
        <v>2833</v>
      </c>
    </row>
    <row r="905" spans="1:27" ht="18.600000000000001" customHeight="1">
      <c r="A905" s="139" t="str">
        <f>IF(priority(Main[[#This Row],[Comments]])&lt;&gt;0, priority(Main[[#This Row],[Comments]]),"")</f>
        <v/>
      </c>
      <c r="B905" s="89" t="s">
        <v>1703</v>
      </c>
      <c r="C905" s="72" t="s">
        <v>4</v>
      </c>
      <c r="D905" s="73" t="s">
        <v>760</v>
      </c>
      <c r="E905" s="74">
        <v>40436.644293981481</v>
      </c>
      <c r="F905" s="74"/>
      <c r="G905" s="75" t="str">
        <f>IF(stdProdLT(Main[[#This Row],[Comments]])=0.1,"N/A",IF(stdProdLT(Main[[#This Row],[Comments]])=0,"",stdProdLT(Main[[#This Row],[Comments]])))</f>
        <v/>
      </c>
      <c r="H905" s="76" t="str">
        <f>IF(AND(Main[[#This Row],[In Stock Date]]&lt;&gt;"",Main[[#This Row],[Revised Due Date]]&lt;&gt;""),Main[[#This Row],[In Stock Date]]-Main[[#This Row],[Revised Due Date]],"")</f>
        <v/>
      </c>
      <c r="I905" s="72" t="s">
        <v>4</v>
      </c>
      <c r="J905" s="72" t="s">
        <v>28</v>
      </c>
      <c r="K905" s="72" t="s">
        <v>4</v>
      </c>
      <c r="L905" s="74"/>
      <c r="M905" s="77" t="str">
        <f>IF(Main[[#This Row],[Tech Start Date]]&lt;1/1/1990,"",IF(Main[[#This Row],[Class]]="C",WORKDAY(Main[[#This Row],[Tech Start Date]],9),IF(Main[[#This Row],[Class]]="B", WORKDAY(Main[[#This Row],[Tech Start Date]],6),IF(Main[[#This Row],[Class]]="A",WORKDAY(Main[[#This Row],[Tech Start Date]],2),""))))</f>
        <v/>
      </c>
      <c r="N905" s="77" t="str">
        <f>IF(Main[[#This Row],[Tech Start Date]]&lt;1/1/1990,"",IF(Main[[#This Row],[Class]]="C",WORKDAY(Main[[#This Row],[Tech Start Date]],19),IF(Main[[#This Row],[Class]]="B", WORKDAY(Main[[#This Row],[Tech Start Date]],12),IF(Main[[#This Row],[Class]]="A",WORKDAY(Main[[#This Row],[Tech Start Date]],4),""))))</f>
        <v/>
      </c>
      <c r="O905" s="77" t="str">
        <f>IF(Main[[#This Row],[Tech Start Date]]&lt;1/1/1990,"",IF(Main[[#This Row],[Class]]="C",WORKDAY(Main[[#This Row],[Tech Start Date]],23),IF(Main[[#This Row],[Class]]="B", WORKDAY(Main[[#This Row],[Tech Start Date]],15),IF(Main[[#This Row],[Class]]="A",WORKDAY(Main[[#This Row],[Tech Start Date]],5),""))))</f>
        <v/>
      </c>
      <c r="P905" s="77" t="str">
        <f>IF(Main[[#This Row],[Tech Start Date]]&lt;1/1/1990,"",IF(Main[[#This Row],[Class]]="C",WORKDAY(Main[[#This Row],[Tech Start Date]],28),IF(Main[[#This Row],[Class]]="B", WORKDAY(Main[[#This Row],[Tech Start Date]],19),IF(Main[[#This Row],[Class]]="A",WORKDAY(Main[[#This Row],[Tech Start Date]],9),""))))</f>
        <v/>
      </c>
      <c r="Q905" s="74"/>
      <c r="R905" s="74"/>
      <c r="S905" s="72" t="s">
        <v>6</v>
      </c>
      <c r="T905" s="80" t="s">
        <v>4</v>
      </c>
      <c r="U905" s="72" t="s">
        <v>7</v>
      </c>
      <c r="V905" s="72" t="s">
        <v>1917</v>
      </c>
      <c r="W905" s="72" t="s">
        <v>1921</v>
      </c>
      <c r="X905" s="72" t="s">
        <v>924</v>
      </c>
      <c r="Y905" s="72" t="s">
        <v>2988</v>
      </c>
      <c r="Z905" s="72" t="s">
        <v>129</v>
      </c>
      <c r="AA905" s="146" t="s">
        <v>924</v>
      </c>
    </row>
    <row r="906" spans="1:27" ht="18.600000000000001" customHeight="1">
      <c r="A906" s="139" t="str">
        <f>IF(priority(Main[[#This Row],[Comments]])&lt;&gt;0, priority(Main[[#This Row],[Comments]]),"")</f>
        <v/>
      </c>
      <c r="B906" s="89" t="s">
        <v>1704</v>
      </c>
      <c r="C906" s="72" t="s">
        <v>761</v>
      </c>
      <c r="D906" s="73" t="s">
        <v>762</v>
      </c>
      <c r="E906" s="74"/>
      <c r="F906" s="74"/>
      <c r="G906" s="75" t="str">
        <f>IF(stdProdLT(Main[[#This Row],[Comments]])=0.1,"N/A",IF(stdProdLT(Main[[#This Row],[Comments]])=0,"",stdProdLT(Main[[#This Row],[Comments]])))</f>
        <v/>
      </c>
      <c r="H906" s="76" t="str">
        <f>IF(AND(Main[[#This Row],[In Stock Date]]&lt;&gt;"",Main[[#This Row],[Revised Due Date]]&lt;&gt;""),Main[[#This Row],[In Stock Date]]-Main[[#This Row],[Revised Due Date]],"")</f>
        <v/>
      </c>
      <c r="I906" s="72" t="s">
        <v>163</v>
      </c>
      <c r="J906" s="72" t="s">
        <v>4</v>
      </c>
      <c r="K906" s="72" t="s">
        <v>1924</v>
      </c>
      <c r="L906" s="74"/>
      <c r="M906" s="77" t="str">
        <f>IF(Main[[#This Row],[Tech Start Date]]&lt;1/1/1990,"",IF(Main[[#This Row],[Class]]="C",WORKDAY(Main[[#This Row],[Tech Start Date]],9),IF(Main[[#This Row],[Class]]="B", WORKDAY(Main[[#This Row],[Tech Start Date]],6),IF(Main[[#This Row],[Class]]="A",WORKDAY(Main[[#This Row],[Tech Start Date]],2),""))))</f>
        <v/>
      </c>
      <c r="N906" s="77" t="str">
        <f>IF(Main[[#This Row],[Tech Start Date]]&lt;1/1/1990,"",IF(Main[[#This Row],[Class]]="C",WORKDAY(Main[[#This Row],[Tech Start Date]],19),IF(Main[[#This Row],[Class]]="B", WORKDAY(Main[[#This Row],[Tech Start Date]],12),IF(Main[[#This Row],[Class]]="A",WORKDAY(Main[[#This Row],[Tech Start Date]],4),""))))</f>
        <v/>
      </c>
      <c r="O906" s="77" t="str">
        <f>IF(Main[[#This Row],[Tech Start Date]]&lt;1/1/1990,"",IF(Main[[#This Row],[Class]]="C",WORKDAY(Main[[#This Row],[Tech Start Date]],23),IF(Main[[#This Row],[Class]]="B", WORKDAY(Main[[#This Row],[Tech Start Date]],15),IF(Main[[#This Row],[Class]]="A",WORKDAY(Main[[#This Row],[Tech Start Date]],5),""))))</f>
        <v/>
      </c>
      <c r="P906" s="77" t="str">
        <f>IF(Main[[#This Row],[Tech Start Date]]&lt;1/1/1990,"",IF(Main[[#This Row],[Class]]="C",WORKDAY(Main[[#This Row],[Tech Start Date]],28),IF(Main[[#This Row],[Class]]="B", WORKDAY(Main[[#This Row],[Tech Start Date]],19),IF(Main[[#This Row],[Class]]="A",WORKDAY(Main[[#This Row],[Tech Start Date]],9),""))))</f>
        <v/>
      </c>
      <c r="Q906" s="74">
        <v>40421</v>
      </c>
      <c r="R906" s="74"/>
      <c r="S906" s="72" t="s">
        <v>17</v>
      </c>
      <c r="T906" s="80" t="s">
        <v>4</v>
      </c>
      <c r="U906" s="72" t="s">
        <v>14</v>
      </c>
      <c r="V906" s="72" t="s">
        <v>1920</v>
      </c>
      <c r="W906" s="72" t="s">
        <v>1921</v>
      </c>
      <c r="X906" s="72" t="s">
        <v>163</v>
      </c>
      <c r="Y906" s="72" t="s">
        <v>3106</v>
      </c>
      <c r="Z906" s="72" t="s">
        <v>4</v>
      </c>
      <c r="AA906" s="146" t="s">
        <v>163</v>
      </c>
    </row>
    <row r="907" spans="1:27" ht="18.600000000000001" customHeight="1">
      <c r="A907" s="139" t="str">
        <f>IF(priority(Main[[#This Row],[Comments]])&lt;&gt;0, priority(Main[[#This Row],[Comments]]),"")</f>
        <v/>
      </c>
      <c r="B907" s="89" t="s">
        <v>1705</v>
      </c>
      <c r="C907" s="72" t="s">
        <v>4</v>
      </c>
      <c r="D907" s="73" t="s">
        <v>763</v>
      </c>
      <c r="E907" s="74"/>
      <c r="F907" s="74"/>
      <c r="G907" s="75" t="str">
        <f>IF(stdProdLT(Main[[#This Row],[Comments]])=0.1,"N/A",IF(stdProdLT(Main[[#This Row],[Comments]])=0,"",stdProdLT(Main[[#This Row],[Comments]])))</f>
        <v/>
      </c>
      <c r="H907" s="76" t="str">
        <f>IF(AND(Main[[#This Row],[In Stock Date]]&lt;&gt;"",Main[[#This Row],[Revised Due Date]]&lt;&gt;""),Main[[#This Row],[In Stock Date]]-Main[[#This Row],[Revised Due Date]],"")</f>
        <v/>
      </c>
      <c r="I907" s="72" t="s">
        <v>4</v>
      </c>
      <c r="J907" s="72" t="s">
        <v>4</v>
      </c>
      <c r="K907" s="72" t="s">
        <v>4</v>
      </c>
      <c r="L907" s="74"/>
      <c r="M907" s="77" t="str">
        <f>IF(Main[[#This Row],[Tech Start Date]]&lt;1/1/1990,"",IF(Main[[#This Row],[Class]]="C",WORKDAY(Main[[#This Row],[Tech Start Date]],9),IF(Main[[#This Row],[Class]]="B", WORKDAY(Main[[#This Row],[Tech Start Date]],6),IF(Main[[#This Row],[Class]]="A",WORKDAY(Main[[#This Row],[Tech Start Date]],2),""))))</f>
        <v/>
      </c>
      <c r="N907" s="77" t="str">
        <f>IF(Main[[#This Row],[Tech Start Date]]&lt;1/1/1990,"",IF(Main[[#This Row],[Class]]="C",WORKDAY(Main[[#This Row],[Tech Start Date]],19),IF(Main[[#This Row],[Class]]="B", WORKDAY(Main[[#This Row],[Tech Start Date]],12),IF(Main[[#This Row],[Class]]="A",WORKDAY(Main[[#This Row],[Tech Start Date]],4),""))))</f>
        <v/>
      </c>
      <c r="O907" s="77" t="str">
        <f>IF(Main[[#This Row],[Tech Start Date]]&lt;1/1/1990,"",IF(Main[[#This Row],[Class]]="C",WORKDAY(Main[[#This Row],[Tech Start Date]],23),IF(Main[[#This Row],[Class]]="B", WORKDAY(Main[[#This Row],[Tech Start Date]],15),IF(Main[[#This Row],[Class]]="A",WORKDAY(Main[[#This Row],[Tech Start Date]],5),""))))</f>
        <v/>
      </c>
      <c r="P907" s="77" t="str">
        <f>IF(Main[[#This Row],[Tech Start Date]]&lt;1/1/1990,"",IF(Main[[#This Row],[Class]]="C",WORKDAY(Main[[#This Row],[Tech Start Date]],28),IF(Main[[#This Row],[Class]]="B", WORKDAY(Main[[#This Row],[Tech Start Date]],19),IF(Main[[#This Row],[Class]]="A",WORKDAY(Main[[#This Row],[Tech Start Date]],9),""))))</f>
        <v/>
      </c>
      <c r="Q907" s="74">
        <v>40500</v>
      </c>
      <c r="R907" s="74"/>
      <c r="S907" s="72" t="s">
        <v>11</v>
      </c>
      <c r="T907" s="80" t="s">
        <v>4</v>
      </c>
      <c r="U907" s="72" t="s">
        <v>14</v>
      </c>
      <c r="V907" s="72" t="s">
        <v>1917</v>
      </c>
      <c r="W907" s="72" t="s">
        <v>4</v>
      </c>
      <c r="X907" s="72" t="s">
        <v>2838</v>
      </c>
      <c r="Y907" s="72" t="s">
        <v>3107</v>
      </c>
      <c r="Z907" s="72" t="s">
        <v>4</v>
      </c>
      <c r="AA907" s="146" t="s">
        <v>2855</v>
      </c>
    </row>
    <row r="908" spans="1:27" ht="18.600000000000001" customHeight="1">
      <c r="A908" s="139" t="str">
        <f>IF(priority(Main[[#This Row],[Comments]])&lt;&gt;0, priority(Main[[#This Row],[Comments]]),"")</f>
        <v/>
      </c>
      <c r="B908" s="89" t="s">
        <v>1706</v>
      </c>
      <c r="C908" s="72" t="s">
        <v>122</v>
      </c>
      <c r="D908" s="73" t="s">
        <v>698</v>
      </c>
      <c r="E908" s="74"/>
      <c r="F908" s="74"/>
      <c r="G908" s="75" t="str">
        <f>IF(stdProdLT(Main[[#This Row],[Comments]])=0.1,"N/A",IF(stdProdLT(Main[[#This Row],[Comments]])=0,"",stdProdLT(Main[[#This Row],[Comments]])))</f>
        <v/>
      </c>
      <c r="H908" s="76" t="str">
        <f>IF(AND(Main[[#This Row],[In Stock Date]]&lt;&gt;"",Main[[#This Row],[Revised Due Date]]&lt;&gt;""),Main[[#This Row],[In Stock Date]]-Main[[#This Row],[Revised Due Date]],"")</f>
        <v/>
      </c>
      <c r="I908" s="72" t="s">
        <v>4</v>
      </c>
      <c r="J908" s="72" t="s">
        <v>4</v>
      </c>
      <c r="K908" s="72" t="s">
        <v>4</v>
      </c>
      <c r="L908" s="74"/>
      <c r="M908" s="77" t="str">
        <f>IF(Main[[#This Row],[Tech Start Date]]&lt;1/1/1990,"",IF(Main[[#This Row],[Class]]="C",WORKDAY(Main[[#This Row],[Tech Start Date]],9),IF(Main[[#This Row],[Class]]="B", WORKDAY(Main[[#This Row],[Tech Start Date]],6),IF(Main[[#This Row],[Class]]="A",WORKDAY(Main[[#This Row],[Tech Start Date]],2),""))))</f>
        <v/>
      </c>
      <c r="N908" s="77" t="str">
        <f>IF(Main[[#This Row],[Tech Start Date]]&lt;1/1/1990,"",IF(Main[[#This Row],[Class]]="C",WORKDAY(Main[[#This Row],[Tech Start Date]],19),IF(Main[[#This Row],[Class]]="B", WORKDAY(Main[[#This Row],[Tech Start Date]],12),IF(Main[[#This Row],[Class]]="A",WORKDAY(Main[[#This Row],[Tech Start Date]],4),""))))</f>
        <v/>
      </c>
      <c r="O908" s="77" t="str">
        <f>IF(Main[[#This Row],[Tech Start Date]]&lt;1/1/1990,"",IF(Main[[#This Row],[Class]]="C",WORKDAY(Main[[#This Row],[Tech Start Date]],23),IF(Main[[#This Row],[Class]]="B", WORKDAY(Main[[#This Row],[Tech Start Date]],15),IF(Main[[#This Row],[Class]]="A",WORKDAY(Main[[#This Row],[Tech Start Date]],5),""))))</f>
        <v/>
      </c>
      <c r="P908" s="77" t="str">
        <f>IF(Main[[#This Row],[Tech Start Date]]&lt;1/1/1990,"",IF(Main[[#This Row],[Class]]="C",WORKDAY(Main[[#This Row],[Tech Start Date]],28),IF(Main[[#This Row],[Class]]="B", WORKDAY(Main[[#This Row],[Tech Start Date]],19),IF(Main[[#This Row],[Class]]="A",WORKDAY(Main[[#This Row],[Tech Start Date]],9),""))))</f>
        <v/>
      </c>
      <c r="Q908" s="74"/>
      <c r="R908" s="74"/>
      <c r="S908" s="72" t="s">
        <v>11</v>
      </c>
      <c r="T908" s="80" t="s">
        <v>4</v>
      </c>
      <c r="U908" s="72" t="s">
        <v>14</v>
      </c>
      <c r="V908" s="72" t="s">
        <v>1917</v>
      </c>
      <c r="W908" s="72" t="s">
        <v>1928</v>
      </c>
      <c r="X908" s="72" t="s">
        <v>2826</v>
      </c>
      <c r="Y908" s="72" t="s">
        <v>3098</v>
      </c>
      <c r="Z908" s="72" t="s">
        <v>4</v>
      </c>
      <c r="AA908" s="146" t="s">
        <v>3444</v>
      </c>
    </row>
    <row r="909" spans="1:27" ht="18.600000000000001" customHeight="1">
      <c r="A909" s="139" t="str">
        <f>IF(priority(Main[[#This Row],[Comments]])&lt;&gt;0, priority(Main[[#This Row],[Comments]]),"")</f>
        <v/>
      </c>
      <c r="B909" s="89" t="s">
        <v>1709</v>
      </c>
      <c r="C909" s="72" t="s">
        <v>4</v>
      </c>
      <c r="D909" s="73" t="s">
        <v>769</v>
      </c>
      <c r="E909" s="74"/>
      <c r="F909" s="74"/>
      <c r="G909" s="75" t="str">
        <f>IF(stdProdLT(Main[[#This Row],[Comments]])=0.1,"N/A",IF(stdProdLT(Main[[#This Row],[Comments]])=0,"",stdProdLT(Main[[#This Row],[Comments]])))</f>
        <v/>
      </c>
      <c r="H909" s="76" t="str">
        <f>IF(AND(Main[[#This Row],[In Stock Date]]&lt;&gt;"",Main[[#This Row],[Revised Due Date]]&lt;&gt;""),Main[[#This Row],[In Stock Date]]-Main[[#This Row],[Revised Due Date]],"")</f>
        <v/>
      </c>
      <c r="I909" s="72" t="s">
        <v>4</v>
      </c>
      <c r="J909" s="72" t="s">
        <v>4</v>
      </c>
      <c r="K909" s="72" t="s">
        <v>4</v>
      </c>
      <c r="L909" s="74"/>
      <c r="M909" s="77" t="str">
        <f>IF(Main[[#This Row],[Tech Start Date]]&lt;1/1/1990,"",IF(Main[[#This Row],[Class]]="C",WORKDAY(Main[[#This Row],[Tech Start Date]],9),IF(Main[[#This Row],[Class]]="B", WORKDAY(Main[[#This Row],[Tech Start Date]],6),IF(Main[[#This Row],[Class]]="A",WORKDAY(Main[[#This Row],[Tech Start Date]],2),""))))</f>
        <v/>
      </c>
      <c r="N909" s="77" t="str">
        <f>IF(Main[[#This Row],[Tech Start Date]]&lt;1/1/1990,"",IF(Main[[#This Row],[Class]]="C",WORKDAY(Main[[#This Row],[Tech Start Date]],19),IF(Main[[#This Row],[Class]]="B", WORKDAY(Main[[#This Row],[Tech Start Date]],12),IF(Main[[#This Row],[Class]]="A",WORKDAY(Main[[#This Row],[Tech Start Date]],4),""))))</f>
        <v/>
      </c>
      <c r="O909" s="77" t="str">
        <f>IF(Main[[#This Row],[Tech Start Date]]&lt;1/1/1990,"",IF(Main[[#This Row],[Class]]="C",WORKDAY(Main[[#This Row],[Tech Start Date]],23),IF(Main[[#This Row],[Class]]="B", WORKDAY(Main[[#This Row],[Tech Start Date]],15),IF(Main[[#This Row],[Class]]="A",WORKDAY(Main[[#This Row],[Tech Start Date]],5),""))))</f>
        <v/>
      </c>
      <c r="P909" s="77" t="str">
        <f>IF(Main[[#This Row],[Tech Start Date]]&lt;1/1/1990,"",IF(Main[[#This Row],[Class]]="C",WORKDAY(Main[[#This Row],[Tech Start Date]],28),IF(Main[[#This Row],[Class]]="B", WORKDAY(Main[[#This Row],[Tech Start Date]],19),IF(Main[[#This Row],[Class]]="A",WORKDAY(Main[[#This Row],[Tech Start Date]],9),""))))</f>
        <v/>
      </c>
      <c r="Q909" s="74"/>
      <c r="R909" s="74"/>
      <c r="S909" s="72" t="s">
        <v>17</v>
      </c>
      <c r="T909" s="80" t="s">
        <v>4</v>
      </c>
      <c r="U909" s="72" t="s">
        <v>14</v>
      </c>
      <c r="V909" s="72" t="s">
        <v>1920</v>
      </c>
      <c r="W909" s="72" t="s">
        <v>4</v>
      </c>
      <c r="X909" s="72" t="s">
        <v>306</v>
      </c>
      <c r="Y909" s="72" t="s">
        <v>4</v>
      </c>
      <c r="Z909" s="72" t="s">
        <v>4</v>
      </c>
      <c r="AA909" s="146" t="s">
        <v>3449</v>
      </c>
    </row>
    <row r="910" spans="1:27" ht="18.600000000000001" customHeight="1">
      <c r="A910" s="139" t="str">
        <f>IF(priority(Main[[#This Row],[Comments]])&lt;&gt;0, priority(Main[[#This Row],[Comments]]),"")</f>
        <v/>
      </c>
      <c r="B910" s="89" t="s">
        <v>1710</v>
      </c>
      <c r="C910" s="72" t="s">
        <v>58</v>
      </c>
      <c r="D910" s="73" t="s">
        <v>202</v>
      </c>
      <c r="E910" s="74"/>
      <c r="F910" s="74">
        <v>40697</v>
      </c>
      <c r="G910" s="75" t="str">
        <f>IF(stdProdLT(Main[[#This Row],[Comments]])=0.1,"N/A",IF(stdProdLT(Main[[#This Row],[Comments]])=0,"",stdProdLT(Main[[#This Row],[Comments]])))</f>
        <v/>
      </c>
      <c r="H910" s="76" t="str">
        <f>IF(AND(Main[[#This Row],[In Stock Date]]&lt;&gt;"",Main[[#This Row],[Revised Due Date]]&lt;&gt;""),Main[[#This Row],[In Stock Date]]-Main[[#This Row],[Revised Due Date]],"")</f>
        <v/>
      </c>
      <c r="I910" s="72" t="s">
        <v>4</v>
      </c>
      <c r="J910" s="72" t="s">
        <v>4</v>
      </c>
      <c r="K910" s="72" t="s">
        <v>4</v>
      </c>
      <c r="L910" s="74"/>
      <c r="M910" s="77" t="str">
        <f>IF(Main[[#This Row],[Tech Start Date]]&lt;1/1/1990,"",IF(Main[[#This Row],[Class]]="C",WORKDAY(Main[[#This Row],[Tech Start Date]],9),IF(Main[[#This Row],[Class]]="B", WORKDAY(Main[[#This Row],[Tech Start Date]],6),IF(Main[[#This Row],[Class]]="A",WORKDAY(Main[[#This Row],[Tech Start Date]],2),""))))</f>
        <v/>
      </c>
      <c r="N910" s="77" t="str">
        <f>IF(Main[[#This Row],[Tech Start Date]]&lt;1/1/1990,"",IF(Main[[#This Row],[Class]]="C",WORKDAY(Main[[#This Row],[Tech Start Date]],19),IF(Main[[#This Row],[Class]]="B", WORKDAY(Main[[#This Row],[Tech Start Date]],12),IF(Main[[#This Row],[Class]]="A",WORKDAY(Main[[#This Row],[Tech Start Date]],4),""))))</f>
        <v/>
      </c>
      <c r="O910" s="77" t="str">
        <f>IF(Main[[#This Row],[Tech Start Date]]&lt;1/1/1990,"",IF(Main[[#This Row],[Class]]="C",WORKDAY(Main[[#This Row],[Tech Start Date]],23),IF(Main[[#This Row],[Class]]="B", WORKDAY(Main[[#This Row],[Tech Start Date]],15),IF(Main[[#This Row],[Class]]="A",WORKDAY(Main[[#This Row],[Tech Start Date]],5),""))))</f>
        <v/>
      </c>
      <c r="P910" s="77" t="str">
        <f>IF(Main[[#This Row],[Tech Start Date]]&lt;1/1/1990,"",IF(Main[[#This Row],[Class]]="C",WORKDAY(Main[[#This Row],[Tech Start Date]],28),IF(Main[[#This Row],[Class]]="B", WORKDAY(Main[[#This Row],[Tech Start Date]],19),IF(Main[[#This Row],[Class]]="A",WORKDAY(Main[[#This Row],[Tech Start Date]],9),""))))</f>
        <v/>
      </c>
      <c r="Q910" s="74">
        <v>40539</v>
      </c>
      <c r="R910" s="74"/>
      <c r="S910" s="72" t="s">
        <v>11</v>
      </c>
      <c r="T910" s="80" t="s">
        <v>4</v>
      </c>
      <c r="U910" s="72" t="s">
        <v>14</v>
      </c>
      <c r="V910" s="72" t="s">
        <v>1917</v>
      </c>
      <c r="W910" s="72" t="s">
        <v>1923</v>
      </c>
      <c r="X910" s="72" t="s">
        <v>2835</v>
      </c>
      <c r="Y910" s="72" t="s">
        <v>2957</v>
      </c>
      <c r="Z910" s="72" t="s">
        <v>4</v>
      </c>
      <c r="AA910" s="146" t="s">
        <v>2835</v>
      </c>
    </row>
    <row r="911" spans="1:27" ht="18.600000000000001" customHeight="1">
      <c r="A911" s="139" t="str">
        <f>IF(priority(Main[[#This Row],[Comments]])&lt;&gt;0, priority(Main[[#This Row],[Comments]]),"")</f>
        <v/>
      </c>
      <c r="B911" s="89" t="s">
        <v>1727</v>
      </c>
      <c r="C911" s="72" t="s">
        <v>781</v>
      </c>
      <c r="D911" s="73" t="s">
        <v>782</v>
      </c>
      <c r="E911" s="74"/>
      <c r="F911" s="74">
        <v>40591</v>
      </c>
      <c r="G911" s="75" t="str">
        <f>IF(stdProdLT(Main[[#This Row],[Comments]])=0.1,"N/A",IF(stdProdLT(Main[[#This Row],[Comments]])=0,"",stdProdLT(Main[[#This Row],[Comments]])))</f>
        <v/>
      </c>
      <c r="H911" s="76" t="str">
        <f>IF(AND(Main[[#This Row],[In Stock Date]]&lt;&gt;"",Main[[#This Row],[Revised Due Date]]&lt;&gt;""),Main[[#This Row],[In Stock Date]]-Main[[#This Row],[Revised Due Date]],"")</f>
        <v/>
      </c>
      <c r="I911" s="72" t="s">
        <v>4</v>
      </c>
      <c r="J911" s="72" t="s">
        <v>4</v>
      </c>
      <c r="K911" s="72" t="s">
        <v>1929</v>
      </c>
      <c r="L911" s="74"/>
      <c r="M911" s="77" t="str">
        <f>IF(Main[[#This Row],[Tech Start Date]]&lt;1/1/1990,"",IF(Main[[#This Row],[Class]]="C",WORKDAY(Main[[#This Row],[Tech Start Date]],9),IF(Main[[#This Row],[Class]]="B", WORKDAY(Main[[#This Row],[Tech Start Date]],6),IF(Main[[#This Row],[Class]]="A",WORKDAY(Main[[#This Row],[Tech Start Date]],2),""))))</f>
        <v/>
      </c>
      <c r="N911" s="77" t="str">
        <f>IF(Main[[#This Row],[Tech Start Date]]&lt;1/1/1990,"",IF(Main[[#This Row],[Class]]="C",WORKDAY(Main[[#This Row],[Tech Start Date]],19),IF(Main[[#This Row],[Class]]="B", WORKDAY(Main[[#This Row],[Tech Start Date]],12),IF(Main[[#This Row],[Class]]="A",WORKDAY(Main[[#This Row],[Tech Start Date]],4),""))))</f>
        <v/>
      </c>
      <c r="O911" s="77" t="str">
        <f>IF(Main[[#This Row],[Tech Start Date]]&lt;1/1/1990,"",IF(Main[[#This Row],[Class]]="C",WORKDAY(Main[[#This Row],[Tech Start Date]],23),IF(Main[[#This Row],[Class]]="B", WORKDAY(Main[[#This Row],[Tech Start Date]],15),IF(Main[[#This Row],[Class]]="A",WORKDAY(Main[[#This Row],[Tech Start Date]],5),""))))</f>
        <v/>
      </c>
      <c r="P911" s="77" t="str">
        <f>IF(Main[[#This Row],[Tech Start Date]]&lt;1/1/1990,"",IF(Main[[#This Row],[Class]]="C",WORKDAY(Main[[#This Row],[Tech Start Date]],28),IF(Main[[#This Row],[Class]]="B", WORKDAY(Main[[#This Row],[Tech Start Date]],19),IF(Main[[#This Row],[Class]]="A",WORKDAY(Main[[#This Row],[Tech Start Date]],9),""))))</f>
        <v/>
      </c>
      <c r="Q911" s="74">
        <v>40514</v>
      </c>
      <c r="R911" s="74"/>
      <c r="S911" s="72" t="s">
        <v>11</v>
      </c>
      <c r="T911" s="80" t="s">
        <v>783</v>
      </c>
      <c r="U911" s="72" t="s">
        <v>14</v>
      </c>
      <c r="V911" s="72" t="s">
        <v>1917</v>
      </c>
      <c r="W911" s="72" t="s">
        <v>1922</v>
      </c>
      <c r="X911" s="72" t="s">
        <v>2910</v>
      </c>
      <c r="Y911" s="72" t="s">
        <v>4</v>
      </c>
      <c r="Z911" s="72" t="s">
        <v>4</v>
      </c>
      <c r="AA911" s="146" t="s">
        <v>2910</v>
      </c>
    </row>
    <row r="912" spans="1:27" ht="18.600000000000001" customHeight="1">
      <c r="A912" s="139" t="str">
        <f>IF(priority(Main[[#This Row],[Comments]])&lt;&gt;0, priority(Main[[#This Row],[Comments]]),"")</f>
        <v/>
      </c>
      <c r="B912" s="89" t="s">
        <v>1731</v>
      </c>
      <c r="C912" s="72" t="s">
        <v>4</v>
      </c>
      <c r="D912" s="73" t="s">
        <v>786</v>
      </c>
      <c r="E912" s="74">
        <v>40646.604930555557</v>
      </c>
      <c r="F912" s="74"/>
      <c r="G912" s="75" t="str">
        <f>IF(stdProdLT(Main[[#This Row],[Comments]])=0.1,"N/A",IF(stdProdLT(Main[[#This Row],[Comments]])=0,"",stdProdLT(Main[[#This Row],[Comments]])))</f>
        <v/>
      </c>
      <c r="H912" s="76" t="str">
        <f>IF(AND(Main[[#This Row],[In Stock Date]]&lt;&gt;"",Main[[#This Row],[Revised Due Date]]&lt;&gt;""),Main[[#This Row],[In Stock Date]]-Main[[#This Row],[Revised Due Date]],"")</f>
        <v/>
      </c>
      <c r="I912" s="72" t="s">
        <v>4</v>
      </c>
      <c r="J912" s="72" t="s">
        <v>4</v>
      </c>
      <c r="K912" s="72" t="s">
        <v>4</v>
      </c>
      <c r="L912" s="74"/>
      <c r="M912" s="77" t="str">
        <f>IF(Main[[#This Row],[Tech Start Date]]&lt;1/1/1990,"",IF(Main[[#This Row],[Class]]="C",WORKDAY(Main[[#This Row],[Tech Start Date]],9),IF(Main[[#This Row],[Class]]="B", WORKDAY(Main[[#This Row],[Tech Start Date]],6),IF(Main[[#This Row],[Class]]="A",WORKDAY(Main[[#This Row],[Tech Start Date]],2),""))))</f>
        <v/>
      </c>
      <c r="N912" s="77" t="str">
        <f>IF(Main[[#This Row],[Tech Start Date]]&lt;1/1/1990,"",IF(Main[[#This Row],[Class]]="C",WORKDAY(Main[[#This Row],[Tech Start Date]],19),IF(Main[[#This Row],[Class]]="B", WORKDAY(Main[[#This Row],[Tech Start Date]],12),IF(Main[[#This Row],[Class]]="A",WORKDAY(Main[[#This Row],[Tech Start Date]],4),""))))</f>
        <v/>
      </c>
      <c r="O912" s="77" t="str">
        <f>IF(Main[[#This Row],[Tech Start Date]]&lt;1/1/1990,"",IF(Main[[#This Row],[Class]]="C",WORKDAY(Main[[#This Row],[Tech Start Date]],23),IF(Main[[#This Row],[Class]]="B", WORKDAY(Main[[#This Row],[Tech Start Date]],15),IF(Main[[#This Row],[Class]]="A",WORKDAY(Main[[#This Row],[Tech Start Date]],5),""))))</f>
        <v/>
      </c>
      <c r="P912" s="77" t="str">
        <f>IF(Main[[#This Row],[Tech Start Date]]&lt;1/1/1990,"",IF(Main[[#This Row],[Class]]="C",WORKDAY(Main[[#This Row],[Tech Start Date]],28),IF(Main[[#This Row],[Class]]="B", WORKDAY(Main[[#This Row],[Tech Start Date]],19),IF(Main[[#This Row],[Class]]="A",WORKDAY(Main[[#This Row],[Tech Start Date]],9),""))))</f>
        <v/>
      </c>
      <c r="Q912" s="74">
        <v>40683</v>
      </c>
      <c r="R912" s="74"/>
      <c r="S912" s="72" t="s">
        <v>6</v>
      </c>
      <c r="T912" s="80" t="s">
        <v>4</v>
      </c>
      <c r="U912" s="72" t="s">
        <v>7</v>
      </c>
      <c r="V912" s="72" t="s">
        <v>1917</v>
      </c>
      <c r="W912" s="72" t="s">
        <v>4</v>
      </c>
      <c r="X912" s="72" t="s">
        <v>2824</v>
      </c>
      <c r="Y912" s="72" t="s">
        <v>2935</v>
      </c>
      <c r="Z912" s="72" t="s">
        <v>4</v>
      </c>
      <c r="AA912" s="146" t="s">
        <v>2824</v>
      </c>
    </row>
    <row r="913" spans="1:27" ht="18.600000000000001" customHeight="1">
      <c r="A913" s="139" t="str">
        <f>IF(priority(Main[[#This Row],[Comments]])&lt;&gt;0, priority(Main[[#This Row],[Comments]]),"")</f>
        <v/>
      </c>
      <c r="B913" s="89" t="s">
        <v>3629</v>
      </c>
      <c r="C913" s="72" t="s">
        <v>4</v>
      </c>
      <c r="D913" s="73" t="s">
        <v>3630</v>
      </c>
      <c r="E913" s="74"/>
      <c r="F913" s="74"/>
      <c r="G913" s="75" t="str">
        <f>IF(stdProdLT(Main[[#This Row],[Comments]])=0.1,"N/A",IF(stdProdLT(Main[[#This Row],[Comments]])=0,"",stdProdLT(Main[[#This Row],[Comments]])))</f>
        <v/>
      </c>
      <c r="H913" s="76" t="str">
        <f>IF(AND(Main[[#This Row],[In Stock Date]]&lt;&gt;"",Main[[#This Row],[Revised Due Date]]&lt;&gt;""),Main[[#This Row],[In Stock Date]]-Main[[#This Row],[Revised Due Date]],"")</f>
        <v/>
      </c>
      <c r="I913" s="72" t="s">
        <v>2047</v>
      </c>
      <c r="J913" s="72" t="s">
        <v>28</v>
      </c>
      <c r="K913" s="72" t="s">
        <v>1926</v>
      </c>
      <c r="L913" s="74"/>
      <c r="M913" s="77" t="str">
        <f>IF(Main[[#This Row],[Tech Start Date]]&lt;1/1/1990,"",IF(Main[[#This Row],[Class]]="C",WORKDAY(Main[[#This Row],[Tech Start Date]],9),IF(Main[[#This Row],[Class]]="B", WORKDAY(Main[[#This Row],[Tech Start Date]],6),IF(Main[[#This Row],[Class]]="A",WORKDAY(Main[[#This Row],[Tech Start Date]],2),""))))</f>
        <v/>
      </c>
      <c r="N913" s="77" t="str">
        <f>IF(Main[[#This Row],[Tech Start Date]]&lt;1/1/1990,"",IF(Main[[#This Row],[Class]]="C",WORKDAY(Main[[#This Row],[Tech Start Date]],19),IF(Main[[#This Row],[Class]]="B", WORKDAY(Main[[#This Row],[Tech Start Date]],12),IF(Main[[#This Row],[Class]]="A",WORKDAY(Main[[#This Row],[Tech Start Date]],4),""))))</f>
        <v/>
      </c>
      <c r="O913" s="77" t="str">
        <f>IF(Main[[#This Row],[Tech Start Date]]&lt;1/1/1990,"",IF(Main[[#This Row],[Class]]="C",WORKDAY(Main[[#This Row],[Tech Start Date]],23),IF(Main[[#This Row],[Class]]="B", WORKDAY(Main[[#This Row],[Tech Start Date]],15),IF(Main[[#This Row],[Class]]="A",WORKDAY(Main[[#This Row],[Tech Start Date]],5),""))))</f>
        <v/>
      </c>
      <c r="P913" s="77" t="str">
        <f>IF(Main[[#This Row],[Tech Start Date]]&lt;1/1/1990,"",IF(Main[[#This Row],[Class]]="C",WORKDAY(Main[[#This Row],[Tech Start Date]],28),IF(Main[[#This Row],[Class]]="B", WORKDAY(Main[[#This Row],[Tech Start Date]],19),IF(Main[[#This Row],[Class]]="A",WORKDAY(Main[[#This Row],[Tech Start Date]],9),""))))</f>
        <v/>
      </c>
      <c r="Q913" s="74">
        <v>40964</v>
      </c>
      <c r="R913" s="74"/>
      <c r="S913" s="72" t="s">
        <v>6</v>
      </c>
      <c r="T913" s="80" t="s">
        <v>4</v>
      </c>
      <c r="U913" s="72" t="s">
        <v>14</v>
      </c>
      <c r="V913" s="72" t="s">
        <v>1927</v>
      </c>
      <c r="W913" s="72" t="s">
        <v>1921</v>
      </c>
      <c r="X913" s="72" t="s">
        <v>2047</v>
      </c>
      <c r="Y913" s="72" t="s">
        <v>3162</v>
      </c>
      <c r="Z913" s="72" t="s">
        <v>30</v>
      </c>
      <c r="AA913" s="146" t="s">
        <v>2047</v>
      </c>
    </row>
    <row r="914" spans="1:27" ht="18.600000000000001" customHeight="1">
      <c r="A914" s="139" t="str">
        <f>IF(priority(Main[[#This Row],[Comments]])&lt;&gt;0, priority(Main[[#This Row],[Comments]]),"")</f>
        <v/>
      </c>
      <c r="B914" s="89" t="s">
        <v>1733</v>
      </c>
      <c r="C914" s="72" t="s">
        <v>4</v>
      </c>
      <c r="D914" s="73" t="s">
        <v>787</v>
      </c>
      <c r="E914" s="74">
        <v>40584.401712962965</v>
      </c>
      <c r="F914" s="74">
        <v>40602</v>
      </c>
      <c r="G914" s="75" t="str">
        <f>IF(stdProdLT(Main[[#This Row],[Comments]])=0.1,"N/A",IF(stdProdLT(Main[[#This Row],[Comments]])=0,"",stdProdLT(Main[[#This Row],[Comments]])))</f>
        <v/>
      </c>
      <c r="H914" s="76" t="str">
        <f>IF(AND(Main[[#This Row],[In Stock Date]]&lt;&gt;"",Main[[#This Row],[Revised Due Date]]&lt;&gt;""),Main[[#This Row],[In Stock Date]]-Main[[#This Row],[Revised Due Date]],"")</f>
        <v/>
      </c>
      <c r="I914" s="72" t="s">
        <v>4</v>
      </c>
      <c r="J914" s="72" t="s">
        <v>28</v>
      </c>
      <c r="K914" s="72" t="s">
        <v>1929</v>
      </c>
      <c r="L914" s="74"/>
      <c r="M914" s="77" t="str">
        <f>IF(Main[[#This Row],[Tech Start Date]]&lt;1/1/1990,"",IF(Main[[#This Row],[Class]]="C",WORKDAY(Main[[#This Row],[Tech Start Date]],9),IF(Main[[#This Row],[Class]]="B", WORKDAY(Main[[#This Row],[Tech Start Date]],6),IF(Main[[#This Row],[Class]]="A",WORKDAY(Main[[#This Row],[Tech Start Date]],2),""))))</f>
        <v/>
      </c>
      <c r="N914" s="77" t="str">
        <f>IF(Main[[#This Row],[Tech Start Date]]&lt;1/1/1990,"",IF(Main[[#This Row],[Class]]="C",WORKDAY(Main[[#This Row],[Tech Start Date]],19),IF(Main[[#This Row],[Class]]="B", WORKDAY(Main[[#This Row],[Tech Start Date]],12),IF(Main[[#This Row],[Class]]="A",WORKDAY(Main[[#This Row],[Tech Start Date]],4),""))))</f>
        <v/>
      </c>
      <c r="O914" s="77" t="str">
        <f>IF(Main[[#This Row],[Tech Start Date]]&lt;1/1/1990,"",IF(Main[[#This Row],[Class]]="C",WORKDAY(Main[[#This Row],[Tech Start Date]],23),IF(Main[[#This Row],[Class]]="B", WORKDAY(Main[[#This Row],[Tech Start Date]],15),IF(Main[[#This Row],[Class]]="A",WORKDAY(Main[[#This Row],[Tech Start Date]],5),""))))</f>
        <v/>
      </c>
      <c r="P914" s="77" t="str">
        <f>IF(Main[[#This Row],[Tech Start Date]]&lt;1/1/1990,"",IF(Main[[#This Row],[Class]]="C",WORKDAY(Main[[#This Row],[Tech Start Date]],28),IF(Main[[#This Row],[Class]]="B", WORKDAY(Main[[#This Row],[Tech Start Date]],19),IF(Main[[#This Row],[Class]]="A",WORKDAY(Main[[#This Row],[Tech Start Date]],9),""))))</f>
        <v/>
      </c>
      <c r="Q914" s="74">
        <v>40602</v>
      </c>
      <c r="R914" s="74"/>
      <c r="S914" s="72" t="s">
        <v>17</v>
      </c>
      <c r="T914" s="80" t="s">
        <v>4</v>
      </c>
      <c r="U914" s="72" t="s">
        <v>7</v>
      </c>
      <c r="V914" s="72" t="s">
        <v>1917</v>
      </c>
      <c r="W914" s="72" t="s">
        <v>1925</v>
      </c>
      <c r="X914" s="72" t="s">
        <v>2834</v>
      </c>
      <c r="Y914" s="72" t="s">
        <v>2956</v>
      </c>
      <c r="Z914" s="72" t="s">
        <v>129</v>
      </c>
      <c r="AA914" s="146" t="s">
        <v>2834</v>
      </c>
    </row>
    <row r="915" spans="1:27" ht="18.600000000000001" customHeight="1">
      <c r="A915" s="139" t="str">
        <f>IF(priority(Main[[#This Row],[Comments]])&lt;&gt;0, priority(Main[[#This Row],[Comments]]),"")</f>
        <v/>
      </c>
      <c r="B915" s="89" t="s">
        <v>2088</v>
      </c>
      <c r="C915" s="72" t="s">
        <v>4</v>
      </c>
      <c r="D915" s="73" t="s">
        <v>2402</v>
      </c>
      <c r="E915" s="74">
        <v>40764.689201388886</v>
      </c>
      <c r="F915" s="74"/>
      <c r="G915" s="75" t="str">
        <f>IF(stdProdLT(Main[[#This Row],[Comments]])=0.1,"N/A",IF(stdProdLT(Main[[#This Row],[Comments]])=0,"",stdProdLT(Main[[#This Row],[Comments]])))</f>
        <v/>
      </c>
      <c r="H915" s="76" t="str">
        <f>IF(AND(Main[[#This Row],[In Stock Date]]&lt;&gt;"",Main[[#This Row],[Revised Due Date]]&lt;&gt;""),Main[[#This Row],[In Stock Date]]-Main[[#This Row],[Revised Due Date]],"")</f>
        <v/>
      </c>
      <c r="I915" s="72" t="s">
        <v>4</v>
      </c>
      <c r="J915" s="72" t="s">
        <v>4</v>
      </c>
      <c r="K915" s="72" t="s">
        <v>4</v>
      </c>
      <c r="L915" s="74"/>
      <c r="M915" s="77" t="str">
        <f>IF(Main[[#This Row],[Tech Start Date]]&lt;1/1/1990,"",IF(Main[[#This Row],[Class]]="C",WORKDAY(Main[[#This Row],[Tech Start Date]],9),IF(Main[[#This Row],[Class]]="B", WORKDAY(Main[[#This Row],[Tech Start Date]],6),IF(Main[[#This Row],[Class]]="A",WORKDAY(Main[[#This Row],[Tech Start Date]],2),""))))</f>
        <v/>
      </c>
      <c r="N915" s="77" t="str">
        <f>IF(Main[[#This Row],[Tech Start Date]]&lt;1/1/1990,"",IF(Main[[#This Row],[Class]]="C",WORKDAY(Main[[#This Row],[Tech Start Date]],19),IF(Main[[#This Row],[Class]]="B", WORKDAY(Main[[#This Row],[Tech Start Date]],12),IF(Main[[#This Row],[Class]]="A",WORKDAY(Main[[#This Row],[Tech Start Date]],4),""))))</f>
        <v/>
      </c>
      <c r="O915" s="77" t="str">
        <f>IF(Main[[#This Row],[Tech Start Date]]&lt;1/1/1990,"",IF(Main[[#This Row],[Class]]="C",WORKDAY(Main[[#This Row],[Tech Start Date]],23),IF(Main[[#This Row],[Class]]="B", WORKDAY(Main[[#This Row],[Tech Start Date]],15),IF(Main[[#This Row],[Class]]="A",WORKDAY(Main[[#This Row],[Tech Start Date]],5),""))))</f>
        <v/>
      </c>
      <c r="P915" s="77" t="str">
        <f>IF(Main[[#This Row],[Tech Start Date]]&lt;1/1/1990,"",IF(Main[[#This Row],[Class]]="C",WORKDAY(Main[[#This Row],[Tech Start Date]],28),IF(Main[[#This Row],[Class]]="B", WORKDAY(Main[[#This Row],[Tech Start Date]],19),IF(Main[[#This Row],[Class]]="A",WORKDAY(Main[[#This Row],[Tech Start Date]],9),""))))</f>
        <v/>
      </c>
      <c r="Q915" s="74"/>
      <c r="R915" s="74"/>
      <c r="S915" s="72" t="s">
        <v>6</v>
      </c>
      <c r="T915" s="80" t="s">
        <v>4</v>
      </c>
      <c r="U915" s="72" t="s">
        <v>7</v>
      </c>
      <c r="V915" s="72" t="s">
        <v>1918</v>
      </c>
      <c r="W915" s="72" t="s">
        <v>1919</v>
      </c>
      <c r="X915" s="72" t="s">
        <v>306</v>
      </c>
      <c r="Y915" s="72" t="s">
        <v>4</v>
      </c>
      <c r="Z915" s="72" t="s">
        <v>4</v>
      </c>
      <c r="AA915" s="146" t="s">
        <v>4</v>
      </c>
    </row>
    <row r="916" spans="1:27" ht="18.600000000000001" customHeight="1">
      <c r="A916" s="139" t="str">
        <f>IF(priority(Main[[#This Row],[Comments]])&lt;&gt;0, priority(Main[[#This Row],[Comments]]),"")</f>
        <v/>
      </c>
      <c r="B916" s="89" t="s">
        <v>1734</v>
      </c>
      <c r="C916" s="72" t="s">
        <v>4</v>
      </c>
      <c r="D916" s="73" t="s">
        <v>788</v>
      </c>
      <c r="E916" s="74">
        <v>40371.351643518516</v>
      </c>
      <c r="F916" s="74"/>
      <c r="G916" s="75" t="str">
        <f>IF(stdProdLT(Main[[#This Row],[Comments]])=0.1,"N/A",IF(stdProdLT(Main[[#This Row],[Comments]])=0,"",stdProdLT(Main[[#This Row],[Comments]])))</f>
        <v/>
      </c>
      <c r="H916" s="76" t="str">
        <f>IF(AND(Main[[#This Row],[In Stock Date]]&lt;&gt;"",Main[[#This Row],[Revised Due Date]]&lt;&gt;""),Main[[#This Row],[In Stock Date]]-Main[[#This Row],[Revised Due Date]],"")</f>
        <v/>
      </c>
      <c r="I916" s="72" t="s">
        <v>4</v>
      </c>
      <c r="J916" s="72" t="s">
        <v>4</v>
      </c>
      <c r="K916" s="72" t="s">
        <v>4</v>
      </c>
      <c r="L916" s="74"/>
      <c r="M916" s="77" t="str">
        <f>IF(Main[[#This Row],[Tech Start Date]]&lt;1/1/1990,"",IF(Main[[#This Row],[Class]]="C",WORKDAY(Main[[#This Row],[Tech Start Date]],9),IF(Main[[#This Row],[Class]]="B", WORKDAY(Main[[#This Row],[Tech Start Date]],6),IF(Main[[#This Row],[Class]]="A",WORKDAY(Main[[#This Row],[Tech Start Date]],2),""))))</f>
        <v/>
      </c>
      <c r="N916" s="77" t="str">
        <f>IF(Main[[#This Row],[Tech Start Date]]&lt;1/1/1990,"",IF(Main[[#This Row],[Class]]="C",WORKDAY(Main[[#This Row],[Tech Start Date]],19),IF(Main[[#This Row],[Class]]="B", WORKDAY(Main[[#This Row],[Tech Start Date]],12),IF(Main[[#This Row],[Class]]="A",WORKDAY(Main[[#This Row],[Tech Start Date]],4),""))))</f>
        <v/>
      </c>
      <c r="O916" s="77" t="str">
        <f>IF(Main[[#This Row],[Tech Start Date]]&lt;1/1/1990,"",IF(Main[[#This Row],[Class]]="C",WORKDAY(Main[[#This Row],[Tech Start Date]],23),IF(Main[[#This Row],[Class]]="B", WORKDAY(Main[[#This Row],[Tech Start Date]],15),IF(Main[[#This Row],[Class]]="A",WORKDAY(Main[[#This Row],[Tech Start Date]],5),""))))</f>
        <v/>
      </c>
      <c r="P916" s="77" t="str">
        <f>IF(Main[[#This Row],[Tech Start Date]]&lt;1/1/1990,"",IF(Main[[#This Row],[Class]]="C",WORKDAY(Main[[#This Row],[Tech Start Date]],28),IF(Main[[#This Row],[Class]]="B", WORKDAY(Main[[#This Row],[Tech Start Date]],19),IF(Main[[#This Row],[Class]]="A",WORKDAY(Main[[#This Row],[Tech Start Date]],9),""))))</f>
        <v/>
      </c>
      <c r="Q916" s="74">
        <v>40385</v>
      </c>
      <c r="R916" s="74"/>
      <c r="S916" s="72" t="s">
        <v>6</v>
      </c>
      <c r="T916" s="80" t="s">
        <v>4</v>
      </c>
      <c r="U916" s="72" t="s">
        <v>7</v>
      </c>
      <c r="V916" s="72" t="s">
        <v>1917</v>
      </c>
      <c r="W916" s="72" t="s">
        <v>1919</v>
      </c>
      <c r="X916" s="72" t="s">
        <v>102</v>
      </c>
      <c r="Y916" s="72" t="s">
        <v>3038</v>
      </c>
      <c r="Z916" s="72" t="s">
        <v>4</v>
      </c>
      <c r="AA916" s="146" t="s">
        <v>3408</v>
      </c>
    </row>
    <row r="917" spans="1:27" ht="18.600000000000001" customHeight="1">
      <c r="A917" s="139" t="str">
        <f>IF(priority(Main[[#This Row],[Comments]])&lt;&gt;0, priority(Main[[#This Row],[Comments]]),"")</f>
        <v/>
      </c>
      <c r="B917" s="89" t="s">
        <v>1759</v>
      </c>
      <c r="C917" s="72" t="s">
        <v>4</v>
      </c>
      <c r="D917" s="73" t="s">
        <v>796</v>
      </c>
      <c r="E917" s="74"/>
      <c r="F917" s="74"/>
      <c r="G917" s="75" t="str">
        <f>IF(stdProdLT(Main[[#This Row],[Comments]])=0.1,"N/A",IF(stdProdLT(Main[[#This Row],[Comments]])=0,"",stdProdLT(Main[[#This Row],[Comments]])))</f>
        <v/>
      </c>
      <c r="H917" s="76" t="str">
        <f>IF(AND(Main[[#This Row],[In Stock Date]]&lt;&gt;"",Main[[#This Row],[Revised Due Date]]&lt;&gt;""),Main[[#This Row],[In Stock Date]]-Main[[#This Row],[Revised Due Date]],"")</f>
        <v/>
      </c>
      <c r="I917" s="72" t="s">
        <v>4</v>
      </c>
      <c r="J917" s="72" t="s">
        <v>4</v>
      </c>
      <c r="K917" s="72" t="s">
        <v>4</v>
      </c>
      <c r="L917" s="74"/>
      <c r="M917" s="77" t="str">
        <f>IF(Main[[#This Row],[Tech Start Date]]&lt;1/1/1990,"",IF(Main[[#This Row],[Class]]="C",WORKDAY(Main[[#This Row],[Tech Start Date]],9),IF(Main[[#This Row],[Class]]="B", WORKDAY(Main[[#This Row],[Tech Start Date]],6),IF(Main[[#This Row],[Class]]="A",WORKDAY(Main[[#This Row],[Tech Start Date]],2),""))))</f>
        <v/>
      </c>
      <c r="N917" s="77" t="str">
        <f>IF(Main[[#This Row],[Tech Start Date]]&lt;1/1/1990,"",IF(Main[[#This Row],[Class]]="C",WORKDAY(Main[[#This Row],[Tech Start Date]],19),IF(Main[[#This Row],[Class]]="B", WORKDAY(Main[[#This Row],[Tech Start Date]],12),IF(Main[[#This Row],[Class]]="A",WORKDAY(Main[[#This Row],[Tech Start Date]],4),""))))</f>
        <v/>
      </c>
      <c r="O917" s="77" t="str">
        <f>IF(Main[[#This Row],[Tech Start Date]]&lt;1/1/1990,"",IF(Main[[#This Row],[Class]]="C",WORKDAY(Main[[#This Row],[Tech Start Date]],23),IF(Main[[#This Row],[Class]]="B", WORKDAY(Main[[#This Row],[Tech Start Date]],15),IF(Main[[#This Row],[Class]]="A",WORKDAY(Main[[#This Row],[Tech Start Date]],5),""))))</f>
        <v/>
      </c>
      <c r="P917" s="77" t="str">
        <f>IF(Main[[#This Row],[Tech Start Date]]&lt;1/1/1990,"",IF(Main[[#This Row],[Class]]="C",WORKDAY(Main[[#This Row],[Tech Start Date]],28),IF(Main[[#This Row],[Class]]="B", WORKDAY(Main[[#This Row],[Tech Start Date]],19),IF(Main[[#This Row],[Class]]="A",WORKDAY(Main[[#This Row],[Tech Start Date]],9),""))))</f>
        <v/>
      </c>
      <c r="Q917" s="74"/>
      <c r="R917" s="74"/>
      <c r="S917" s="72" t="s">
        <v>23</v>
      </c>
      <c r="T917" s="80" t="s">
        <v>4</v>
      </c>
      <c r="U917" s="72" t="s">
        <v>14</v>
      </c>
      <c r="V917" s="72" t="s">
        <v>1920</v>
      </c>
      <c r="W917" s="72" t="s">
        <v>1921</v>
      </c>
      <c r="X917" s="72" t="s">
        <v>306</v>
      </c>
      <c r="Y917" s="72" t="s">
        <v>4</v>
      </c>
      <c r="Z917" s="72" t="s">
        <v>4</v>
      </c>
      <c r="AA917" s="146" t="s">
        <v>4</v>
      </c>
    </row>
    <row r="918" spans="1:27" ht="18.600000000000001" customHeight="1">
      <c r="A918" s="139" t="str">
        <f>IF(priority(Main[[#This Row],[Comments]])&lt;&gt;0, priority(Main[[#This Row],[Comments]]),"")</f>
        <v/>
      </c>
      <c r="B918" s="89" t="s">
        <v>1760</v>
      </c>
      <c r="C918" s="72" t="s">
        <v>122</v>
      </c>
      <c r="D918" s="73" t="s">
        <v>797</v>
      </c>
      <c r="E918" s="74"/>
      <c r="F918" s="74"/>
      <c r="G918" s="75" t="str">
        <f>IF(stdProdLT(Main[[#This Row],[Comments]])=0.1,"N/A",IF(stdProdLT(Main[[#This Row],[Comments]])=0,"",stdProdLT(Main[[#This Row],[Comments]])))</f>
        <v/>
      </c>
      <c r="H918" s="76" t="str">
        <f>IF(AND(Main[[#This Row],[In Stock Date]]&lt;&gt;"",Main[[#This Row],[Revised Due Date]]&lt;&gt;""),Main[[#This Row],[In Stock Date]]-Main[[#This Row],[Revised Due Date]],"")</f>
        <v/>
      </c>
      <c r="I918" s="72" t="s">
        <v>4</v>
      </c>
      <c r="J918" s="72" t="s">
        <v>4</v>
      </c>
      <c r="K918" s="72" t="s">
        <v>4</v>
      </c>
      <c r="L918" s="74"/>
      <c r="M918" s="77" t="str">
        <f>IF(Main[[#This Row],[Tech Start Date]]&lt;1/1/1990,"",IF(Main[[#This Row],[Class]]="C",WORKDAY(Main[[#This Row],[Tech Start Date]],9),IF(Main[[#This Row],[Class]]="B", WORKDAY(Main[[#This Row],[Tech Start Date]],6),IF(Main[[#This Row],[Class]]="A",WORKDAY(Main[[#This Row],[Tech Start Date]],2),""))))</f>
        <v/>
      </c>
      <c r="N918" s="77" t="str">
        <f>IF(Main[[#This Row],[Tech Start Date]]&lt;1/1/1990,"",IF(Main[[#This Row],[Class]]="C",WORKDAY(Main[[#This Row],[Tech Start Date]],19),IF(Main[[#This Row],[Class]]="B", WORKDAY(Main[[#This Row],[Tech Start Date]],12),IF(Main[[#This Row],[Class]]="A",WORKDAY(Main[[#This Row],[Tech Start Date]],4),""))))</f>
        <v/>
      </c>
      <c r="O918" s="77" t="str">
        <f>IF(Main[[#This Row],[Tech Start Date]]&lt;1/1/1990,"",IF(Main[[#This Row],[Class]]="C",WORKDAY(Main[[#This Row],[Tech Start Date]],23),IF(Main[[#This Row],[Class]]="B", WORKDAY(Main[[#This Row],[Tech Start Date]],15),IF(Main[[#This Row],[Class]]="A",WORKDAY(Main[[#This Row],[Tech Start Date]],5),""))))</f>
        <v/>
      </c>
      <c r="P918" s="77" t="str">
        <f>IF(Main[[#This Row],[Tech Start Date]]&lt;1/1/1990,"",IF(Main[[#This Row],[Class]]="C",WORKDAY(Main[[#This Row],[Tech Start Date]],28),IF(Main[[#This Row],[Class]]="B", WORKDAY(Main[[#This Row],[Tech Start Date]],19),IF(Main[[#This Row],[Class]]="A",WORKDAY(Main[[#This Row],[Tech Start Date]],9),""))))</f>
        <v/>
      </c>
      <c r="Q918" s="74">
        <v>40245</v>
      </c>
      <c r="R918" s="74"/>
      <c r="S918" s="72" t="s">
        <v>11</v>
      </c>
      <c r="T918" s="80" t="s">
        <v>4</v>
      </c>
      <c r="U918" s="72" t="s">
        <v>14</v>
      </c>
      <c r="V918" s="72" t="s">
        <v>1920</v>
      </c>
      <c r="W918" s="72" t="s">
        <v>1919</v>
      </c>
      <c r="X918" s="72" t="s">
        <v>2878</v>
      </c>
      <c r="Y918" s="72" t="s">
        <v>4</v>
      </c>
      <c r="Z918" s="72" t="s">
        <v>4</v>
      </c>
      <c r="AA918" s="146" t="s">
        <v>2878</v>
      </c>
    </row>
    <row r="919" spans="1:27" ht="18.600000000000001" customHeight="1">
      <c r="A919" s="139" t="str">
        <f>IF(priority(Main[[#This Row],[Comments]])&lt;&gt;0, priority(Main[[#This Row],[Comments]]),"")</f>
        <v/>
      </c>
      <c r="B919" s="89" t="s">
        <v>1736</v>
      </c>
      <c r="C919" s="72" t="s">
        <v>4</v>
      </c>
      <c r="D919" s="73" t="s">
        <v>789</v>
      </c>
      <c r="E919" s="74"/>
      <c r="F919" s="74"/>
      <c r="G919" s="75" t="str">
        <f>IF(stdProdLT(Main[[#This Row],[Comments]])=0.1,"N/A",IF(stdProdLT(Main[[#This Row],[Comments]])=0,"",stdProdLT(Main[[#This Row],[Comments]])))</f>
        <v/>
      </c>
      <c r="H919" s="76" t="str">
        <f>IF(AND(Main[[#This Row],[In Stock Date]]&lt;&gt;"",Main[[#This Row],[Revised Due Date]]&lt;&gt;""),Main[[#This Row],[In Stock Date]]-Main[[#This Row],[Revised Due Date]],"")</f>
        <v/>
      </c>
      <c r="I919" s="72" t="s">
        <v>4</v>
      </c>
      <c r="J919" s="72" t="s">
        <v>28</v>
      </c>
      <c r="K919" s="72" t="s">
        <v>4</v>
      </c>
      <c r="L919" s="74"/>
      <c r="M919" s="77" t="str">
        <f>IF(Main[[#This Row],[Tech Start Date]]&lt;1/1/1990,"",IF(Main[[#This Row],[Class]]="C",WORKDAY(Main[[#This Row],[Tech Start Date]],9),IF(Main[[#This Row],[Class]]="B", WORKDAY(Main[[#This Row],[Tech Start Date]],6),IF(Main[[#This Row],[Class]]="A",WORKDAY(Main[[#This Row],[Tech Start Date]],2),""))))</f>
        <v/>
      </c>
      <c r="N919" s="77" t="str">
        <f>IF(Main[[#This Row],[Tech Start Date]]&lt;1/1/1990,"",IF(Main[[#This Row],[Class]]="C",WORKDAY(Main[[#This Row],[Tech Start Date]],19),IF(Main[[#This Row],[Class]]="B", WORKDAY(Main[[#This Row],[Tech Start Date]],12),IF(Main[[#This Row],[Class]]="A",WORKDAY(Main[[#This Row],[Tech Start Date]],4),""))))</f>
        <v/>
      </c>
      <c r="O919" s="77" t="str">
        <f>IF(Main[[#This Row],[Tech Start Date]]&lt;1/1/1990,"",IF(Main[[#This Row],[Class]]="C",WORKDAY(Main[[#This Row],[Tech Start Date]],23),IF(Main[[#This Row],[Class]]="B", WORKDAY(Main[[#This Row],[Tech Start Date]],15),IF(Main[[#This Row],[Class]]="A",WORKDAY(Main[[#This Row],[Tech Start Date]],5),""))))</f>
        <v/>
      </c>
      <c r="P919" s="77" t="str">
        <f>IF(Main[[#This Row],[Tech Start Date]]&lt;1/1/1990,"",IF(Main[[#This Row],[Class]]="C",WORKDAY(Main[[#This Row],[Tech Start Date]],28),IF(Main[[#This Row],[Class]]="B", WORKDAY(Main[[#This Row],[Tech Start Date]],19),IF(Main[[#This Row],[Class]]="A",WORKDAY(Main[[#This Row],[Tech Start Date]],9),""))))</f>
        <v/>
      </c>
      <c r="Q919" s="74">
        <v>40466</v>
      </c>
      <c r="R919" s="74"/>
      <c r="S919" s="72" t="s">
        <v>6</v>
      </c>
      <c r="T919" s="80" t="s">
        <v>4</v>
      </c>
      <c r="U919" s="72" t="s">
        <v>14</v>
      </c>
      <c r="V919" s="72" t="s">
        <v>1917</v>
      </c>
      <c r="W919" s="72" t="s">
        <v>1921</v>
      </c>
      <c r="X919" s="72" t="s">
        <v>909</v>
      </c>
      <c r="Y919" s="72" t="s">
        <v>3023</v>
      </c>
      <c r="Z919" s="72" t="s">
        <v>129</v>
      </c>
      <c r="AA919" s="146" t="s">
        <v>909</v>
      </c>
    </row>
    <row r="920" spans="1:27" ht="18.600000000000001" customHeight="1">
      <c r="A920" s="139" t="str">
        <f>IF(priority(Main[[#This Row],[Comments]])&lt;&gt;0, priority(Main[[#This Row],[Comments]]),"")</f>
        <v/>
      </c>
      <c r="B920" s="89" t="s">
        <v>3344</v>
      </c>
      <c r="C920" s="72" t="s">
        <v>4</v>
      </c>
      <c r="D920" s="73" t="s">
        <v>3631</v>
      </c>
      <c r="E920" s="74">
        <v>40938.727824074071</v>
      </c>
      <c r="F920" s="74"/>
      <c r="G920" s="75" t="str">
        <f>IF(stdProdLT(Main[[#This Row],[Comments]])=0.1,"N/A",IF(stdProdLT(Main[[#This Row],[Comments]])=0,"",stdProdLT(Main[[#This Row],[Comments]])))</f>
        <v/>
      </c>
      <c r="H920" s="76" t="str">
        <f>IF(AND(Main[[#This Row],[In Stock Date]]&lt;&gt;"",Main[[#This Row],[Revised Due Date]]&lt;&gt;""),Main[[#This Row],[In Stock Date]]-Main[[#This Row],[Revised Due Date]],"")</f>
        <v/>
      </c>
      <c r="I920" s="72" t="s">
        <v>81</v>
      </c>
      <c r="J920" s="72" t="s">
        <v>52</v>
      </c>
      <c r="K920" s="72" t="s">
        <v>1926</v>
      </c>
      <c r="L920" s="74"/>
      <c r="M920" s="77" t="str">
        <f>IF(Main[[#This Row],[Tech Start Date]]&lt;1/1/1990,"",IF(Main[[#This Row],[Class]]="C",WORKDAY(Main[[#This Row],[Tech Start Date]],9),IF(Main[[#This Row],[Class]]="B", WORKDAY(Main[[#This Row],[Tech Start Date]],6),IF(Main[[#This Row],[Class]]="A",WORKDAY(Main[[#This Row],[Tech Start Date]],2),""))))</f>
        <v/>
      </c>
      <c r="N920" s="77" t="str">
        <f>IF(Main[[#This Row],[Tech Start Date]]&lt;1/1/1990,"",IF(Main[[#This Row],[Class]]="C",WORKDAY(Main[[#This Row],[Tech Start Date]],19),IF(Main[[#This Row],[Class]]="B", WORKDAY(Main[[#This Row],[Tech Start Date]],12),IF(Main[[#This Row],[Class]]="A",WORKDAY(Main[[#This Row],[Tech Start Date]],4),""))))</f>
        <v/>
      </c>
      <c r="O920" s="77" t="str">
        <f>IF(Main[[#This Row],[Tech Start Date]]&lt;1/1/1990,"",IF(Main[[#This Row],[Class]]="C",WORKDAY(Main[[#This Row],[Tech Start Date]],23),IF(Main[[#This Row],[Class]]="B", WORKDAY(Main[[#This Row],[Tech Start Date]],15),IF(Main[[#This Row],[Class]]="A",WORKDAY(Main[[#This Row],[Tech Start Date]],5),""))))</f>
        <v/>
      </c>
      <c r="P920" s="77" t="str">
        <f>IF(Main[[#This Row],[Tech Start Date]]&lt;1/1/1990,"",IF(Main[[#This Row],[Class]]="C",WORKDAY(Main[[#This Row],[Tech Start Date]],28),IF(Main[[#This Row],[Class]]="B", WORKDAY(Main[[#This Row],[Tech Start Date]],19),IF(Main[[#This Row],[Class]]="A",WORKDAY(Main[[#This Row],[Tech Start Date]],9),""))))</f>
        <v/>
      </c>
      <c r="Q920" s="74">
        <v>40970</v>
      </c>
      <c r="R920" s="74"/>
      <c r="S920" s="72" t="s">
        <v>6</v>
      </c>
      <c r="T920" s="80" t="s">
        <v>4</v>
      </c>
      <c r="U920" s="72" t="s">
        <v>29</v>
      </c>
      <c r="V920" s="72" t="s">
        <v>1920</v>
      </c>
      <c r="W920" s="72" t="s">
        <v>1921</v>
      </c>
      <c r="X920" s="72" t="s">
        <v>2825</v>
      </c>
      <c r="Y920" s="72" t="s">
        <v>2938</v>
      </c>
      <c r="Z920" s="72" t="s">
        <v>30</v>
      </c>
      <c r="AA920" s="146" t="s">
        <v>2825</v>
      </c>
    </row>
    <row r="921" spans="1:27" ht="18.600000000000001" customHeight="1">
      <c r="A921" s="139" t="str">
        <f>IF(priority(Main[[#This Row],[Comments]])&lt;&gt;0, priority(Main[[#This Row],[Comments]]),"")</f>
        <v/>
      </c>
      <c r="B921" s="89" t="s">
        <v>1739</v>
      </c>
      <c r="C921" s="72" t="s">
        <v>4</v>
      </c>
      <c r="D921" s="73" t="s">
        <v>430</v>
      </c>
      <c r="E921" s="74"/>
      <c r="F921" s="74"/>
      <c r="G921" s="75" t="str">
        <f>IF(stdProdLT(Main[[#This Row],[Comments]])=0.1,"N/A",IF(stdProdLT(Main[[#This Row],[Comments]])=0,"",stdProdLT(Main[[#This Row],[Comments]])))</f>
        <v/>
      </c>
      <c r="H921" s="76" t="str">
        <f>IF(AND(Main[[#This Row],[In Stock Date]]&lt;&gt;"",Main[[#This Row],[Revised Due Date]]&lt;&gt;""),Main[[#This Row],[In Stock Date]]-Main[[#This Row],[Revised Due Date]],"")</f>
        <v/>
      </c>
      <c r="I921" s="72" t="s">
        <v>4</v>
      </c>
      <c r="J921" s="72" t="s">
        <v>4</v>
      </c>
      <c r="K921" s="72" t="s">
        <v>4</v>
      </c>
      <c r="L921" s="74"/>
      <c r="M921" s="77" t="str">
        <f>IF(Main[[#This Row],[Tech Start Date]]&lt;1/1/1990,"",IF(Main[[#This Row],[Class]]="C",WORKDAY(Main[[#This Row],[Tech Start Date]],9),IF(Main[[#This Row],[Class]]="B", WORKDAY(Main[[#This Row],[Tech Start Date]],6),IF(Main[[#This Row],[Class]]="A",WORKDAY(Main[[#This Row],[Tech Start Date]],2),""))))</f>
        <v/>
      </c>
      <c r="N921" s="77" t="str">
        <f>IF(Main[[#This Row],[Tech Start Date]]&lt;1/1/1990,"",IF(Main[[#This Row],[Class]]="C",WORKDAY(Main[[#This Row],[Tech Start Date]],19),IF(Main[[#This Row],[Class]]="B", WORKDAY(Main[[#This Row],[Tech Start Date]],12),IF(Main[[#This Row],[Class]]="A",WORKDAY(Main[[#This Row],[Tech Start Date]],4),""))))</f>
        <v/>
      </c>
      <c r="O921" s="77" t="str">
        <f>IF(Main[[#This Row],[Tech Start Date]]&lt;1/1/1990,"",IF(Main[[#This Row],[Class]]="C",WORKDAY(Main[[#This Row],[Tech Start Date]],23),IF(Main[[#This Row],[Class]]="B", WORKDAY(Main[[#This Row],[Tech Start Date]],15),IF(Main[[#This Row],[Class]]="A",WORKDAY(Main[[#This Row],[Tech Start Date]],5),""))))</f>
        <v/>
      </c>
      <c r="P921" s="77" t="str">
        <f>IF(Main[[#This Row],[Tech Start Date]]&lt;1/1/1990,"",IF(Main[[#This Row],[Class]]="C",WORKDAY(Main[[#This Row],[Tech Start Date]],28),IF(Main[[#This Row],[Class]]="B", WORKDAY(Main[[#This Row],[Tech Start Date]],19),IF(Main[[#This Row],[Class]]="A",WORKDAY(Main[[#This Row],[Tech Start Date]],9),""))))</f>
        <v/>
      </c>
      <c r="Q921" s="74"/>
      <c r="R921" s="74"/>
      <c r="S921" s="72" t="s">
        <v>6</v>
      </c>
      <c r="T921" s="80" t="s">
        <v>4</v>
      </c>
      <c r="U921" s="72" t="s">
        <v>14</v>
      </c>
      <c r="V921" s="72" t="s">
        <v>1920</v>
      </c>
      <c r="W921" s="72" t="s">
        <v>1921</v>
      </c>
      <c r="X921" s="72" t="s">
        <v>30</v>
      </c>
      <c r="Y921" s="72" t="s">
        <v>2963</v>
      </c>
      <c r="Z921" s="72" t="s">
        <v>4</v>
      </c>
      <c r="AA921" s="146" t="s">
        <v>30</v>
      </c>
    </row>
    <row r="922" spans="1:27" ht="18.600000000000001" customHeight="1">
      <c r="A922" s="139" t="str">
        <f>IF(priority(Main[[#This Row],[Comments]])&lt;&gt;0, priority(Main[[#This Row],[Comments]]),"")</f>
        <v/>
      </c>
      <c r="B922" s="89" t="s">
        <v>1740</v>
      </c>
      <c r="C922" s="72" t="s">
        <v>436</v>
      </c>
      <c r="D922" s="73" t="s">
        <v>791</v>
      </c>
      <c r="E922" s="74"/>
      <c r="F922" s="74"/>
      <c r="G922" s="75" t="str">
        <f>IF(stdProdLT(Main[[#This Row],[Comments]])=0.1,"N/A",IF(stdProdLT(Main[[#This Row],[Comments]])=0,"",stdProdLT(Main[[#This Row],[Comments]])))</f>
        <v/>
      </c>
      <c r="H922" s="76" t="str">
        <f>IF(AND(Main[[#This Row],[In Stock Date]]&lt;&gt;"",Main[[#This Row],[Revised Due Date]]&lt;&gt;""),Main[[#This Row],[In Stock Date]]-Main[[#This Row],[Revised Due Date]],"")</f>
        <v/>
      </c>
      <c r="I922" s="72" t="s">
        <v>4</v>
      </c>
      <c r="J922" s="72" t="s">
        <v>4</v>
      </c>
      <c r="K922" s="72" t="s">
        <v>4</v>
      </c>
      <c r="L922" s="74"/>
      <c r="M922" s="77" t="str">
        <f>IF(Main[[#This Row],[Tech Start Date]]&lt;1/1/1990,"",IF(Main[[#This Row],[Class]]="C",WORKDAY(Main[[#This Row],[Tech Start Date]],9),IF(Main[[#This Row],[Class]]="B", WORKDAY(Main[[#This Row],[Tech Start Date]],6),IF(Main[[#This Row],[Class]]="A",WORKDAY(Main[[#This Row],[Tech Start Date]],2),""))))</f>
        <v/>
      </c>
      <c r="N922" s="77" t="str">
        <f>IF(Main[[#This Row],[Tech Start Date]]&lt;1/1/1990,"",IF(Main[[#This Row],[Class]]="C",WORKDAY(Main[[#This Row],[Tech Start Date]],19),IF(Main[[#This Row],[Class]]="B", WORKDAY(Main[[#This Row],[Tech Start Date]],12),IF(Main[[#This Row],[Class]]="A",WORKDAY(Main[[#This Row],[Tech Start Date]],4),""))))</f>
        <v/>
      </c>
      <c r="O922" s="77" t="str">
        <f>IF(Main[[#This Row],[Tech Start Date]]&lt;1/1/1990,"",IF(Main[[#This Row],[Class]]="C",WORKDAY(Main[[#This Row],[Tech Start Date]],23),IF(Main[[#This Row],[Class]]="B", WORKDAY(Main[[#This Row],[Tech Start Date]],15),IF(Main[[#This Row],[Class]]="A",WORKDAY(Main[[#This Row],[Tech Start Date]],5),""))))</f>
        <v/>
      </c>
      <c r="P922" s="77" t="str">
        <f>IF(Main[[#This Row],[Tech Start Date]]&lt;1/1/1990,"",IF(Main[[#This Row],[Class]]="C",WORKDAY(Main[[#This Row],[Tech Start Date]],28),IF(Main[[#This Row],[Class]]="B", WORKDAY(Main[[#This Row],[Tech Start Date]],19),IF(Main[[#This Row],[Class]]="A",WORKDAY(Main[[#This Row],[Tech Start Date]],9),""))))</f>
        <v/>
      </c>
      <c r="Q922" s="74"/>
      <c r="R922" s="74"/>
      <c r="S922" s="72" t="s">
        <v>11</v>
      </c>
      <c r="T922" s="80" t="s">
        <v>4</v>
      </c>
      <c r="U922" s="72" t="s">
        <v>14</v>
      </c>
      <c r="V922" s="72" t="s">
        <v>1917</v>
      </c>
      <c r="W922" s="72" t="s">
        <v>1925</v>
      </c>
      <c r="X922" s="72" t="s">
        <v>2859</v>
      </c>
      <c r="Y922" s="72" t="s">
        <v>2997</v>
      </c>
      <c r="Z922" s="72" t="s">
        <v>4</v>
      </c>
      <c r="AA922" s="146" t="s">
        <v>2859</v>
      </c>
    </row>
    <row r="923" spans="1:27" ht="18.600000000000001" customHeight="1">
      <c r="A923" s="139" t="str">
        <f>IF(priority(Main[[#This Row],[Comments]])&lt;&gt;0, priority(Main[[#This Row],[Comments]]),"")</f>
        <v/>
      </c>
      <c r="B923" s="89" t="s">
        <v>1741</v>
      </c>
      <c r="C923" s="72" t="s">
        <v>4</v>
      </c>
      <c r="D923" s="73" t="s">
        <v>792</v>
      </c>
      <c r="E923" s="74">
        <v>40479.428263888891</v>
      </c>
      <c r="F923" s="74"/>
      <c r="G923" s="75" t="str">
        <f>IF(stdProdLT(Main[[#This Row],[Comments]])=0.1,"N/A",IF(stdProdLT(Main[[#This Row],[Comments]])=0,"",stdProdLT(Main[[#This Row],[Comments]])))</f>
        <v/>
      </c>
      <c r="H923" s="76" t="str">
        <f>IF(AND(Main[[#This Row],[In Stock Date]]&lt;&gt;"",Main[[#This Row],[Revised Due Date]]&lt;&gt;""),Main[[#This Row],[In Stock Date]]-Main[[#This Row],[Revised Due Date]],"")</f>
        <v/>
      </c>
      <c r="I923" s="72" t="s">
        <v>30</v>
      </c>
      <c r="J923" s="72" t="s">
        <v>28</v>
      </c>
      <c r="K923" s="72" t="s">
        <v>1926</v>
      </c>
      <c r="L923" s="74"/>
      <c r="M923" s="77" t="str">
        <f>IF(Main[[#This Row],[Tech Start Date]]&lt;1/1/1990,"",IF(Main[[#This Row],[Class]]="C",WORKDAY(Main[[#This Row],[Tech Start Date]],9),IF(Main[[#This Row],[Class]]="B", WORKDAY(Main[[#This Row],[Tech Start Date]],6),IF(Main[[#This Row],[Class]]="A",WORKDAY(Main[[#This Row],[Tech Start Date]],2),""))))</f>
        <v/>
      </c>
      <c r="N923" s="77" t="str">
        <f>IF(Main[[#This Row],[Tech Start Date]]&lt;1/1/1990,"",IF(Main[[#This Row],[Class]]="C",WORKDAY(Main[[#This Row],[Tech Start Date]],19),IF(Main[[#This Row],[Class]]="B", WORKDAY(Main[[#This Row],[Tech Start Date]],12),IF(Main[[#This Row],[Class]]="A",WORKDAY(Main[[#This Row],[Tech Start Date]],4),""))))</f>
        <v/>
      </c>
      <c r="O923" s="77" t="str">
        <f>IF(Main[[#This Row],[Tech Start Date]]&lt;1/1/1990,"",IF(Main[[#This Row],[Class]]="C",WORKDAY(Main[[#This Row],[Tech Start Date]],23),IF(Main[[#This Row],[Class]]="B", WORKDAY(Main[[#This Row],[Tech Start Date]],15),IF(Main[[#This Row],[Class]]="A",WORKDAY(Main[[#This Row],[Tech Start Date]],5),""))))</f>
        <v/>
      </c>
      <c r="P923" s="77" t="str">
        <f>IF(Main[[#This Row],[Tech Start Date]]&lt;1/1/1990,"",IF(Main[[#This Row],[Class]]="C",WORKDAY(Main[[#This Row],[Tech Start Date]],28),IF(Main[[#This Row],[Class]]="B", WORKDAY(Main[[#This Row],[Tech Start Date]],19),IF(Main[[#This Row],[Class]]="A",WORKDAY(Main[[#This Row],[Tech Start Date]],9),""))))</f>
        <v/>
      </c>
      <c r="Q923" s="74">
        <v>40512</v>
      </c>
      <c r="R923" s="74"/>
      <c r="S923" s="72" t="s">
        <v>6</v>
      </c>
      <c r="T923" s="80" t="s">
        <v>4</v>
      </c>
      <c r="U923" s="72" t="s">
        <v>534</v>
      </c>
      <c r="V923" s="72" t="s">
        <v>1920</v>
      </c>
      <c r="W923" s="72" t="s">
        <v>1921</v>
      </c>
      <c r="X923" s="72" t="s">
        <v>2897</v>
      </c>
      <c r="Y923" s="72" t="s">
        <v>3108</v>
      </c>
      <c r="Z923" s="72" t="s">
        <v>30</v>
      </c>
      <c r="AA923" s="146" t="s">
        <v>2897</v>
      </c>
    </row>
    <row r="924" spans="1:27" ht="18.600000000000001" customHeight="1">
      <c r="A924" s="139" t="str">
        <f>IF(priority(Main[[#This Row],[Comments]])&lt;&gt;0, priority(Main[[#This Row],[Comments]]),"")</f>
        <v/>
      </c>
      <c r="B924" s="89" t="s">
        <v>1742</v>
      </c>
      <c r="C924" s="72" t="s">
        <v>4</v>
      </c>
      <c r="D924" s="73" t="s">
        <v>39</v>
      </c>
      <c r="E924" s="74"/>
      <c r="F924" s="74"/>
      <c r="G924" s="75" t="str">
        <f>IF(stdProdLT(Main[[#This Row],[Comments]])=0.1,"N/A",IF(stdProdLT(Main[[#This Row],[Comments]])=0,"",stdProdLT(Main[[#This Row],[Comments]])))</f>
        <v/>
      </c>
      <c r="H924" s="76" t="str">
        <f>IF(AND(Main[[#This Row],[In Stock Date]]&lt;&gt;"",Main[[#This Row],[Revised Due Date]]&lt;&gt;""),Main[[#This Row],[In Stock Date]]-Main[[#This Row],[Revised Due Date]],"")</f>
        <v/>
      </c>
      <c r="I924" s="72" t="s">
        <v>4</v>
      </c>
      <c r="J924" s="72" t="s">
        <v>4</v>
      </c>
      <c r="K924" s="72" t="s">
        <v>4</v>
      </c>
      <c r="L924" s="74"/>
      <c r="M924" s="77" t="str">
        <f>IF(Main[[#This Row],[Tech Start Date]]&lt;1/1/1990,"",IF(Main[[#This Row],[Class]]="C",WORKDAY(Main[[#This Row],[Tech Start Date]],9),IF(Main[[#This Row],[Class]]="B", WORKDAY(Main[[#This Row],[Tech Start Date]],6),IF(Main[[#This Row],[Class]]="A",WORKDAY(Main[[#This Row],[Tech Start Date]],2),""))))</f>
        <v/>
      </c>
      <c r="N924" s="77" t="str">
        <f>IF(Main[[#This Row],[Tech Start Date]]&lt;1/1/1990,"",IF(Main[[#This Row],[Class]]="C",WORKDAY(Main[[#This Row],[Tech Start Date]],19),IF(Main[[#This Row],[Class]]="B", WORKDAY(Main[[#This Row],[Tech Start Date]],12),IF(Main[[#This Row],[Class]]="A",WORKDAY(Main[[#This Row],[Tech Start Date]],4),""))))</f>
        <v/>
      </c>
      <c r="O924" s="77" t="str">
        <f>IF(Main[[#This Row],[Tech Start Date]]&lt;1/1/1990,"",IF(Main[[#This Row],[Class]]="C",WORKDAY(Main[[#This Row],[Tech Start Date]],23),IF(Main[[#This Row],[Class]]="B", WORKDAY(Main[[#This Row],[Tech Start Date]],15),IF(Main[[#This Row],[Class]]="A",WORKDAY(Main[[#This Row],[Tech Start Date]],5),""))))</f>
        <v/>
      </c>
      <c r="P924" s="77" t="str">
        <f>IF(Main[[#This Row],[Tech Start Date]]&lt;1/1/1990,"",IF(Main[[#This Row],[Class]]="C",WORKDAY(Main[[#This Row],[Tech Start Date]],28),IF(Main[[#This Row],[Class]]="B", WORKDAY(Main[[#This Row],[Tech Start Date]],19),IF(Main[[#This Row],[Class]]="A",WORKDAY(Main[[#This Row],[Tech Start Date]],9),""))))</f>
        <v/>
      </c>
      <c r="Q924" s="74">
        <v>40669</v>
      </c>
      <c r="R924" s="74"/>
      <c r="S924" s="72" t="s">
        <v>6</v>
      </c>
      <c r="T924" s="80" t="s">
        <v>4</v>
      </c>
      <c r="U924" s="72" t="s">
        <v>14</v>
      </c>
      <c r="V924" s="72" t="s">
        <v>1920</v>
      </c>
      <c r="W924" s="72" t="s">
        <v>4</v>
      </c>
      <c r="X924" s="72" t="s">
        <v>2824</v>
      </c>
      <c r="Y924" s="72" t="s">
        <v>2935</v>
      </c>
      <c r="Z924" s="72" t="s">
        <v>4</v>
      </c>
      <c r="AA924" s="146" t="s">
        <v>2824</v>
      </c>
    </row>
    <row r="925" spans="1:27" ht="18.600000000000001" customHeight="1">
      <c r="A925" s="139" t="str">
        <f>IF(priority(Main[[#This Row],[Comments]])&lt;&gt;0, priority(Main[[#This Row],[Comments]]),"")</f>
        <v/>
      </c>
      <c r="B925" s="89" t="s">
        <v>1743</v>
      </c>
      <c r="C925" s="72" t="s">
        <v>4</v>
      </c>
      <c r="D925" s="73" t="s">
        <v>793</v>
      </c>
      <c r="E925" s="74"/>
      <c r="F925" s="74"/>
      <c r="G925" s="75" t="str">
        <f>IF(stdProdLT(Main[[#This Row],[Comments]])=0.1,"N/A",IF(stdProdLT(Main[[#This Row],[Comments]])=0,"",stdProdLT(Main[[#This Row],[Comments]])))</f>
        <v/>
      </c>
      <c r="H925" s="76" t="str">
        <f>IF(AND(Main[[#This Row],[In Stock Date]]&lt;&gt;"",Main[[#This Row],[Revised Due Date]]&lt;&gt;""),Main[[#This Row],[In Stock Date]]-Main[[#This Row],[Revised Due Date]],"")</f>
        <v/>
      </c>
      <c r="I925" s="72" t="s">
        <v>4</v>
      </c>
      <c r="J925" s="72" t="s">
        <v>4</v>
      </c>
      <c r="K925" s="72" t="s">
        <v>4</v>
      </c>
      <c r="L925" s="74"/>
      <c r="M925" s="77" t="str">
        <f>IF(Main[[#This Row],[Tech Start Date]]&lt;1/1/1990,"",IF(Main[[#This Row],[Class]]="C",WORKDAY(Main[[#This Row],[Tech Start Date]],9),IF(Main[[#This Row],[Class]]="B", WORKDAY(Main[[#This Row],[Tech Start Date]],6),IF(Main[[#This Row],[Class]]="A",WORKDAY(Main[[#This Row],[Tech Start Date]],2),""))))</f>
        <v/>
      </c>
      <c r="N925" s="77" t="str">
        <f>IF(Main[[#This Row],[Tech Start Date]]&lt;1/1/1990,"",IF(Main[[#This Row],[Class]]="C",WORKDAY(Main[[#This Row],[Tech Start Date]],19),IF(Main[[#This Row],[Class]]="B", WORKDAY(Main[[#This Row],[Tech Start Date]],12),IF(Main[[#This Row],[Class]]="A",WORKDAY(Main[[#This Row],[Tech Start Date]],4),""))))</f>
        <v/>
      </c>
      <c r="O925" s="77" t="str">
        <f>IF(Main[[#This Row],[Tech Start Date]]&lt;1/1/1990,"",IF(Main[[#This Row],[Class]]="C",WORKDAY(Main[[#This Row],[Tech Start Date]],23),IF(Main[[#This Row],[Class]]="B", WORKDAY(Main[[#This Row],[Tech Start Date]],15),IF(Main[[#This Row],[Class]]="A",WORKDAY(Main[[#This Row],[Tech Start Date]],5),""))))</f>
        <v/>
      </c>
      <c r="P925" s="77" t="str">
        <f>IF(Main[[#This Row],[Tech Start Date]]&lt;1/1/1990,"",IF(Main[[#This Row],[Class]]="C",WORKDAY(Main[[#This Row],[Tech Start Date]],28),IF(Main[[#This Row],[Class]]="B", WORKDAY(Main[[#This Row],[Tech Start Date]],19),IF(Main[[#This Row],[Class]]="A",WORKDAY(Main[[#This Row],[Tech Start Date]],9),""))))</f>
        <v/>
      </c>
      <c r="Q925" s="74"/>
      <c r="R925" s="74"/>
      <c r="S925" s="72" t="s">
        <v>17</v>
      </c>
      <c r="T925" s="80" t="s">
        <v>4</v>
      </c>
      <c r="U925" s="72" t="s">
        <v>14</v>
      </c>
      <c r="V925" s="72" t="s">
        <v>1920</v>
      </c>
      <c r="W925" s="72" t="s">
        <v>4</v>
      </c>
      <c r="X925" s="72" t="s">
        <v>306</v>
      </c>
      <c r="Y925" s="72" t="s">
        <v>4</v>
      </c>
      <c r="Z925" s="72" t="s">
        <v>4</v>
      </c>
      <c r="AA925" s="146" t="s">
        <v>654</v>
      </c>
    </row>
    <row r="926" spans="1:27" ht="18.600000000000001" customHeight="1">
      <c r="A926" s="139" t="str">
        <f>IF(priority(Main[[#This Row],[Comments]])&lt;&gt;0, priority(Main[[#This Row],[Comments]]),"")</f>
        <v/>
      </c>
      <c r="B926" s="89" t="s">
        <v>1490</v>
      </c>
      <c r="C926" s="72" t="s">
        <v>37</v>
      </c>
      <c r="D926" s="73" t="s">
        <v>2396</v>
      </c>
      <c r="E926" s="74">
        <v>40682.490115740744</v>
      </c>
      <c r="F926" s="74"/>
      <c r="G926" s="75" t="str">
        <f>IF(stdProdLT(Main[[#This Row],[Comments]])=0.1,"N/A",IF(stdProdLT(Main[[#This Row],[Comments]])=0,"",stdProdLT(Main[[#This Row],[Comments]])))</f>
        <v/>
      </c>
      <c r="H926" s="76" t="str">
        <f>IF(AND(Main[[#This Row],[In Stock Date]]&lt;&gt;"",Main[[#This Row],[Revised Due Date]]&lt;&gt;""),Main[[#This Row],[In Stock Date]]-Main[[#This Row],[Revised Due Date]],"")</f>
        <v/>
      </c>
      <c r="I926" s="72" t="s">
        <v>4</v>
      </c>
      <c r="J926" s="72" t="s">
        <v>4</v>
      </c>
      <c r="K926" s="72" t="s">
        <v>4</v>
      </c>
      <c r="L926" s="74"/>
      <c r="M926" s="77" t="str">
        <f>IF(Main[[#This Row],[Tech Start Date]]&lt;1/1/1990,"",IF(Main[[#This Row],[Class]]="C",WORKDAY(Main[[#This Row],[Tech Start Date]],9),IF(Main[[#This Row],[Class]]="B", WORKDAY(Main[[#This Row],[Tech Start Date]],6),IF(Main[[#This Row],[Class]]="A",WORKDAY(Main[[#This Row],[Tech Start Date]],2),""))))</f>
        <v/>
      </c>
      <c r="N926" s="77" t="str">
        <f>IF(Main[[#This Row],[Tech Start Date]]&lt;1/1/1990,"",IF(Main[[#This Row],[Class]]="C",WORKDAY(Main[[#This Row],[Tech Start Date]],19),IF(Main[[#This Row],[Class]]="B", WORKDAY(Main[[#This Row],[Tech Start Date]],12),IF(Main[[#This Row],[Class]]="A",WORKDAY(Main[[#This Row],[Tech Start Date]],4),""))))</f>
        <v/>
      </c>
      <c r="O926" s="77" t="str">
        <f>IF(Main[[#This Row],[Tech Start Date]]&lt;1/1/1990,"",IF(Main[[#This Row],[Class]]="C",WORKDAY(Main[[#This Row],[Tech Start Date]],23),IF(Main[[#This Row],[Class]]="B", WORKDAY(Main[[#This Row],[Tech Start Date]],15),IF(Main[[#This Row],[Class]]="A",WORKDAY(Main[[#This Row],[Tech Start Date]],5),""))))</f>
        <v/>
      </c>
      <c r="P926" s="77" t="str">
        <f>IF(Main[[#This Row],[Tech Start Date]]&lt;1/1/1990,"",IF(Main[[#This Row],[Class]]="C",WORKDAY(Main[[#This Row],[Tech Start Date]],28),IF(Main[[#This Row],[Class]]="B", WORKDAY(Main[[#This Row],[Tech Start Date]],19),IF(Main[[#This Row],[Class]]="A",WORKDAY(Main[[#This Row],[Tech Start Date]],9),""))))</f>
        <v/>
      </c>
      <c r="Q926" s="74">
        <v>40703</v>
      </c>
      <c r="R926" s="74"/>
      <c r="S926" s="72" t="s">
        <v>6</v>
      </c>
      <c r="T926" s="80" t="s">
        <v>4</v>
      </c>
      <c r="U926" s="72" t="s">
        <v>7</v>
      </c>
      <c r="V926" s="72" t="s">
        <v>1917</v>
      </c>
      <c r="W926" s="72" t="s">
        <v>1928</v>
      </c>
      <c r="X926" s="72" t="s">
        <v>972</v>
      </c>
      <c r="Y926" s="72" t="s">
        <v>3103</v>
      </c>
      <c r="Z926" s="72" t="s">
        <v>4</v>
      </c>
      <c r="AA926" s="146" t="s">
        <v>972</v>
      </c>
    </row>
    <row r="927" spans="1:27" ht="18.600000000000001" customHeight="1">
      <c r="A927" s="139" t="str">
        <f>IF(priority(Main[[#This Row],[Comments]])&lt;&gt;0, priority(Main[[#This Row],[Comments]]),"")</f>
        <v/>
      </c>
      <c r="B927" s="89" t="s">
        <v>1745</v>
      </c>
      <c r="C927" s="72" t="s">
        <v>4</v>
      </c>
      <c r="D927" s="73" t="s">
        <v>683</v>
      </c>
      <c r="E927" s="74"/>
      <c r="F927" s="74"/>
      <c r="G927" s="75" t="str">
        <f>IF(stdProdLT(Main[[#This Row],[Comments]])=0.1,"N/A",IF(stdProdLT(Main[[#This Row],[Comments]])=0,"",stdProdLT(Main[[#This Row],[Comments]])))</f>
        <v/>
      </c>
      <c r="H927" s="76" t="str">
        <f>IF(AND(Main[[#This Row],[In Stock Date]]&lt;&gt;"",Main[[#This Row],[Revised Due Date]]&lt;&gt;""),Main[[#This Row],[In Stock Date]]-Main[[#This Row],[Revised Due Date]],"")</f>
        <v/>
      </c>
      <c r="I927" s="72" t="s">
        <v>4</v>
      </c>
      <c r="J927" s="72" t="s">
        <v>4</v>
      </c>
      <c r="K927" s="72" t="s">
        <v>4</v>
      </c>
      <c r="L927" s="74"/>
      <c r="M927" s="77" t="str">
        <f>IF(Main[[#This Row],[Tech Start Date]]&lt;1/1/1990,"",IF(Main[[#This Row],[Class]]="C",WORKDAY(Main[[#This Row],[Tech Start Date]],9),IF(Main[[#This Row],[Class]]="B", WORKDAY(Main[[#This Row],[Tech Start Date]],6),IF(Main[[#This Row],[Class]]="A",WORKDAY(Main[[#This Row],[Tech Start Date]],2),""))))</f>
        <v/>
      </c>
      <c r="N927" s="77" t="str">
        <f>IF(Main[[#This Row],[Tech Start Date]]&lt;1/1/1990,"",IF(Main[[#This Row],[Class]]="C",WORKDAY(Main[[#This Row],[Tech Start Date]],19),IF(Main[[#This Row],[Class]]="B", WORKDAY(Main[[#This Row],[Tech Start Date]],12),IF(Main[[#This Row],[Class]]="A",WORKDAY(Main[[#This Row],[Tech Start Date]],4),""))))</f>
        <v/>
      </c>
      <c r="O927" s="77" t="str">
        <f>IF(Main[[#This Row],[Tech Start Date]]&lt;1/1/1990,"",IF(Main[[#This Row],[Class]]="C",WORKDAY(Main[[#This Row],[Tech Start Date]],23),IF(Main[[#This Row],[Class]]="B", WORKDAY(Main[[#This Row],[Tech Start Date]],15),IF(Main[[#This Row],[Class]]="A",WORKDAY(Main[[#This Row],[Tech Start Date]],5),""))))</f>
        <v/>
      </c>
      <c r="P927" s="77" t="str">
        <f>IF(Main[[#This Row],[Tech Start Date]]&lt;1/1/1990,"",IF(Main[[#This Row],[Class]]="C",WORKDAY(Main[[#This Row],[Tech Start Date]],28),IF(Main[[#This Row],[Class]]="B", WORKDAY(Main[[#This Row],[Tech Start Date]],19),IF(Main[[#This Row],[Class]]="A",WORKDAY(Main[[#This Row],[Tech Start Date]],9),""))))</f>
        <v/>
      </c>
      <c r="Q927" s="74"/>
      <c r="R927" s="74"/>
      <c r="S927" s="72" t="s">
        <v>23</v>
      </c>
      <c r="T927" s="80" t="s">
        <v>4</v>
      </c>
      <c r="U927" s="72" t="s">
        <v>14</v>
      </c>
      <c r="V927" s="72" t="s">
        <v>1920</v>
      </c>
      <c r="W927" s="72" t="s">
        <v>1921</v>
      </c>
      <c r="X927" s="72" t="s">
        <v>417</v>
      </c>
      <c r="Y927" s="72" t="s">
        <v>3109</v>
      </c>
      <c r="Z927" s="72" t="s">
        <v>4</v>
      </c>
      <c r="AA927" s="146" t="s">
        <v>3440</v>
      </c>
    </row>
    <row r="928" spans="1:27" ht="18.600000000000001" customHeight="1">
      <c r="A928" s="139" t="str">
        <f>IF(priority(Main[[#This Row],[Comments]])&lt;&gt;0, priority(Main[[#This Row],[Comments]]),"")</f>
        <v/>
      </c>
      <c r="B928" s="89" t="s">
        <v>1857</v>
      </c>
      <c r="C928" s="72" t="s">
        <v>47</v>
      </c>
      <c r="D928" s="73" t="s">
        <v>912</v>
      </c>
      <c r="E928" s="74">
        <v>39937.598483796297</v>
      </c>
      <c r="F928" s="74"/>
      <c r="G928" s="75" t="str">
        <f>IF(stdProdLT(Main[[#This Row],[Comments]])=0.1,"N/A",IF(stdProdLT(Main[[#This Row],[Comments]])=0,"",stdProdLT(Main[[#This Row],[Comments]])))</f>
        <v/>
      </c>
      <c r="H928" s="76" t="str">
        <f>IF(AND(Main[[#This Row],[In Stock Date]]&lt;&gt;"",Main[[#This Row],[Revised Due Date]]&lt;&gt;""),Main[[#This Row],[In Stock Date]]-Main[[#This Row],[Revised Due Date]],"")</f>
        <v/>
      </c>
      <c r="I928" s="72" t="s">
        <v>900</v>
      </c>
      <c r="J928" s="72" t="s">
        <v>4</v>
      </c>
      <c r="K928" s="72" t="s">
        <v>1929</v>
      </c>
      <c r="L928" s="74"/>
      <c r="M928" s="77" t="str">
        <f>IF(Main[[#This Row],[Tech Start Date]]&lt;1/1/1990,"",IF(Main[[#This Row],[Class]]="C",WORKDAY(Main[[#This Row],[Tech Start Date]],9),IF(Main[[#This Row],[Class]]="B", WORKDAY(Main[[#This Row],[Tech Start Date]],6),IF(Main[[#This Row],[Class]]="A",WORKDAY(Main[[#This Row],[Tech Start Date]],2),""))))</f>
        <v/>
      </c>
      <c r="N928" s="77" t="str">
        <f>IF(Main[[#This Row],[Tech Start Date]]&lt;1/1/1990,"",IF(Main[[#This Row],[Class]]="C",WORKDAY(Main[[#This Row],[Tech Start Date]],19),IF(Main[[#This Row],[Class]]="B", WORKDAY(Main[[#This Row],[Tech Start Date]],12),IF(Main[[#This Row],[Class]]="A",WORKDAY(Main[[#This Row],[Tech Start Date]],4),""))))</f>
        <v/>
      </c>
      <c r="O928" s="77" t="str">
        <f>IF(Main[[#This Row],[Tech Start Date]]&lt;1/1/1990,"",IF(Main[[#This Row],[Class]]="C",WORKDAY(Main[[#This Row],[Tech Start Date]],23),IF(Main[[#This Row],[Class]]="B", WORKDAY(Main[[#This Row],[Tech Start Date]],15),IF(Main[[#This Row],[Class]]="A",WORKDAY(Main[[#This Row],[Tech Start Date]],5),""))))</f>
        <v/>
      </c>
      <c r="P928" s="77" t="str">
        <f>IF(Main[[#This Row],[Tech Start Date]]&lt;1/1/1990,"",IF(Main[[#This Row],[Class]]="C",WORKDAY(Main[[#This Row],[Tech Start Date]],28),IF(Main[[#This Row],[Class]]="B", WORKDAY(Main[[#This Row],[Tech Start Date]],19),IF(Main[[#This Row],[Class]]="A",WORKDAY(Main[[#This Row],[Tech Start Date]],9),""))))</f>
        <v/>
      </c>
      <c r="Q928" s="74"/>
      <c r="R928" s="74">
        <v>40945</v>
      </c>
      <c r="S928" s="72" t="s">
        <v>17</v>
      </c>
      <c r="T928" s="80" t="s">
        <v>4</v>
      </c>
      <c r="U928" s="72" t="s">
        <v>29</v>
      </c>
      <c r="V928" s="72" t="s">
        <v>1920</v>
      </c>
      <c r="W928" s="72" t="s">
        <v>1922</v>
      </c>
      <c r="X928" s="72" t="s">
        <v>2833</v>
      </c>
      <c r="Y928" s="72" t="s">
        <v>2954</v>
      </c>
      <c r="Z928" s="72" t="s">
        <v>415</v>
      </c>
      <c r="AA928" s="146" t="s">
        <v>2833</v>
      </c>
    </row>
    <row r="929" spans="1:27" ht="18.600000000000001" customHeight="1">
      <c r="A929" s="139" t="str">
        <f>IF(priority(Main[[#This Row],[Comments]])&lt;&gt;0, priority(Main[[#This Row],[Comments]]),"")</f>
        <v/>
      </c>
      <c r="B929" s="89" t="s">
        <v>1746</v>
      </c>
      <c r="C929" s="72" t="s">
        <v>31</v>
      </c>
      <c r="D929" s="73" t="s">
        <v>794</v>
      </c>
      <c r="E929" s="74"/>
      <c r="F929" s="74"/>
      <c r="G929" s="75" t="str">
        <f>IF(stdProdLT(Main[[#This Row],[Comments]])=0.1,"N/A",IF(stdProdLT(Main[[#This Row],[Comments]])=0,"",stdProdLT(Main[[#This Row],[Comments]])))</f>
        <v/>
      </c>
      <c r="H929" s="76" t="str">
        <f>IF(AND(Main[[#This Row],[In Stock Date]]&lt;&gt;"",Main[[#This Row],[Revised Due Date]]&lt;&gt;""),Main[[#This Row],[In Stock Date]]-Main[[#This Row],[Revised Due Date]],"")</f>
        <v/>
      </c>
      <c r="I929" s="72" t="s">
        <v>4</v>
      </c>
      <c r="J929" s="72" t="s">
        <v>4</v>
      </c>
      <c r="K929" s="72" t="s">
        <v>4</v>
      </c>
      <c r="L929" s="74"/>
      <c r="M929" s="77" t="str">
        <f>IF(Main[[#This Row],[Tech Start Date]]&lt;1/1/1990,"",IF(Main[[#This Row],[Class]]="C",WORKDAY(Main[[#This Row],[Tech Start Date]],9),IF(Main[[#This Row],[Class]]="B", WORKDAY(Main[[#This Row],[Tech Start Date]],6),IF(Main[[#This Row],[Class]]="A",WORKDAY(Main[[#This Row],[Tech Start Date]],2),""))))</f>
        <v/>
      </c>
      <c r="N929" s="77" t="str">
        <f>IF(Main[[#This Row],[Tech Start Date]]&lt;1/1/1990,"",IF(Main[[#This Row],[Class]]="C",WORKDAY(Main[[#This Row],[Tech Start Date]],19),IF(Main[[#This Row],[Class]]="B", WORKDAY(Main[[#This Row],[Tech Start Date]],12),IF(Main[[#This Row],[Class]]="A",WORKDAY(Main[[#This Row],[Tech Start Date]],4),""))))</f>
        <v/>
      </c>
      <c r="O929" s="77" t="str">
        <f>IF(Main[[#This Row],[Tech Start Date]]&lt;1/1/1990,"",IF(Main[[#This Row],[Class]]="C",WORKDAY(Main[[#This Row],[Tech Start Date]],23),IF(Main[[#This Row],[Class]]="B", WORKDAY(Main[[#This Row],[Tech Start Date]],15),IF(Main[[#This Row],[Class]]="A",WORKDAY(Main[[#This Row],[Tech Start Date]],5),""))))</f>
        <v/>
      </c>
      <c r="P929" s="77" t="str">
        <f>IF(Main[[#This Row],[Tech Start Date]]&lt;1/1/1990,"",IF(Main[[#This Row],[Class]]="C",WORKDAY(Main[[#This Row],[Tech Start Date]],28),IF(Main[[#This Row],[Class]]="B", WORKDAY(Main[[#This Row],[Tech Start Date]],19),IF(Main[[#This Row],[Class]]="A",WORKDAY(Main[[#This Row],[Tech Start Date]],9),""))))</f>
        <v/>
      </c>
      <c r="Q929" s="74">
        <v>40318</v>
      </c>
      <c r="R929" s="74"/>
      <c r="S929" s="72" t="s">
        <v>11</v>
      </c>
      <c r="T929" s="80" t="s">
        <v>4</v>
      </c>
      <c r="U929" s="72" t="s">
        <v>14</v>
      </c>
      <c r="V929" s="72" t="s">
        <v>1927</v>
      </c>
      <c r="W929" s="72" t="s">
        <v>1919</v>
      </c>
      <c r="X929" s="72" t="s">
        <v>2836</v>
      </c>
      <c r="Y929" s="72" t="s">
        <v>4</v>
      </c>
      <c r="Z929" s="72" t="s">
        <v>4</v>
      </c>
      <c r="AA929" s="146" t="s">
        <v>2836</v>
      </c>
    </row>
    <row r="930" spans="1:27" ht="18.600000000000001" customHeight="1">
      <c r="A930" s="139" t="str">
        <f>IF(priority(Main[[#This Row],[Comments]])&lt;&gt;0, priority(Main[[#This Row],[Comments]]),"")</f>
        <v/>
      </c>
      <c r="B930" s="89" t="s">
        <v>1772</v>
      </c>
      <c r="C930" s="72" t="s">
        <v>4</v>
      </c>
      <c r="D930" s="73" t="s">
        <v>806</v>
      </c>
      <c r="E930" s="74"/>
      <c r="F930" s="74"/>
      <c r="G930" s="75" t="str">
        <f>IF(stdProdLT(Main[[#This Row],[Comments]])=0.1,"N/A",IF(stdProdLT(Main[[#This Row],[Comments]])=0,"",stdProdLT(Main[[#This Row],[Comments]])))</f>
        <v/>
      </c>
      <c r="H930" s="76" t="str">
        <f>IF(AND(Main[[#This Row],[In Stock Date]]&lt;&gt;"",Main[[#This Row],[Revised Due Date]]&lt;&gt;""),Main[[#This Row],[In Stock Date]]-Main[[#This Row],[Revised Due Date]],"")</f>
        <v/>
      </c>
      <c r="I930" s="72" t="s">
        <v>4</v>
      </c>
      <c r="J930" s="72" t="s">
        <v>4</v>
      </c>
      <c r="K930" s="72" t="s">
        <v>4</v>
      </c>
      <c r="L930" s="74"/>
      <c r="M930" s="77" t="str">
        <f>IF(Main[[#This Row],[Tech Start Date]]&lt;1/1/1990,"",IF(Main[[#This Row],[Class]]="C",WORKDAY(Main[[#This Row],[Tech Start Date]],9),IF(Main[[#This Row],[Class]]="B", WORKDAY(Main[[#This Row],[Tech Start Date]],6),IF(Main[[#This Row],[Class]]="A",WORKDAY(Main[[#This Row],[Tech Start Date]],2),""))))</f>
        <v/>
      </c>
      <c r="N930" s="77" t="str">
        <f>IF(Main[[#This Row],[Tech Start Date]]&lt;1/1/1990,"",IF(Main[[#This Row],[Class]]="C",WORKDAY(Main[[#This Row],[Tech Start Date]],19),IF(Main[[#This Row],[Class]]="B", WORKDAY(Main[[#This Row],[Tech Start Date]],12),IF(Main[[#This Row],[Class]]="A",WORKDAY(Main[[#This Row],[Tech Start Date]],4),""))))</f>
        <v/>
      </c>
      <c r="O930" s="77" t="str">
        <f>IF(Main[[#This Row],[Tech Start Date]]&lt;1/1/1990,"",IF(Main[[#This Row],[Class]]="C",WORKDAY(Main[[#This Row],[Tech Start Date]],23),IF(Main[[#This Row],[Class]]="B", WORKDAY(Main[[#This Row],[Tech Start Date]],15),IF(Main[[#This Row],[Class]]="A",WORKDAY(Main[[#This Row],[Tech Start Date]],5),""))))</f>
        <v/>
      </c>
      <c r="P930" s="77" t="str">
        <f>IF(Main[[#This Row],[Tech Start Date]]&lt;1/1/1990,"",IF(Main[[#This Row],[Class]]="C",WORKDAY(Main[[#This Row],[Tech Start Date]],28),IF(Main[[#This Row],[Class]]="B", WORKDAY(Main[[#This Row],[Tech Start Date]],19),IF(Main[[#This Row],[Class]]="A",WORKDAY(Main[[#This Row],[Tech Start Date]],9),""))))</f>
        <v/>
      </c>
      <c r="Q930" s="74"/>
      <c r="R930" s="74"/>
      <c r="S930" s="72" t="s">
        <v>49</v>
      </c>
      <c r="T930" s="80" t="s">
        <v>4</v>
      </c>
      <c r="U930" s="72" t="s">
        <v>14</v>
      </c>
      <c r="V930" s="72" t="s">
        <v>1920</v>
      </c>
      <c r="W930" s="72" t="s">
        <v>1921</v>
      </c>
      <c r="X930" s="72" t="s">
        <v>306</v>
      </c>
      <c r="Y930" s="72" t="s">
        <v>3110</v>
      </c>
      <c r="Z930" s="72" t="s">
        <v>4</v>
      </c>
      <c r="AA930" s="146" t="s">
        <v>306</v>
      </c>
    </row>
    <row r="931" spans="1:27" ht="18.600000000000001" customHeight="1">
      <c r="A931" s="139" t="str">
        <f>IF(priority(Main[[#This Row],[Comments]])&lt;&gt;0, priority(Main[[#This Row],[Comments]]),"")</f>
        <v/>
      </c>
      <c r="B931" s="89" t="s">
        <v>3201</v>
      </c>
      <c r="C931" s="72" t="s">
        <v>4</v>
      </c>
      <c r="D931" s="73" t="s">
        <v>3239</v>
      </c>
      <c r="E931" s="74">
        <v>40921.504814814813</v>
      </c>
      <c r="F931" s="74"/>
      <c r="G931" s="75" t="str">
        <f>IF(stdProdLT(Main[[#This Row],[Comments]])=0.1,"N/A",IF(stdProdLT(Main[[#This Row],[Comments]])=0,"",stdProdLT(Main[[#This Row],[Comments]])))</f>
        <v/>
      </c>
      <c r="H931" s="76" t="str">
        <f>IF(AND(Main[[#This Row],[In Stock Date]]&lt;&gt;"",Main[[#This Row],[Revised Due Date]]&lt;&gt;""),Main[[#This Row],[In Stock Date]]-Main[[#This Row],[Revised Due Date]],"")</f>
        <v/>
      </c>
      <c r="I931" s="72" t="s">
        <v>2054</v>
      </c>
      <c r="J931" s="72" t="s">
        <v>28</v>
      </c>
      <c r="K931" s="72" t="s">
        <v>1926</v>
      </c>
      <c r="L931" s="74"/>
      <c r="M931" s="77" t="str">
        <f>IF(Main[[#This Row],[Tech Start Date]]&lt;1/1/1990,"",IF(Main[[#This Row],[Class]]="C",WORKDAY(Main[[#This Row],[Tech Start Date]],9),IF(Main[[#This Row],[Class]]="B", WORKDAY(Main[[#This Row],[Tech Start Date]],6),IF(Main[[#This Row],[Class]]="A",WORKDAY(Main[[#This Row],[Tech Start Date]],2),""))))</f>
        <v/>
      </c>
      <c r="N931" s="77" t="str">
        <f>IF(Main[[#This Row],[Tech Start Date]]&lt;1/1/1990,"",IF(Main[[#This Row],[Class]]="C",WORKDAY(Main[[#This Row],[Tech Start Date]],19),IF(Main[[#This Row],[Class]]="B", WORKDAY(Main[[#This Row],[Tech Start Date]],12),IF(Main[[#This Row],[Class]]="A",WORKDAY(Main[[#This Row],[Tech Start Date]],4),""))))</f>
        <v/>
      </c>
      <c r="O931" s="77" t="str">
        <f>IF(Main[[#This Row],[Tech Start Date]]&lt;1/1/1990,"",IF(Main[[#This Row],[Class]]="C",WORKDAY(Main[[#This Row],[Tech Start Date]],23),IF(Main[[#This Row],[Class]]="B", WORKDAY(Main[[#This Row],[Tech Start Date]],15),IF(Main[[#This Row],[Class]]="A",WORKDAY(Main[[#This Row],[Tech Start Date]],5),""))))</f>
        <v/>
      </c>
      <c r="P931" s="77" t="str">
        <f>IF(Main[[#This Row],[Tech Start Date]]&lt;1/1/1990,"",IF(Main[[#This Row],[Class]]="C",WORKDAY(Main[[#This Row],[Tech Start Date]],28),IF(Main[[#This Row],[Class]]="B", WORKDAY(Main[[#This Row],[Tech Start Date]],19),IF(Main[[#This Row],[Class]]="A",WORKDAY(Main[[#This Row],[Tech Start Date]],9),""))))</f>
        <v/>
      </c>
      <c r="Q931" s="74">
        <v>40939</v>
      </c>
      <c r="R931" s="74"/>
      <c r="S931" s="72" t="s">
        <v>6</v>
      </c>
      <c r="T931" s="80" t="s">
        <v>4</v>
      </c>
      <c r="U931" s="72" t="s">
        <v>29</v>
      </c>
      <c r="V931" s="72" t="s">
        <v>1920</v>
      </c>
      <c r="W931" s="72" t="s">
        <v>1921</v>
      </c>
      <c r="X931" s="72" t="s">
        <v>30</v>
      </c>
      <c r="Y931" s="72" t="s">
        <v>3202</v>
      </c>
      <c r="Z931" s="72" t="s">
        <v>30</v>
      </c>
      <c r="AA931" s="146" t="s">
        <v>2909</v>
      </c>
    </row>
    <row r="932" spans="1:27" ht="18.600000000000001" customHeight="1">
      <c r="A932" s="139" t="str">
        <f>IF(priority(Main[[#This Row],[Comments]])&lt;&gt;0, priority(Main[[#This Row],[Comments]]),"")</f>
        <v/>
      </c>
      <c r="B932" s="89" t="s">
        <v>3267</v>
      </c>
      <c r="C932" s="72" t="s">
        <v>4</v>
      </c>
      <c r="D932" s="73" t="s">
        <v>3268</v>
      </c>
      <c r="E932" s="74"/>
      <c r="F932" s="74"/>
      <c r="G932" s="75" t="str">
        <f>IF(stdProdLT(Main[[#This Row],[Comments]])=0.1,"N/A",IF(stdProdLT(Main[[#This Row],[Comments]])=0,"",stdProdLT(Main[[#This Row],[Comments]])))</f>
        <v/>
      </c>
      <c r="H932" s="76" t="str">
        <f>IF(AND(Main[[#This Row],[In Stock Date]]&lt;&gt;"",Main[[#This Row],[Revised Due Date]]&lt;&gt;""),Main[[#This Row],[In Stock Date]]-Main[[#This Row],[Revised Due Date]],"")</f>
        <v/>
      </c>
      <c r="I932" s="72" t="s">
        <v>4</v>
      </c>
      <c r="J932" s="72" t="s">
        <v>4</v>
      </c>
      <c r="K932" s="72" t="s">
        <v>4</v>
      </c>
      <c r="L932" s="74"/>
      <c r="M932" s="77" t="str">
        <f>IF(Main[[#This Row],[Tech Start Date]]&lt;1/1/1990,"",IF(Main[[#This Row],[Class]]="C",WORKDAY(Main[[#This Row],[Tech Start Date]],9),IF(Main[[#This Row],[Class]]="B", WORKDAY(Main[[#This Row],[Tech Start Date]],6),IF(Main[[#This Row],[Class]]="A",WORKDAY(Main[[#This Row],[Tech Start Date]],2),""))))</f>
        <v/>
      </c>
      <c r="N932" s="77" t="str">
        <f>IF(Main[[#This Row],[Tech Start Date]]&lt;1/1/1990,"",IF(Main[[#This Row],[Class]]="C",WORKDAY(Main[[#This Row],[Tech Start Date]],19),IF(Main[[#This Row],[Class]]="B", WORKDAY(Main[[#This Row],[Tech Start Date]],12),IF(Main[[#This Row],[Class]]="A",WORKDAY(Main[[#This Row],[Tech Start Date]],4),""))))</f>
        <v/>
      </c>
      <c r="O932" s="77" t="str">
        <f>IF(Main[[#This Row],[Tech Start Date]]&lt;1/1/1990,"",IF(Main[[#This Row],[Class]]="C",WORKDAY(Main[[#This Row],[Tech Start Date]],23),IF(Main[[#This Row],[Class]]="B", WORKDAY(Main[[#This Row],[Tech Start Date]],15),IF(Main[[#This Row],[Class]]="A",WORKDAY(Main[[#This Row],[Tech Start Date]],5),""))))</f>
        <v/>
      </c>
      <c r="P932" s="77" t="str">
        <f>IF(Main[[#This Row],[Tech Start Date]]&lt;1/1/1990,"",IF(Main[[#This Row],[Class]]="C",WORKDAY(Main[[#This Row],[Tech Start Date]],28),IF(Main[[#This Row],[Class]]="B", WORKDAY(Main[[#This Row],[Tech Start Date]],19),IF(Main[[#This Row],[Class]]="A",WORKDAY(Main[[#This Row],[Tech Start Date]],9),""))))</f>
        <v/>
      </c>
      <c r="Q932" s="74"/>
      <c r="R932" s="74"/>
      <c r="S932" s="72" t="s">
        <v>17</v>
      </c>
      <c r="T932" s="80" t="s">
        <v>4</v>
      </c>
      <c r="U932" s="72" t="s">
        <v>12</v>
      </c>
      <c r="V932" s="72" t="s">
        <v>1920</v>
      </c>
      <c r="W932" s="72" t="s">
        <v>4</v>
      </c>
      <c r="X932" s="72" t="s">
        <v>1979</v>
      </c>
      <c r="Y932" s="72" t="s">
        <v>4</v>
      </c>
      <c r="Z932" s="72" t="s">
        <v>4</v>
      </c>
      <c r="AA932" s="146" t="s">
        <v>4</v>
      </c>
    </row>
    <row r="933" spans="1:27" ht="18.600000000000001" customHeight="1">
      <c r="A933" s="139" t="str">
        <f>IF(priority(Main[[#This Row],[Comments]])&lt;&gt;0, priority(Main[[#This Row],[Comments]]),"")</f>
        <v/>
      </c>
      <c r="B933" s="89" t="s">
        <v>1773</v>
      </c>
      <c r="C933" s="72" t="s">
        <v>4</v>
      </c>
      <c r="D933" s="73" t="s">
        <v>807</v>
      </c>
      <c r="E933" s="74"/>
      <c r="F933" s="74"/>
      <c r="G933" s="75" t="str">
        <f>IF(stdProdLT(Main[[#This Row],[Comments]])=0.1,"N/A",IF(stdProdLT(Main[[#This Row],[Comments]])=0,"",stdProdLT(Main[[#This Row],[Comments]])))</f>
        <v/>
      </c>
      <c r="H933" s="76" t="str">
        <f>IF(AND(Main[[#This Row],[In Stock Date]]&lt;&gt;"",Main[[#This Row],[Revised Due Date]]&lt;&gt;""),Main[[#This Row],[In Stock Date]]-Main[[#This Row],[Revised Due Date]],"")</f>
        <v/>
      </c>
      <c r="I933" s="72" t="s">
        <v>4</v>
      </c>
      <c r="J933" s="72" t="s">
        <v>4</v>
      </c>
      <c r="K933" s="72" t="s">
        <v>4</v>
      </c>
      <c r="L933" s="74"/>
      <c r="M933" s="77" t="str">
        <f>IF(Main[[#This Row],[Tech Start Date]]&lt;1/1/1990,"",IF(Main[[#This Row],[Class]]="C",WORKDAY(Main[[#This Row],[Tech Start Date]],9),IF(Main[[#This Row],[Class]]="B", WORKDAY(Main[[#This Row],[Tech Start Date]],6),IF(Main[[#This Row],[Class]]="A",WORKDAY(Main[[#This Row],[Tech Start Date]],2),""))))</f>
        <v/>
      </c>
      <c r="N933" s="77" t="str">
        <f>IF(Main[[#This Row],[Tech Start Date]]&lt;1/1/1990,"",IF(Main[[#This Row],[Class]]="C",WORKDAY(Main[[#This Row],[Tech Start Date]],19),IF(Main[[#This Row],[Class]]="B", WORKDAY(Main[[#This Row],[Tech Start Date]],12),IF(Main[[#This Row],[Class]]="A",WORKDAY(Main[[#This Row],[Tech Start Date]],4),""))))</f>
        <v/>
      </c>
      <c r="O933" s="77" t="str">
        <f>IF(Main[[#This Row],[Tech Start Date]]&lt;1/1/1990,"",IF(Main[[#This Row],[Class]]="C",WORKDAY(Main[[#This Row],[Tech Start Date]],23),IF(Main[[#This Row],[Class]]="B", WORKDAY(Main[[#This Row],[Tech Start Date]],15),IF(Main[[#This Row],[Class]]="A",WORKDAY(Main[[#This Row],[Tech Start Date]],5),""))))</f>
        <v/>
      </c>
      <c r="P933" s="77" t="str">
        <f>IF(Main[[#This Row],[Tech Start Date]]&lt;1/1/1990,"",IF(Main[[#This Row],[Class]]="C",WORKDAY(Main[[#This Row],[Tech Start Date]],28),IF(Main[[#This Row],[Class]]="B", WORKDAY(Main[[#This Row],[Tech Start Date]],19),IF(Main[[#This Row],[Class]]="A",WORKDAY(Main[[#This Row],[Tech Start Date]],9),""))))</f>
        <v/>
      </c>
      <c r="Q933" s="74"/>
      <c r="R933" s="154"/>
      <c r="S933" s="72" t="s">
        <v>6</v>
      </c>
      <c r="T933" s="80" t="s">
        <v>4</v>
      </c>
      <c r="U933" s="72" t="s">
        <v>12</v>
      </c>
      <c r="V933" s="72" t="s">
        <v>1917</v>
      </c>
      <c r="W933" s="72" t="s">
        <v>1921</v>
      </c>
      <c r="X933" s="72" t="s">
        <v>879</v>
      </c>
      <c r="Y933" s="72" t="s">
        <v>3015</v>
      </c>
      <c r="Z933" s="72" t="s">
        <v>4</v>
      </c>
      <c r="AA933" s="146" t="s">
        <v>879</v>
      </c>
    </row>
    <row r="934" spans="1:27" ht="18.600000000000001" customHeight="1">
      <c r="A934" s="139" t="str">
        <f>IF(priority(Main[[#This Row],[Comments]])&lt;&gt;0, priority(Main[[#This Row],[Comments]]),"")</f>
        <v/>
      </c>
      <c r="B934" s="89" t="s">
        <v>1748</v>
      </c>
      <c r="C934" s="72" t="s">
        <v>284</v>
      </c>
      <c r="D934" s="73" t="s">
        <v>798</v>
      </c>
      <c r="E934" s="74"/>
      <c r="F934" s="74"/>
      <c r="G934" s="75" t="str">
        <f>IF(stdProdLT(Main[[#This Row],[Comments]])=0.1,"N/A",IF(stdProdLT(Main[[#This Row],[Comments]])=0,"",stdProdLT(Main[[#This Row],[Comments]])))</f>
        <v/>
      </c>
      <c r="H934" s="76" t="str">
        <f>IF(AND(Main[[#This Row],[In Stock Date]]&lt;&gt;"",Main[[#This Row],[Revised Due Date]]&lt;&gt;""),Main[[#This Row],[In Stock Date]]-Main[[#This Row],[Revised Due Date]],"")</f>
        <v/>
      </c>
      <c r="I934" s="72" t="s">
        <v>4</v>
      </c>
      <c r="J934" s="72" t="s">
        <v>4</v>
      </c>
      <c r="K934" s="81" t="s">
        <v>4</v>
      </c>
      <c r="L934" s="74"/>
      <c r="M934" s="77" t="str">
        <f>IF(Main[[#This Row],[Tech Start Date]]&lt;1/1/1990,"",IF(Main[[#This Row],[Class]]="C",WORKDAY(Main[[#This Row],[Tech Start Date]],9),IF(Main[[#This Row],[Class]]="B", WORKDAY(Main[[#This Row],[Tech Start Date]],6),IF(Main[[#This Row],[Class]]="A",WORKDAY(Main[[#This Row],[Tech Start Date]],2),""))))</f>
        <v/>
      </c>
      <c r="N934" s="77" t="str">
        <f>IF(Main[[#This Row],[Tech Start Date]]&lt;1/1/1990,"",IF(Main[[#This Row],[Class]]="C",WORKDAY(Main[[#This Row],[Tech Start Date]],19),IF(Main[[#This Row],[Class]]="B", WORKDAY(Main[[#This Row],[Tech Start Date]],12),IF(Main[[#This Row],[Class]]="A",WORKDAY(Main[[#This Row],[Tech Start Date]],4),""))))</f>
        <v/>
      </c>
      <c r="O934" s="77" t="str">
        <f>IF(Main[[#This Row],[Tech Start Date]]&lt;1/1/1990,"",IF(Main[[#This Row],[Class]]="C",WORKDAY(Main[[#This Row],[Tech Start Date]],23),IF(Main[[#This Row],[Class]]="B", WORKDAY(Main[[#This Row],[Tech Start Date]],15),IF(Main[[#This Row],[Class]]="A",WORKDAY(Main[[#This Row],[Tech Start Date]],5),""))))</f>
        <v/>
      </c>
      <c r="P934" s="77" t="str">
        <f>IF(Main[[#This Row],[Tech Start Date]]&lt;1/1/1990,"",IF(Main[[#This Row],[Class]]="C",WORKDAY(Main[[#This Row],[Tech Start Date]],28),IF(Main[[#This Row],[Class]]="B", WORKDAY(Main[[#This Row],[Tech Start Date]],19),IF(Main[[#This Row],[Class]]="A",WORKDAY(Main[[#This Row],[Tech Start Date]],9),""))))</f>
        <v/>
      </c>
      <c r="Q934" s="74">
        <v>40134</v>
      </c>
      <c r="R934" s="74"/>
      <c r="S934" s="72" t="s">
        <v>11</v>
      </c>
      <c r="T934" s="80" t="s">
        <v>4</v>
      </c>
      <c r="U934" s="72" t="s">
        <v>14</v>
      </c>
      <c r="V934" s="72" t="s">
        <v>1927</v>
      </c>
      <c r="W934" s="72" t="s">
        <v>1925</v>
      </c>
      <c r="X934" s="72" t="s">
        <v>2823</v>
      </c>
      <c r="Y934" s="72" t="s">
        <v>4</v>
      </c>
      <c r="Z934" s="72" t="s">
        <v>4</v>
      </c>
      <c r="AA934" s="146" t="s">
        <v>2823</v>
      </c>
    </row>
    <row r="935" spans="1:27" ht="18.600000000000001" customHeight="1">
      <c r="A935" s="139" t="str">
        <f>IF(priority(Main[[#This Row],[Comments]])&lt;&gt;0, priority(Main[[#This Row],[Comments]]),"")</f>
        <v/>
      </c>
      <c r="B935" s="89" t="s">
        <v>1749</v>
      </c>
      <c r="C935" s="72" t="s">
        <v>4</v>
      </c>
      <c r="D935" s="73" t="s">
        <v>799</v>
      </c>
      <c r="E935" s="74"/>
      <c r="F935" s="74">
        <v>40598</v>
      </c>
      <c r="G935" s="75" t="str">
        <f>IF(stdProdLT(Main[[#This Row],[Comments]])=0.1,"N/A",IF(stdProdLT(Main[[#This Row],[Comments]])=0,"",stdProdLT(Main[[#This Row],[Comments]])))</f>
        <v/>
      </c>
      <c r="H935" s="76" t="str">
        <f>IF(AND(Main[[#This Row],[In Stock Date]]&lt;&gt;"",Main[[#This Row],[Revised Due Date]]&lt;&gt;""),Main[[#This Row],[In Stock Date]]-Main[[#This Row],[Revised Due Date]],"")</f>
        <v/>
      </c>
      <c r="I935" s="72" t="s">
        <v>4</v>
      </c>
      <c r="J935" s="72" t="s">
        <v>4</v>
      </c>
      <c r="K935" s="72" t="s">
        <v>4</v>
      </c>
      <c r="L935" s="74"/>
      <c r="M935" s="77" t="str">
        <f>IF(Main[[#This Row],[Tech Start Date]]&lt;1/1/1990,"",IF(Main[[#This Row],[Class]]="C",WORKDAY(Main[[#This Row],[Tech Start Date]],9),IF(Main[[#This Row],[Class]]="B", WORKDAY(Main[[#This Row],[Tech Start Date]],6),IF(Main[[#This Row],[Class]]="A",WORKDAY(Main[[#This Row],[Tech Start Date]],2),""))))</f>
        <v/>
      </c>
      <c r="N935" s="77" t="str">
        <f>IF(Main[[#This Row],[Tech Start Date]]&lt;1/1/1990,"",IF(Main[[#This Row],[Class]]="C",WORKDAY(Main[[#This Row],[Tech Start Date]],19),IF(Main[[#This Row],[Class]]="B", WORKDAY(Main[[#This Row],[Tech Start Date]],12),IF(Main[[#This Row],[Class]]="A",WORKDAY(Main[[#This Row],[Tech Start Date]],4),""))))</f>
        <v/>
      </c>
      <c r="O935" s="77" t="str">
        <f>IF(Main[[#This Row],[Tech Start Date]]&lt;1/1/1990,"",IF(Main[[#This Row],[Class]]="C",WORKDAY(Main[[#This Row],[Tech Start Date]],23),IF(Main[[#This Row],[Class]]="B", WORKDAY(Main[[#This Row],[Tech Start Date]],15),IF(Main[[#This Row],[Class]]="A",WORKDAY(Main[[#This Row],[Tech Start Date]],5),""))))</f>
        <v/>
      </c>
      <c r="P935" s="77" t="str">
        <f>IF(Main[[#This Row],[Tech Start Date]]&lt;1/1/1990,"",IF(Main[[#This Row],[Class]]="C",WORKDAY(Main[[#This Row],[Tech Start Date]],28),IF(Main[[#This Row],[Class]]="B", WORKDAY(Main[[#This Row],[Tech Start Date]],19),IF(Main[[#This Row],[Class]]="A",WORKDAY(Main[[#This Row],[Tech Start Date]],9),""))))</f>
        <v/>
      </c>
      <c r="Q935" s="74">
        <v>40598</v>
      </c>
      <c r="R935" s="74"/>
      <c r="S935" s="72" t="s">
        <v>11</v>
      </c>
      <c r="T935" s="80" t="s">
        <v>4</v>
      </c>
      <c r="U935" s="72" t="s">
        <v>14</v>
      </c>
      <c r="V935" s="72" t="s">
        <v>1927</v>
      </c>
      <c r="W935" s="72" t="s">
        <v>1923</v>
      </c>
      <c r="X935" s="72" t="s">
        <v>2854</v>
      </c>
      <c r="Y935" s="72" t="s">
        <v>2985</v>
      </c>
      <c r="Z935" s="72" t="s">
        <v>4</v>
      </c>
      <c r="AA935" s="146" t="s">
        <v>2854</v>
      </c>
    </row>
    <row r="936" spans="1:27" ht="18.600000000000001" customHeight="1">
      <c r="A936" s="139" t="str">
        <f>IF(priority(Main[[#This Row],[Comments]])&lt;&gt;0, priority(Main[[#This Row],[Comments]]),"")</f>
        <v/>
      </c>
      <c r="B936" s="89" t="s">
        <v>1750</v>
      </c>
      <c r="C936" s="72" t="s">
        <v>436</v>
      </c>
      <c r="D936" s="73" t="s">
        <v>791</v>
      </c>
      <c r="E936" s="74"/>
      <c r="F936" s="74"/>
      <c r="G936" s="75" t="str">
        <f>IF(stdProdLT(Main[[#This Row],[Comments]])=0.1,"N/A",IF(stdProdLT(Main[[#This Row],[Comments]])=0,"",stdProdLT(Main[[#This Row],[Comments]])))</f>
        <v/>
      </c>
      <c r="H936" s="76" t="str">
        <f>IF(AND(Main[[#This Row],[In Stock Date]]&lt;&gt;"",Main[[#This Row],[Revised Due Date]]&lt;&gt;""),Main[[#This Row],[In Stock Date]]-Main[[#This Row],[Revised Due Date]],"")</f>
        <v/>
      </c>
      <c r="I936" s="72" t="s">
        <v>4</v>
      </c>
      <c r="J936" s="72" t="s">
        <v>4</v>
      </c>
      <c r="K936" s="72" t="s">
        <v>4</v>
      </c>
      <c r="L936" s="74"/>
      <c r="M936" s="77" t="str">
        <f>IF(Main[[#This Row],[Tech Start Date]]&lt;1/1/1990,"",IF(Main[[#This Row],[Class]]="C",WORKDAY(Main[[#This Row],[Tech Start Date]],9),IF(Main[[#This Row],[Class]]="B", WORKDAY(Main[[#This Row],[Tech Start Date]],6),IF(Main[[#This Row],[Class]]="A",WORKDAY(Main[[#This Row],[Tech Start Date]],2),""))))</f>
        <v/>
      </c>
      <c r="N936" s="77" t="str">
        <f>IF(Main[[#This Row],[Tech Start Date]]&lt;1/1/1990,"",IF(Main[[#This Row],[Class]]="C",WORKDAY(Main[[#This Row],[Tech Start Date]],19),IF(Main[[#This Row],[Class]]="B", WORKDAY(Main[[#This Row],[Tech Start Date]],12),IF(Main[[#This Row],[Class]]="A",WORKDAY(Main[[#This Row],[Tech Start Date]],4),""))))</f>
        <v/>
      </c>
      <c r="O936" s="77" t="str">
        <f>IF(Main[[#This Row],[Tech Start Date]]&lt;1/1/1990,"",IF(Main[[#This Row],[Class]]="C",WORKDAY(Main[[#This Row],[Tech Start Date]],23),IF(Main[[#This Row],[Class]]="B", WORKDAY(Main[[#This Row],[Tech Start Date]],15),IF(Main[[#This Row],[Class]]="A",WORKDAY(Main[[#This Row],[Tech Start Date]],5),""))))</f>
        <v/>
      </c>
      <c r="P936" s="77" t="str">
        <f>IF(Main[[#This Row],[Tech Start Date]]&lt;1/1/1990,"",IF(Main[[#This Row],[Class]]="C",WORKDAY(Main[[#This Row],[Tech Start Date]],28),IF(Main[[#This Row],[Class]]="B", WORKDAY(Main[[#This Row],[Tech Start Date]],19),IF(Main[[#This Row],[Class]]="A",WORKDAY(Main[[#This Row],[Tech Start Date]],9),""))))</f>
        <v/>
      </c>
      <c r="Q936" s="74"/>
      <c r="R936" s="74"/>
      <c r="S936" s="72" t="s">
        <v>11</v>
      </c>
      <c r="T936" s="80" t="s">
        <v>4</v>
      </c>
      <c r="U936" s="72" t="s">
        <v>14</v>
      </c>
      <c r="V936" s="72" t="s">
        <v>1917</v>
      </c>
      <c r="W936" s="72" t="s">
        <v>1925</v>
      </c>
      <c r="X936" s="72" t="s">
        <v>2859</v>
      </c>
      <c r="Y936" s="72" t="s">
        <v>2997</v>
      </c>
      <c r="Z936" s="72" t="s">
        <v>4</v>
      </c>
      <c r="AA936" s="146" t="s">
        <v>2859</v>
      </c>
    </row>
    <row r="937" spans="1:27" ht="18.600000000000001" customHeight="1">
      <c r="A937" s="139" t="str">
        <f>IF(priority(Main[[#This Row],[Comments]])&lt;&gt;0, priority(Main[[#This Row],[Comments]]),"")</f>
        <v/>
      </c>
      <c r="B937" s="89" t="s">
        <v>1752</v>
      </c>
      <c r="C937" s="72" t="s">
        <v>4</v>
      </c>
      <c r="D937" s="73" t="s">
        <v>800</v>
      </c>
      <c r="E937" s="74"/>
      <c r="F937" s="74"/>
      <c r="G937" s="75" t="str">
        <f>IF(stdProdLT(Main[[#This Row],[Comments]])=0.1,"N/A",IF(stdProdLT(Main[[#This Row],[Comments]])=0,"",stdProdLT(Main[[#This Row],[Comments]])))</f>
        <v/>
      </c>
      <c r="H937" s="76" t="str">
        <f>IF(AND(Main[[#This Row],[In Stock Date]]&lt;&gt;"",Main[[#This Row],[Revised Due Date]]&lt;&gt;""),Main[[#This Row],[In Stock Date]]-Main[[#This Row],[Revised Due Date]],"")</f>
        <v/>
      </c>
      <c r="I937" s="72" t="s">
        <v>4</v>
      </c>
      <c r="J937" s="72" t="s">
        <v>4</v>
      </c>
      <c r="K937" s="72" t="s">
        <v>4</v>
      </c>
      <c r="L937" s="74"/>
      <c r="M937" s="77" t="str">
        <f>IF(Main[[#This Row],[Tech Start Date]]&lt;1/1/1990,"",IF(Main[[#This Row],[Class]]="C",WORKDAY(Main[[#This Row],[Tech Start Date]],9),IF(Main[[#This Row],[Class]]="B", WORKDAY(Main[[#This Row],[Tech Start Date]],6),IF(Main[[#This Row],[Class]]="A",WORKDAY(Main[[#This Row],[Tech Start Date]],2),""))))</f>
        <v/>
      </c>
      <c r="N937" s="77" t="str">
        <f>IF(Main[[#This Row],[Tech Start Date]]&lt;1/1/1990,"",IF(Main[[#This Row],[Class]]="C",WORKDAY(Main[[#This Row],[Tech Start Date]],19),IF(Main[[#This Row],[Class]]="B", WORKDAY(Main[[#This Row],[Tech Start Date]],12),IF(Main[[#This Row],[Class]]="A",WORKDAY(Main[[#This Row],[Tech Start Date]],4),""))))</f>
        <v/>
      </c>
      <c r="O937" s="77" t="str">
        <f>IF(Main[[#This Row],[Tech Start Date]]&lt;1/1/1990,"",IF(Main[[#This Row],[Class]]="C",WORKDAY(Main[[#This Row],[Tech Start Date]],23),IF(Main[[#This Row],[Class]]="B", WORKDAY(Main[[#This Row],[Tech Start Date]],15),IF(Main[[#This Row],[Class]]="A",WORKDAY(Main[[#This Row],[Tech Start Date]],5),""))))</f>
        <v/>
      </c>
      <c r="P937" s="77" t="str">
        <f>IF(Main[[#This Row],[Tech Start Date]]&lt;1/1/1990,"",IF(Main[[#This Row],[Class]]="C",WORKDAY(Main[[#This Row],[Tech Start Date]],28),IF(Main[[#This Row],[Class]]="B", WORKDAY(Main[[#This Row],[Tech Start Date]],19),IF(Main[[#This Row],[Class]]="A",WORKDAY(Main[[#This Row],[Tech Start Date]],9),""))))</f>
        <v/>
      </c>
      <c r="Q937" s="74"/>
      <c r="R937" s="74"/>
      <c r="S937" s="72" t="s">
        <v>23</v>
      </c>
      <c r="T937" s="80" t="s">
        <v>4</v>
      </c>
      <c r="U937" s="72" t="s">
        <v>14</v>
      </c>
      <c r="V937" s="72" t="s">
        <v>1927</v>
      </c>
      <c r="W937" s="72" t="s">
        <v>1921</v>
      </c>
      <c r="X937" s="72" t="s">
        <v>417</v>
      </c>
      <c r="Y937" s="72" t="s">
        <v>3112</v>
      </c>
      <c r="Z937" s="72" t="s">
        <v>4</v>
      </c>
      <c r="AA937" s="146" t="s">
        <v>417</v>
      </c>
    </row>
    <row r="938" spans="1:27" ht="18.600000000000001" customHeight="1">
      <c r="A938" s="139" t="str">
        <f>IF(priority(Main[[#This Row],[Comments]])&lt;&gt;0, priority(Main[[#This Row],[Comments]]),"")</f>
        <v/>
      </c>
      <c r="B938" s="89" t="s">
        <v>3632</v>
      </c>
      <c r="C938" s="72" t="s">
        <v>3253</v>
      </c>
      <c r="D938" s="73" t="s">
        <v>3192</v>
      </c>
      <c r="E938" s="74">
        <v>40962.070138888892</v>
      </c>
      <c r="F938" s="74">
        <v>41105</v>
      </c>
      <c r="G938" s="75" t="str">
        <f>IF(stdProdLT(Main[[#This Row],[Comments]])=0.1,"N/A",IF(stdProdLT(Main[[#This Row],[Comments]])=0,"",stdProdLT(Main[[#This Row],[Comments]])))</f>
        <v/>
      </c>
      <c r="H938" s="76" t="str">
        <f>IF(AND(Main[[#This Row],[In Stock Date]]&lt;&gt;"",Main[[#This Row],[Revised Due Date]]&lt;&gt;""),Main[[#This Row],[In Stock Date]]-Main[[#This Row],[Revised Due Date]],"")</f>
        <v/>
      </c>
      <c r="I938" s="72" t="s">
        <v>4</v>
      </c>
      <c r="J938" s="72" t="s">
        <v>4</v>
      </c>
      <c r="K938" s="72" t="s">
        <v>4</v>
      </c>
      <c r="L938" s="74"/>
      <c r="M938" s="77" t="str">
        <f>IF(Main[[#This Row],[Tech Start Date]]&lt;1/1/1990,"",IF(Main[[#This Row],[Class]]="C",WORKDAY(Main[[#This Row],[Tech Start Date]],9),IF(Main[[#This Row],[Class]]="B", WORKDAY(Main[[#This Row],[Tech Start Date]],6),IF(Main[[#This Row],[Class]]="A",WORKDAY(Main[[#This Row],[Tech Start Date]],2),""))))</f>
        <v/>
      </c>
      <c r="N938" s="77" t="str">
        <f>IF(Main[[#This Row],[Tech Start Date]]&lt;1/1/1990,"",IF(Main[[#This Row],[Class]]="C",WORKDAY(Main[[#This Row],[Tech Start Date]],19),IF(Main[[#This Row],[Class]]="B", WORKDAY(Main[[#This Row],[Tech Start Date]],12),IF(Main[[#This Row],[Class]]="A",WORKDAY(Main[[#This Row],[Tech Start Date]],4),""))))</f>
        <v/>
      </c>
      <c r="O938" s="77" t="str">
        <f>IF(Main[[#This Row],[Tech Start Date]]&lt;1/1/1990,"",IF(Main[[#This Row],[Class]]="C",WORKDAY(Main[[#This Row],[Tech Start Date]],23),IF(Main[[#This Row],[Class]]="B", WORKDAY(Main[[#This Row],[Tech Start Date]],15),IF(Main[[#This Row],[Class]]="A",WORKDAY(Main[[#This Row],[Tech Start Date]],5),""))))</f>
        <v/>
      </c>
      <c r="P938" s="77" t="str">
        <f>IF(Main[[#This Row],[Tech Start Date]]&lt;1/1/1990,"",IF(Main[[#This Row],[Class]]="C",WORKDAY(Main[[#This Row],[Tech Start Date]],28),IF(Main[[#This Row],[Class]]="B", WORKDAY(Main[[#This Row],[Tech Start Date]],19),IF(Main[[#This Row],[Class]]="A",WORKDAY(Main[[#This Row],[Tech Start Date]],9),""))))</f>
        <v/>
      </c>
      <c r="Q938" s="74">
        <v>41105</v>
      </c>
      <c r="R938" s="74"/>
      <c r="S938" s="72" t="s">
        <v>11</v>
      </c>
      <c r="T938" s="80" t="s">
        <v>4</v>
      </c>
      <c r="U938" s="72" t="s">
        <v>7</v>
      </c>
      <c r="V938" s="72" t="s">
        <v>1920</v>
      </c>
      <c r="W938" s="72" t="s">
        <v>1928</v>
      </c>
      <c r="X938" s="72" t="s">
        <v>2852</v>
      </c>
      <c r="Y938" s="72" t="s">
        <v>3252</v>
      </c>
      <c r="Z938" s="72" t="s">
        <v>4</v>
      </c>
      <c r="AA938" s="146" t="s">
        <v>2852</v>
      </c>
    </row>
    <row r="939" spans="1:27" ht="18.600000000000001" customHeight="1">
      <c r="A939" s="139" t="str">
        <f>IF(priority(Main[[#This Row],[Comments]])&lt;&gt;0, priority(Main[[#This Row],[Comments]]),"")</f>
        <v/>
      </c>
      <c r="B939" s="89" t="s">
        <v>1098</v>
      </c>
      <c r="C939" s="72" t="s">
        <v>4</v>
      </c>
      <c r="D939" s="73" t="s">
        <v>145</v>
      </c>
      <c r="E939" s="74"/>
      <c r="F939" s="74"/>
      <c r="G939" s="75" t="str">
        <f>IF(stdProdLT(Main[[#This Row],[Comments]])=0.1,"N/A",IF(stdProdLT(Main[[#This Row],[Comments]])=0,"",stdProdLT(Main[[#This Row],[Comments]])))</f>
        <v/>
      </c>
      <c r="H939" s="76" t="str">
        <f>IF(AND(Main[[#This Row],[In Stock Date]]&lt;&gt;"",Main[[#This Row],[Revised Due Date]]&lt;&gt;""),Main[[#This Row],[In Stock Date]]-Main[[#This Row],[Revised Due Date]],"")</f>
        <v/>
      </c>
      <c r="I939" s="72" t="s">
        <v>4</v>
      </c>
      <c r="J939" s="72" t="s">
        <v>4</v>
      </c>
      <c r="K939" s="72" t="s">
        <v>4</v>
      </c>
      <c r="L939" s="74"/>
      <c r="M939" s="77" t="str">
        <f>IF(Main[[#This Row],[Tech Start Date]]&lt;1/1/1990,"",IF(Main[[#This Row],[Class]]="C",WORKDAY(Main[[#This Row],[Tech Start Date]],9),IF(Main[[#This Row],[Class]]="B", WORKDAY(Main[[#This Row],[Tech Start Date]],6),IF(Main[[#This Row],[Class]]="A",WORKDAY(Main[[#This Row],[Tech Start Date]],2),""))))</f>
        <v/>
      </c>
      <c r="N939" s="77" t="str">
        <f>IF(Main[[#This Row],[Tech Start Date]]&lt;1/1/1990,"",IF(Main[[#This Row],[Class]]="C",WORKDAY(Main[[#This Row],[Tech Start Date]],19),IF(Main[[#This Row],[Class]]="B", WORKDAY(Main[[#This Row],[Tech Start Date]],12),IF(Main[[#This Row],[Class]]="A",WORKDAY(Main[[#This Row],[Tech Start Date]],4),""))))</f>
        <v/>
      </c>
      <c r="O939" s="77" t="str">
        <f>IF(Main[[#This Row],[Tech Start Date]]&lt;1/1/1990,"",IF(Main[[#This Row],[Class]]="C",WORKDAY(Main[[#This Row],[Tech Start Date]],23),IF(Main[[#This Row],[Class]]="B", WORKDAY(Main[[#This Row],[Tech Start Date]],15),IF(Main[[#This Row],[Class]]="A",WORKDAY(Main[[#This Row],[Tech Start Date]],5),""))))</f>
        <v/>
      </c>
      <c r="P939" s="77" t="str">
        <f>IF(Main[[#This Row],[Tech Start Date]]&lt;1/1/1990,"",IF(Main[[#This Row],[Class]]="C",WORKDAY(Main[[#This Row],[Tech Start Date]],28),IF(Main[[#This Row],[Class]]="B", WORKDAY(Main[[#This Row],[Tech Start Date]],19),IF(Main[[#This Row],[Class]]="A",WORKDAY(Main[[#This Row],[Tech Start Date]],9),""))))</f>
        <v/>
      </c>
      <c r="Q939" s="74"/>
      <c r="R939" s="74"/>
      <c r="S939" s="72" t="s">
        <v>17</v>
      </c>
      <c r="T939" s="80" t="s">
        <v>4</v>
      </c>
      <c r="U939" s="72" t="s">
        <v>14</v>
      </c>
      <c r="V939" s="72" t="s">
        <v>1932</v>
      </c>
      <c r="W939" s="72" t="s">
        <v>1919</v>
      </c>
      <c r="X939" s="72" t="s">
        <v>2913</v>
      </c>
      <c r="Y939" s="72" t="s">
        <v>3111</v>
      </c>
      <c r="Z939" s="72" t="s">
        <v>4</v>
      </c>
      <c r="AA939" s="146" t="s">
        <v>2913</v>
      </c>
    </row>
    <row r="940" spans="1:27" ht="18.600000000000001" customHeight="1">
      <c r="A940" s="139" t="str">
        <f>IF(priority(Main[[#This Row],[Comments]])&lt;&gt;0, priority(Main[[#This Row],[Comments]]),"")</f>
        <v/>
      </c>
      <c r="B940" s="89" t="s">
        <v>1684</v>
      </c>
      <c r="C940" s="72" t="s">
        <v>37</v>
      </c>
      <c r="D940" s="73" t="s">
        <v>2397</v>
      </c>
      <c r="E940" s="74">
        <v>40682.483831018515</v>
      </c>
      <c r="F940" s="74"/>
      <c r="G940" s="75" t="str">
        <f>IF(stdProdLT(Main[[#This Row],[Comments]])=0.1,"N/A",IF(stdProdLT(Main[[#This Row],[Comments]])=0,"",stdProdLT(Main[[#This Row],[Comments]])))</f>
        <v/>
      </c>
      <c r="H940" s="76" t="str">
        <f>IF(AND(Main[[#This Row],[In Stock Date]]&lt;&gt;"",Main[[#This Row],[Revised Due Date]]&lt;&gt;""),Main[[#This Row],[In Stock Date]]-Main[[#This Row],[Revised Due Date]],"")</f>
        <v/>
      </c>
      <c r="I940" s="72" t="s">
        <v>4</v>
      </c>
      <c r="J940" s="72" t="s">
        <v>4</v>
      </c>
      <c r="K940" s="72" t="s">
        <v>4</v>
      </c>
      <c r="L940" s="74"/>
      <c r="M940" s="77" t="str">
        <f>IF(Main[[#This Row],[Tech Start Date]]&lt;1/1/1990,"",IF(Main[[#This Row],[Class]]="C",WORKDAY(Main[[#This Row],[Tech Start Date]],9),IF(Main[[#This Row],[Class]]="B", WORKDAY(Main[[#This Row],[Tech Start Date]],6),IF(Main[[#This Row],[Class]]="A",WORKDAY(Main[[#This Row],[Tech Start Date]],2),""))))</f>
        <v/>
      </c>
      <c r="N940" s="77" t="str">
        <f>IF(Main[[#This Row],[Tech Start Date]]&lt;1/1/1990,"",IF(Main[[#This Row],[Class]]="C",WORKDAY(Main[[#This Row],[Tech Start Date]],19),IF(Main[[#This Row],[Class]]="B", WORKDAY(Main[[#This Row],[Tech Start Date]],12),IF(Main[[#This Row],[Class]]="A",WORKDAY(Main[[#This Row],[Tech Start Date]],4),""))))</f>
        <v/>
      </c>
      <c r="O940" s="77" t="str">
        <f>IF(Main[[#This Row],[Tech Start Date]]&lt;1/1/1990,"",IF(Main[[#This Row],[Class]]="C",WORKDAY(Main[[#This Row],[Tech Start Date]],23),IF(Main[[#This Row],[Class]]="B", WORKDAY(Main[[#This Row],[Tech Start Date]],15),IF(Main[[#This Row],[Class]]="A",WORKDAY(Main[[#This Row],[Tech Start Date]],5),""))))</f>
        <v/>
      </c>
      <c r="P940" s="77" t="str">
        <f>IF(Main[[#This Row],[Tech Start Date]]&lt;1/1/1990,"",IF(Main[[#This Row],[Class]]="C",WORKDAY(Main[[#This Row],[Tech Start Date]],28),IF(Main[[#This Row],[Class]]="B", WORKDAY(Main[[#This Row],[Tech Start Date]],19),IF(Main[[#This Row],[Class]]="A",WORKDAY(Main[[#This Row],[Tech Start Date]],9),""))))</f>
        <v/>
      </c>
      <c r="Q940" s="74">
        <v>40700</v>
      </c>
      <c r="R940" s="74"/>
      <c r="S940" s="72" t="s">
        <v>6</v>
      </c>
      <c r="T940" s="80" t="s">
        <v>4</v>
      </c>
      <c r="U940" s="72" t="s">
        <v>534</v>
      </c>
      <c r="V940" s="72" t="s">
        <v>1917</v>
      </c>
      <c r="W940" s="72" t="s">
        <v>1928</v>
      </c>
      <c r="X940" s="72" t="s">
        <v>972</v>
      </c>
      <c r="Y940" s="72" t="s">
        <v>3103</v>
      </c>
      <c r="Z940" s="72" t="s">
        <v>4</v>
      </c>
      <c r="AA940" s="146" t="s">
        <v>972</v>
      </c>
    </row>
    <row r="941" spans="1:27" ht="18.600000000000001" customHeight="1">
      <c r="A941" s="139" t="str">
        <f>IF(priority(Main[[#This Row],[Comments]])&lt;&gt;0, priority(Main[[#This Row],[Comments]]),"")</f>
        <v/>
      </c>
      <c r="B941" s="89" t="s">
        <v>1753</v>
      </c>
      <c r="C941" s="72" t="s">
        <v>694</v>
      </c>
      <c r="D941" s="73" t="s">
        <v>695</v>
      </c>
      <c r="E941" s="74"/>
      <c r="F941" s="74"/>
      <c r="G941" s="75" t="str">
        <f>IF(stdProdLT(Main[[#This Row],[Comments]])=0.1,"N/A",IF(stdProdLT(Main[[#This Row],[Comments]])=0,"",stdProdLT(Main[[#This Row],[Comments]])))</f>
        <v/>
      </c>
      <c r="H941" s="76" t="str">
        <f>IF(AND(Main[[#This Row],[In Stock Date]]&lt;&gt;"",Main[[#This Row],[Revised Due Date]]&lt;&gt;""),Main[[#This Row],[In Stock Date]]-Main[[#This Row],[Revised Due Date]],"")</f>
        <v/>
      </c>
      <c r="I941" s="72" t="s">
        <v>4</v>
      </c>
      <c r="J941" s="72" t="s">
        <v>4</v>
      </c>
      <c r="K941" s="72" t="s">
        <v>4</v>
      </c>
      <c r="L941" s="74"/>
      <c r="M941" s="77" t="str">
        <f>IF(Main[[#This Row],[Tech Start Date]]&lt;1/1/1990,"",IF(Main[[#This Row],[Class]]="C",WORKDAY(Main[[#This Row],[Tech Start Date]],9),IF(Main[[#This Row],[Class]]="B", WORKDAY(Main[[#This Row],[Tech Start Date]],6),IF(Main[[#This Row],[Class]]="A",WORKDAY(Main[[#This Row],[Tech Start Date]],2),""))))</f>
        <v/>
      </c>
      <c r="N941" s="77" t="str">
        <f>IF(Main[[#This Row],[Tech Start Date]]&lt;1/1/1990,"",IF(Main[[#This Row],[Class]]="C",WORKDAY(Main[[#This Row],[Tech Start Date]],19),IF(Main[[#This Row],[Class]]="B", WORKDAY(Main[[#This Row],[Tech Start Date]],12),IF(Main[[#This Row],[Class]]="A",WORKDAY(Main[[#This Row],[Tech Start Date]],4),""))))</f>
        <v/>
      </c>
      <c r="O941" s="77" t="str">
        <f>IF(Main[[#This Row],[Tech Start Date]]&lt;1/1/1990,"",IF(Main[[#This Row],[Class]]="C",WORKDAY(Main[[#This Row],[Tech Start Date]],23),IF(Main[[#This Row],[Class]]="B", WORKDAY(Main[[#This Row],[Tech Start Date]],15),IF(Main[[#This Row],[Class]]="A",WORKDAY(Main[[#This Row],[Tech Start Date]],5),""))))</f>
        <v/>
      </c>
      <c r="P941" s="77" t="str">
        <f>IF(Main[[#This Row],[Tech Start Date]]&lt;1/1/1990,"",IF(Main[[#This Row],[Class]]="C",WORKDAY(Main[[#This Row],[Tech Start Date]],28),IF(Main[[#This Row],[Class]]="B", WORKDAY(Main[[#This Row],[Tech Start Date]],19),IF(Main[[#This Row],[Class]]="A",WORKDAY(Main[[#This Row],[Tech Start Date]],9),""))))</f>
        <v/>
      </c>
      <c r="Q941" s="74">
        <v>40672</v>
      </c>
      <c r="R941" s="74"/>
      <c r="S941" s="72" t="s">
        <v>11</v>
      </c>
      <c r="T941" s="80" t="s">
        <v>4</v>
      </c>
      <c r="U941" s="72" t="s">
        <v>12</v>
      </c>
      <c r="V941" s="72" t="s">
        <v>1917</v>
      </c>
      <c r="W941" s="72" t="s">
        <v>1919</v>
      </c>
      <c r="X941" s="72" t="s">
        <v>2914</v>
      </c>
      <c r="Y941" s="72" t="s">
        <v>4</v>
      </c>
      <c r="Z941" s="72" t="s">
        <v>4</v>
      </c>
      <c r="AA941" s="146" t="s">
        <v>2914</v>
      </c>
    </row>
    <row r="942" spans="1:27" ht="18.600000000000001" customHeight="1">
      <c r="A942" s="139" t="str">
        <f>IF(priority(Main[[#This Row],[Comments]])&lt;&gt;0, priority(Main[[#This Row],[Comments]]),"")</f>
        <v/>
      </c>
      <c r="B942" s="89" t="s">
        <v>1754</v>
      </c>
      <c r="C942" s="72" t="s">
        <v>4</v>
      </c>
      <c r="D942" s="73" t="s">
        <v>801</v>
      </c>
      <c r="E942" s="74"/>
      <c r="F942" s="74"/>
      <c r="G942" s="75" t="str">
        <f>IF(stdProdLT(Main[[#This Row],[Comments]])=0.1,"N/A",IF(stdProdLT(Main[[#This Row],[Comments]])=0,"",stdProdLT(Main[[#This Row],[Comments]])))</f>
        <v/>
      </c>
      <c r="H942" s="76" t="str">
        <f>IF(AND(Main[[#This Row],[In Stock Date]]&lt;&gt;"",Main[[#This Row],[Revised Due Date]]&lt;&gt;""),Main[[#This Row],[In Stock Date]]-Main[[#This Row],[Revised Due Date]],"")</f>
        <v/>
      </c>
      <c r="I942" s="72" t="s">
        <v>4</v>
      </c>
      <c r="J942" s="72" t="s">
        <v>28</v>
      </c>
      <c r="K942" s="81" t="s">
        <v>1926</v>
      </c>
      <c r="L942" s="74"/>
      <c r="M942" s="77" t="str">
        <f>IF(Main[[#This Row],[Tech Start Date]]&lt;1/1/1990,"",IF(Main[[#This Row],[Class]]="C",WORKDAY(Main[[#This Row],[Tech Start Date]],9),IF(Main[[#This Row],[Class]]="B", WORKDAY(Main[[#This Row],[Tech Start Date]],6),IF(Main[[#This Row],[Class]]="A",WORKDAY(Main[[#This Row],[Tech Start Date]],2),""))))</f>
        <v/>
      </c>
      <c r="N942" s="77" t="str">
        <f>IF(Main[[#This Row],[Tech Start Date]]&lt;1/1/1990,"",IF(Main[[#This Row],[Class]]="C",WORKDAY(Main[[#This Row],[Tech Start Date]],19),IF(Main[[#This Row],[Class]]="B", WORKDAY(Main[[#This Row],[Tech Start Date]],12),IF(Main[[#This Row],[Class]]="A",WORKDAY(Main[[#This Row],[Tech Start Date]],4),""))))</f>
        <v/>
      </c>
      <c r="O942" s="77" t="str">
        <f>IF(Main[[#This Row],[Tech Start Date]]&lt;1/1/1990,"",IF(Main[[#This Row],[Class]]="C",WORKDAY(Main[[#This Row],[Tech Start Date]],23),IF(Main[[#This Row],[Class]]="B", WORKDAY(Main[[#This Row],[Tech Start Date]],15),IF(Main[[#This Row],[Class]]="A",WORKDAY(Main[[#This Row],[Tech Start Date]],5),""))))</f>
        <v/>
      </c>
      <c r="P942" s="77" t="str">
        <f>IF(Main[[#This Row],[Tech Start Date]]&lt;1/1/1990,"",IF(Main[[#This Row],[Class]]="C",WORKDAY(Main[[#This Row],[Tech Start Date]],28),IF(Main[[#This Row],[Class]]="B", WORKDAY(Main[[#This Row],[Tech Start Date]],19),IF(Main[[#This Row],[Class]]="A",WORKDAY(Main[[#This Row],[Tech Start Date]],9),""))))</f>
        <v/>
      </c>
      <c r="Q942" s="74">
        <v>40672</v>
      </c>
      <c r="R942" s="74"/>
      <c r="S942" s="72" t="s">
        <v>6</v>
      </c>
      <c r="T942" s="80" t="s">
        <v>4</v>
      </c>
      <c r="U942" s="72" t="s">
        <v>14</v>
      </c>
      <c r="V942" s="72" t="s">
        <v>1920</v>
      </c>
      <c r="W942" s="72" t="s">
        <v>1919</v>
      </c>
      <c r="X942" s="72" t="s">
        <v>2828</v>
      </c>
      <c r="Y942" s="72" t="s">
        <v>2944</v>
      </c>
      <c r="Z942" s="72" t="s">
        <v>530</v>
      </c>
      <c r="AA942" s="146" t="s">
        <v>2828</v>
      </c>
    </row>
    <row r="943" spans="1:27" ht="18.600000000000001" customHeight="1">
      <c r="A943" s="139" t="str">
        <f>IF(priority(Main[[#This Row],[Comments]])&lt;&gt;0, priority(Main[[#This Row],[Comments]]),"")</f>
        <v/>
      </c>
      <c r="B943" s="89" t="s">
        <v>2712</v>
      </c>
      <c r="C943" s="72" t="s">
        <v>47</v>
      </c>
      <c r="D943" s="73" t="s">
        <v>3338</v>
      </c>
      <c r="E943" s="74">
        <v>40893.759675925925</v>
      </c>
      <c r="F943" s="74"/>
      <c r="G943" s="75" t="str">
        <f>IF(stdProdLT(Main[[#This Row],[Comments]])=0.1,"N/A",IF(stdProdLT(Main[[#This Row],[Comments]])=0,"",stdProdLT(Main[[#This Row],[Comments]])))</f>
        <v/>
      </c>
      <c r="H943" s="76" t="str">
        <f>IF(AND(Main[[#This Row],[In Stock Date]]&lt;&gt;"",Main[[#This Row],[Revised Due Date]]&lt;&gt;""),Main[[#This Row],[In Stock Date]]-Main[[#This Row],[Revised Due Date]],"")</f>
        <v/>
      </c>
      <c r="I943" s="72" t="s">
        <v>4</v>
      </c>
      <c r="J943" s="72" t="s">
        <v>4</v>
      </c>
      <c r="K943" s="72" t="s">
        <v>4</v>
      </c>
      <c r="L943" s="74"/>
      <c r="M943" s="77" t="str">
        <f>IF(Main[[#This Row],[Tech Start Date]]&lt;1/1/1990,"",IF(Main[[#This Row],[Class]]="C",WORKDAY(Main[[#This Row],[Tech Start Date]],9),IF(Main[[#This Row],[Class]]="B", WORKDAY(Main[[#This Row],[Tech Start Date]],6),IF(Main[[#This Row],[Class]]="A",WORKDAY(Main[[#This Row],[Tech Start Date]],2),""))))</f>
        <v/>
      </c>
      <c r="N943" s="77" t="str">
        <f>IF(Main[[#This Row],[Tech Start Date]]&lt;1/1/1990,"",IF(Main[[#This Row],[Class]]="C",WORKDAY(Main[[#This Row],[Tech Start Date]],19),IF(Main[[#This Row],[Class]]="B", WORKDAY(Main[[#This Row],[Tech Start Date]],12),IF(Main[[#This Row],[Class]]="A",WORKDAY(Main[[#This Row],[Tech Start Date]],4),""))))</f>
        <v/>
      </c>
      <c r="O943" s="77" t="str">
        <f>IF(Main[[#This Row],[Tech Start Date]]&lt;1/1/1990,"",IF(Main[[#This Row],[Class]]="C",WORKDAY(Main[[#This Row],[Tech Start Date]],23),IF(Main[[#This Row],[Class]]="B", WORKDAY(Main[[#This Row],[Tech Start Date]],15),IF(Main[[#This Row],[Class]]="A",WORKDAY(Main[[#This Row],[Tech Start Date]],5),""))))</f>
        <v/>
      </c>
      <c r="P943" s="77" t="str">
        <f>IF(Main[[#This Row],[Tech Start Date]]&lt;1/1/1990,"",IF(Main[[#This Row],[Class]]="C",WORKDAY(Main[[#This Row],[Tech Start Date]],28),IF(Main[[#This Row],[Class]]="B", WORKDAY(Main[[#This Row],[Tech Start Date]],19),IF(Main[[#This Row],[Class]]="A",WORKDAY(Main[[#This Row],[Tech Start Date]],9),""))))</f>
        <v/>
      </c>
      <c r="Q943" s="74">
        <v>40924</v>
      </c>
      <c r="R943" s="74"/>
      <c r="S943" s="72" t="s">
        <v>6</v>
      </c>
      <c r="T943" s="80" t="s">
        <v>4</v>
      </c>
      <c r="U943" s="72" t="s">
        <v>29</v>
      </c>
      <c r="V943" s="72" t="s">
        <v>2288</v>
      </c>
      <c r="W943" s="72" t="s">
        <v>4</v>
      </c>
      <c r="X943" s="72" t="s">
        <v>2871</v>
      </c>
      <c r="Y943" s="72" t="s">
        <v>3016</v>
      </c>
      <c r="Z943" s="72" t="s">
        <v>4</v>
      </c>
      <c r="AA943" s="146" t="s">
        <v>2871</v>
      </c>
    </row>
    <row r="944" spans="1:27" ht="18.600000000000001" customHeight="1">
      <c r="A944" s="139" t="str">
        <f>IF(priority(Main[[#This Row],[Comments]])&lt;&gt;0, priority(Main[[#This Row],[Comments]]),"")</f>
        <v/>
      </c>
      <c r="B944" s="89" t="s">
        <v>3339</v>
      </c>
      <c r="C944" s="72" t="s">
        <v>47</v>
      </c>
      <c r="D944" s="73" t="s">
        <v>3340</v>
      </c>
      <c r="E944" s="74">
        <v>40938.416261574072</v>
      </c>
      <c r="F944" s="74"/>
      <c r="G944" s="75" t="str">
        <f>IF(stdProdLT(Main[[#This Row],[Comments]])=0.1,"N/A",IF(stdProdLT(Main[[#This Row],[Comments]])=0,"",stdProdLT(Main[[#This Row],[Comments]])))</f>
        <v/>
      </c>
      <c r="H944" s="76" t="str">
        <f>IF(AND(Main[[#This Row],[In Stock Date]]&lt;&gt;"",Main[[#This Row],[Revised Due Date]]&lt;&gt;""),Main[[#This Row],[In Stock Date]]-Main[[#This Row],[Revised Due Date]],"")</f>
        <v/>
      </c>
      <c r="I944" s="72" t="s">
        <v>4</v>
      </c>
      <c r="J944" s="72" t="s">
        <v>4</v>
      </c>
      <c r="K944" s="72" t="s">
        <v>4</v>
      </c>
      <c r="L944" s="74"/>
      <c r="M944" s="77" t="str">
        <f>IF(Main[[#This Row],[Tech Start Date]]&lt;1/1/1990,"",IF(Main[[#This Row],[Class]]="C",WORKDAY(Main[[#This Row],[Tech Start Date]],9),IF(Main[[#This Row],[Class]]="B", WORKDAY(Main[[#This Row],[Tech Start Date]],6),IF(Main[[#This Row],[Class]]="A",WORKDAY(Main[[#This Row],[Tech Start Date]],2),""))))</f>
        <v/>
      </c>
      <c r="N944" s="77" t="str">
        <f>IF(Main[[#This Row],[Tech Start Date]]&lt;1/1/1990,"",IF(Main[[#This Row],[Class]]="C",WORKDAY(Main[[#This Row],[Tech Start Date]],19),IF(Main[[#This Row],[Class]]="B", WORKDAY(Main[[#This Row],[Tech Start Date]],12),IF(Main[[#This Row],[Class]]="A",WORKDAY(Main[[#This Row],[Tech Start Date]],4),""))))</f>
        <v/>
      </c>
      <c r="O944" s="77" t="str">
        <f>IF(Main[[#This Row],[Tech Start Date]]&lt;1/1/1990,"",IF(Main[[#This Row],[Class]]="C",WORKDAY(Main[[#This Row],[Tech Start Date]],23),IF(Main[[#This Row],[Class]]="B", WORKDAY(Main[[#This Row],[Tech Start Date]],15),IF(Main[[#This Row],[Class]]="A",WORKDAY(Main[[#This Row],[Tech Start Date]],5),""))))</f>
        <v/>
      </c>
      <c r="P944" s="77" t="str">
        <f>IF(Main[[#This Row],[Tech Start Date]]&lt;1/1/1990,"",IF(Main[[#This Row],[Class]]="C",WORKDAY(Main[[#This Row],[Tech Start Date]],28),IF(Main[[#This Row],[Class]]="B", WORKDAY(Main[[#This Row],[Tech Start Date]],19),IF(Main[[#This Row],[Class]]="A",WORKDAY(Main[[#This Row],[Tech Start Date]],9),""))))</f>
        <v/>
      </c>
      <c r="Q944" s="74">
        <v>40575</v>
      </c>
      <c r="R944" s="74"/>
      <c r="S944" s="72" t="s">
        <v>6</v>
      </c>
      <c r="T944" s="80" t="s">
        <v>4</v>
      </c>
      <c r="U944" s="72" t="s">
        <v>7</v>
      </c>
      <c r="V944" s="72" t="s">
        <v>2288</v>
      </c>
      <c r="W944" s="72" t="s">
        <v>4</v>
      </c>
      <c r="X944" s="72" t="s">
        <v>2871</v>
      </c>
      <c r="Y944" s="72" t="s">
        <v>3016</v>
      </c>
      <c r="Z944" s="72" t="s">
        <v>4</v>
      </c>
      <c r="AA944" s="146" t="s">
        <v>2871</v>
      </c>
    </row>
    <row r="945" spans="1:27" ht="18.600000000000001" customHeight="1">
      <c r="A945" s="139" t="str">
        <f>IF(priority(Main[[#This Row],[Comments]])&lt;&gt;0, priority(Main[[#This Row],[Comments]]),"")</f>
        <v/>
      </c>
      <c r="B945" s="89" t="s">
        <v>1755</v>
      </c>
      <c r="C945" s="72" t="s">
        <v>72</v>
      </c>
      <c r="D945" s="73" t="s">
        <v>802</v>
      </c>
      <c r="E945" s="74"/>
      <c r="F945" s="74"/>
      <c r="G945" s="75" t="str">
        <f>IF(stdProdLT(Main[[#This Row],[Comments]])=0.1,"N/A",IF(stdProdLT(Main[[#This Row],[Comments]])=0,"",stdProdLT(Main[[#This Row],[Comments]])))</f>
        <v/>
      </c>
      <c r="H945" s="76" t="str">
        <f>IF(AND(Main[[#This Row],[In Stock Date]]&lt;&gt;"",Main[[#This Row],[Revised Due Date]]&lt;&gt;""),Main[[#This Row],[In Stock Date]]-Main[[#This Row],[Revised Due Date]],"")</f>
        <v/>
      </c>
      <c r="I945" s="72" t="s">
        <v>4</v>
      </c>
      <c r="J945" s="72" t="s">
        <v>52</v>
      </c>
      <c r="K945" s="72" t="s">
        <v>4</v>
      </c>
      <c r="L945" s="74"/>
      <c r="M945" s="77" t="str">
        <f>IF(Main[[#This Row],[Tech Start Date]]&lt;1/1/1990,"",IF(Main[[#This Row],[Class]]="C",WORKDAY(Main[[#This Row],[Tech Start Date]],9),IF(Main[[#This Row],[Class]]="B", WORKDAY(Main[[#This Row],[Tech Start Date]],6),IF(Main[[#This Row],[Class]]="A",WORKDAY(Main[[#This Row],[Tech Start Date]],2),""))))</f>
        <v/>
      </c>
      <c r="N945" s="77" t="str">
        <f>IF(Main[[#This Row],[Tech Start Date]]&lt;1/1/1990,"",IF(Main[[#This Row],[Class]]="C",WORKDAY(Main[[#This Row],[Tech Start Date]],19),IF(Main[[#This Row],[Class]]="B", WORKDAY(Main[[#This Row],[Tech Start Date]],12),IF(Main[[#This Row],[Class]]="A",WORKDAY(Main[[#This Row],[Tech Start Date]],4),""))))</f>
        <v/>
      </c>
      <c r="O945" s="77" t="str">
        <f>IF(Main[[#This Row],[Tech Start Date]]&lt;1/1/1990,"",IF(Main[[#This Row],[Class]]="C",WORKDAY(Main[[#This Row],[Tech Start Date]],23),IF(Main[[#This Row],[Class]]="B", WORKDAY(Main[[#This Row],[Tech Start Date]],15),IF(Main[[#This Row],[Class]]="A",WORKDAY(Main[[#This Row],[Tech Start Date]],5),""))))</f>
        <v/>
      </c>
      <c r="P945" s="77" t="str">
        <f>IF(Main[[#This Row],[Tech Start Date]]&lt;1/1/1990,"",IF(Main[[#This Row],[Class]]="C",WORKDAY(Main[[#This Row],[Tech Start Date]],28),IF(Main[[#This Row],[Class]]="B", WORKDAY(Main[[#This Row],[Tech Start Date]],19),IF(Main[[#This Row],[Class]]="A",WORKDAY(Main[[#This Row],[Tech Start Date]],9),""))))</f>
        <v/>
      </c>
      <c r="Q945" s="74">
        <v>40482</v>
      </c>
      <c r="R945" s="74"/>
      <c r="S945" s="72" t="s">
        <v>11</v>
      </c>
      <c r="T945" s="80" t="s">
        <v>4</v>
      </c>
      <c r="U945" s="72" t="s">
        <v>14</v>
      </c>
      <c r="V945" s="72" t="s">
        <v>1920</v>
      </c>
      <c r="W945" s="72" t="s">
        <v>1925</v>
      </c>
      <c r="X945" s="72" t="s">
        <v>2907</v>
      </c>
      <c r="Y945" s="72" t="s">
        <v>2984</v>
      </c>
      <c r="Z945" s="72" t="s">
        <v>2054</v>
      </c>
      <c r="AA945" s="146" t="s">
        <v>2853</v>
      </c>
    </row>
    <row r="946" spans="1:27" ht="18.600000000000001" customHeight="1">
      <c r="A946" s="139" t="str">
        <f>IF(priority(Main[[#This Row],[Comments]])&lt;&gt;0, priority(Main[[#This Row],[Comments]]),"")</f>
        <v/>
      </c>
      <c r="B946" s="89" t="s">
        <v>1756</v>
      </c>
      <c r="C946" s="72" t="s">
        <v>4</v>
      </c>
      <c r="D946" s="73" t="s">
        <v>803</v>
      </c>
      <c r="E946" s="74"/>
      <c r="F946" s="74"/>
      <c r="G946" s="75" t="str">
        <f>IF(stdProdLT(Main[[#This Row],[Comments]])=0.1,"N/A",IF(stdProdLT(Main[[#This Row],[Comments]])=0,"",stdProdLT(Main[[#This Row],[Comments]])))</f>
        <v/>
      </c>
      <c r="H946" s="76" t="str">
        <f>IF(AND(Main[[#This Row],[In Stock Date]]&lt;&gt;"",Main[[#This Row],[Revised Due Date]]&lt;&gt;""),Main[[#This Row],[In Stock Date]]-Main[[#This Row],[Revised Due Date]],"")</f>
        <v/>
      </c>
      <c r="I946" s="72" t="s">
        <v>399</v>
      </c>
      <c r="J946" s="72" t="s">
        <v>4</v>
      </c>
      <c r="K946" s="72" t="s">
        <v>4</v>
      </c>
      <c r="L946" s="74"/>
      <c r="M946" s="77" t="str">
        <f>IF(Main[[#This Row],[Tech Start Date]]&lt;1/1/1990,"",IF(Main[[#This Row],[Class]]="C",WORKDAY(Main[[#This Row],[Tech Start Date]],9),IF(Main[[#This Row],[Class]]="B", WORKDAY(Main[[#This Row],[Tech Start Date]],6),IF(Main[[#This Row],[Class]]="A",WORKDAY(Main[[#This Row],[Tech Start Date]],2),""))))</f>
        <v/>
      </c>
      <c r="N946" s="77" t="str">
        <f>IF(Main[[#This Row],[Tech Start Date]]&lt;1/1/1990,"",IF(Main[[#This Row],[Class]]="C",WORKDAY(Main[[#This Row],[Tech Start Date]],19),IF(Main[[#This Row],[Class]]="B", WORKDAY(Main[[#This Row],[Tech Start Date]],12),IF(Main[[#This Row],[Class]]="A",WORKDAY(Main[[#This Row],[Tech Start Date]],4),""))))</f>
        <v/>
      </c>
      <c r="O946" s="77" t="str">
        <f>IF(Main[[#This Row],[Tech Start Date]]&lt;1/1/1990,"",IF(Main[[#This Row],[Class]]="C",WORKDAY(Main[[#This Row],[Tech Start Date]],23),IF(Main[[#This Row],[Class]]="B", WORKDAY(Main[[#This Row],[Tech Start Date]],15),IF(Main[[#This Row],[Class]]="A",WORKDAY(Main[[#This Row],[Tech Start Date]],5),""))))</f>
        <v/>
      </c>
      <c r="P946" s="77" t="str">
        <f>IF(Main[[#This Row],[Tech Start Date]]&lt;1/1/1990,"",IF(Main[[#This Row],[Class]]="C",WORKDAY(Main[[#This Row],[Tech Start Date]],28),IF(Main[[#This Row],[Class]]="B", WORKDAY(Main[[#This Row],[Tech Start Date]],19),IF(Main[[#This Row],[Class]]="A",WORKDAY(Main[[#This Row],[Tech Start Date]],9),""))))</f>
        <v/>
      </c>
      <c r="Q946" s="74">
        <v>40359</v>
      </c>
      <c r="R946" s="74"/>
      <c r="S946" s="72" t="s">
        <v>11</v>
      </c>
      <c r="T946" s="80" t="s">
        <v>4</v>
      </c>
      <c r="U946" s="72" t="s">
        <v>14</v>
      </c>
      <c r="V946" s="72" t="s">
        <v>1920</v>
      </c>
      <c r="W946" s="72" t="s">
        <v>1923</v>
      </c>
      <c r="X946" s="72" t="s">
        <v>2887</v>
      </c>
      <c r="Y946" s="72" t="s">
        <v>3036</v>
      </c>
      <c r="Z946" s="72" t="s">
        <v>306</v>
      </c>
      <c r="AA946" s="146" t="s">
        <v>2887</v>
      </c>
    </row>
    <row r="947" spans="1:27" ht="18.600000000000001" customHeight="1">
      <c r="A947" s="139" t="str">
        <f>IF(priority(Main[[#This Row],[Comments]])&lt;&gt;0, priority(Main[[#This Row],[Comments]]),"")</f>
        <v/>
      </c>
      <c r="B947" s="89" t="s">
        <v>1757</v>
      </c>
      <c r="C947" s="72" t="s">
        <v>42</v>
      </c>
      <c r="D947" s="73" t="s">
        <v>804</v>
      </c>
      <c r="E947" s="74">
        <v>39932.448611111111</v>
      </c>
      <c r="F947" s="74"/>
      <c r="G947" s="75" t="str">
        <f>IF(stdProdLT(Main[[#This Row],[Comments]])=0.1,"N/A",IF(stdProdLT(Main[[#This Row],[Comments]])=0,"",stdProdLT(Main[[#This Row],[Comments]])))</f>
        <v/>
      </c>
      <c r="H947" s="76" t="str">
        <f>IF(AND(Main[[#This Row],[In Stock Date]]&lt;&gt;"",Main[[#This Row],[Revised Due Date]]&lt;&gt;""),Main[[#This Row],[In Stock Date]]-Main[[#This Row],[Revised Due Date]],"")</f>
        <v/>
      </c>
      <c r="I947" s="72" t="s">
        <v>4</v>
      </c>
      <c r="J947" s="72" t="s">
        <v>4</v>
      </c>
      <c r="K947" s="72" t="s">
        <v>4</v>
      </c>
      <c r="L947" s="74"/>
      <c r="M947" s="77" t="str">
        <f>IF(Main[[#This Row],[Tech Start Date]]&lt;1/1/1990,"",IF(Main[[#This Row],[Class]]="C",WORKDAY(Main[[#This Row],[Tech Start Date]],9),IF(Main[[#This Row],[Class]]="B", WORKDAY(Main[[#This Row],[Tech Start Date]],6),IF(Main[[#This Row],[Class]]="A",WORKDAY(Main[[#This Row],[Tech Start Date]],2),""))))</f>
        <v/>
      </c>
      <c r="N947" s="77" t="str">
        <f>IF(Main[[#This Row],[Tech Start Date]]&lt;1/1/1990,"",IF(Main[[#This Row],[Class]]="C",WORKDAY(Main[[#This Row],[Tech Start Date]],19),IF(Main[[#This Row],[Class]]="B", WORKDAY(Main[[#This Row],[Tech Start Date]],12),IF(Main[[#This Row],[Class]]="A",WORKDAY(Main[[#This Row],[Tech Start Date]],4),""))))</f>
        <v/>
      </c>
      <c r="O947" s="77" t="str">
        <f>IF(Main[[#This Row],[Tech Start Date]]&lt;1/1/1990,"",IF(Main[[#This Row],[Class]]="C",WORKDAY(Main[[#This Row],[Tech Start Date]],23),IF(Main[[#This Row],[Class]]="B", WORKDAY(Main[[#This Row],[Tech Start Date]],15),IF(Main[[#This Row],[Class]]="A",WORKDAY(Main[[#This Row],[Tech Start Date]],5),""))))</f>
        <v/>
      </c>
      <c r="P947" s="77" t="str">
        <f>IF(Main[[#This Row],[Tech Start Date]]&lt;1/1/1990,"",IF(Main[[#This Row],[Class]]="C",WORKDAY(Main[[#This Row],[Tech Start Date]],28),IF(Main[[#This Row],[Class]]="B", WORKDAY(Main[[#This Row],[Tech Start Date]],19),IF(Main[[#This Row],[Class]]="A",WORKDAY(Main[[#This Row],[Tech Start Date]],9),""))))</f>
        <v/>
      </c>
      <c r="Q947" s="74"/>
      <c r="R947" s="74"/>
      <c r="S947" s="72" t="s">
        <v>17</v>
      </c>
      <c r="T947" s="80" t="s">
        <v>4</v>
      </c>
      <c r="U947" s="72" t="s">
        <v>7</v>
      </c>
      <c r="V947" s="72" t="s">
        <v>1920</v>
      </c>
      <c r="W947" s="72" t="s">
        <v>4</v>
      </c>
      <c r="X947" s="72" t="s">
        <v>399</v>
      </c>
      <c r="Y947" s="72" t="s">
        <v>4</v>
      </c>
      <c r="Z947" s="72" t="s">
        <v>4</v>
      </c>
      <c r="AA947" s="146" t="s">
        <v>4</v>
      </c>
    </row>
    <row r="948" spans="1:27" ht="18.600000000000001" customHeight="1">
      <c r="A948" s="139" t="str">
        <f>IF(priority(Main[[#This Row],[Comments]])&lt;&gt;0, priority(Main[[#This Row],[Comments]]),"")</f>
        <v/>
      </c>
      <c r="B948" s="89" t="s">
        <v>1716</v>
      </c>
      <c r="C948" s="72" t="s">
        <v>4</v>
      </c>
      <c r="D948" s="73" t="s">
        <v>766</v>
      </c>
      <c r="E948" s="74"/>
      <c r="F948" s="74"/>
      <c r="G948" s="75" t="str">
        <f>IF(stdProdLT(Main[[#This Row],[Comments]])=0.1,"N/A",IF(stdProdLT(Main[[#This Row],[Comments]])=0,"",stdProdLT(Main[[#This Row],[Comments]])))</f>
        <v/>
      </c>
      <c r="H948" s="76" t="str">
        <f>IF(AND(Main[[#This Row],[In Stock Date]]&lt;&gt;"",Main[[#This Row],[Revised Due Date]]&lt;&gt;""),Main[[#This Row],[In Stock Date]]-Main[[#This Row],[Revised Due Date]],"")</f>
        <v/>
      </c>
      <c r="I948" s="72" t="s">
        <v>399</v>
      </c>
      <c r="J948" s="72" t="s">
        <v>75</v>
      </c>
      <c r="K948" s="72" t="s">
        <v>4</v>
      </c>
      <c r="L948" s="74"/>
      <c r="M948" s="77" t="str">
        <f>IF(Main[[#This Row],[Tech Start Date]]&lt;1/1/1990,"",IF(Main[[#This Row],[Class]]="C",WORKDAY(Main[[#This Row],[Tech Start Date]],9),IF(Main[[#This Row],[Class]]="B", WORKDAY(Main[[#This Row],[Tech Start Date]],6),IF(Main[[#This Row],[Class]]="A",WORKDAY(Main[[#This Row],[Tech Start Date]],2),""))))</f>
        <v/>
      </c>
      <c r="N948" s="77" t="str">
        <f>IF(Main[[#This Row],[Tech Start Date]]&lt;1/1/1990,"",IF(Main[[#This Row],[Class]]="C",WORKDAY(Main[[#This Row],[Tech Start Date]],19),IF(Main[[#This Row],[Class]]="B", WORKDAY(Main[[#This Row],[Tech Start Date]],12),IF(Main[[#This Row],[Class]]="A",WORKDAY(Main[[#This Row],[Tech Start Date]],4),""))))</f>
        <v/>
      </c>
      <c r="O948" s="77" t="str">
        <f>IF(Main[[#This Row],[Tech Start Date]]&lt;1/1/1990,"",IF(Main[[#This Row],[Class]]="C",WORKDAY(Main[[#This Row],[Tech Start Date]],23),IF(Main[[#This Row],[Class]]="B", WORKDAY(Main[[#This Row],[Tech Start Date]],15),IF(Main[[#This Row],[Class]]="A",WORKDAY(Main[[#This Row],[Tech Start Date]],5),""))))</f>
        <v/>
      </c>
      <c r="P948" s="77" t="str">
        <f>IF(Main[[#This Row],[Tech Start Date]]&lt;1/1/1990,"",IF(Main[[#This Row],[Class]]="C",WORKDAY(Main[[#This Row],[Tech Start Date]],28),IF(Main[[#This Row],[Class]]="B", WORKDAY(Main[[#This Row],[Tech Start Date]],19),IF(Main[[#This Row],[Class]]="A",WORKDAY(Main[[#This Row],[Tech Start Date]],9),""))))</f>
        <v/>
      </c>
      <c r="Q948" s="74">
        <v>40401</v>
      </c>
      <c r="R948" s="74"/>
      <c r="S948" s="72" t="s">
        <v>6</v>
      </c>
      <c r="T948" s="80" t="s">
        <v>4</v>
      </c>
      <c r="U948" s="72" t="s">
        <v>14</v>
      </c>
      <c r="V948" s="72" t="s">
        <v>1920</v>
      </c>
      <c r="W948" s="72" t="s">
        <v>1921</v>
      </c>
      <c r="X948" s="72" t="s">
        <v>399</v>
      </c>
      <c r="Y948" s="72" t="s">
        <v>4</v>
      </c>
      <c r="Z948" s="72" t="s">
        <v>306</v>
      </c>
      <c r="AA948" s="146" t="s">
        <v>4</v>
      </c>
    </row>
    <row r="949" spans="1:27" ht="18.600000000000001" customHeight="1">
      <c r="A949" s="139" t="str">
        <f>IF(priority(Main[[#This Row],[Comments]])&lt;&gt;0, priority(Main[[#This Row],[Comments]]),"")</f>
        <v/>
      </c>
      <c r="B949" s="89" t="s">
        <v>1717</v>
      </c>
      <c r="C949" s="72" t="s">
        <v>4</v>
      </c>
      <c r="D949" s="73" t="s">
        <v>768</v>
      </c>
      <c r="E949" s="74">
        <v>40647.40420138889</v>
      </c>
      <c r="F949" s="74"/>
      <c r="G949" s="75" t="str">
        <f>IF(stdProdLT(Main[[#This Row],[Comments]])=0.1,"N/A",IF(stdProdLT(Main[[#This Row],[Comments]])=0,"",stdProdLT(Main[[#This Row],[Comments]])))</f>
        <v/>
      </c>
      <c r="H949" s="76" t="str">
        <f>IF(AND(Main[[#This Row],[In Stock Date]]&lt;&gt;"",Main[[#This Row],[Revised Due Date]]&lt;&gt;""),Main[[#This Row],[In Stock Date]]-Main[[#This Row],[Revised Due Date]],"")</f>
        <v/>
      </c>
      <c r="I949" s="72" t="s">
        <v>4</v>
      </c>
      <c r="J949" s="72" t="s">
        <v>4</v>
      </c>
      <c r="K949" s="72" t="s">
        <v>4</v>
      </c>
      <c r="L949" s="74"/>
      <c r="M949" s="77" t="str">
        <f>IF(Main[[#This Row],[Tech Start Date]]&lt;1/1/1990,"",IF(Main[[#This Row],[Class]]="C",WORKDAY(Main[[#This Row],[Tech Start Date]],9),IF(Main[[#This Row],[Class]]="B", WORKDAY(Main[[#This Row],[Tech Start Date]],6),IF(Main[[#This Row],[Class]]="A",WORKDAY(Main[[#This Row],[Tech Start Date]],2),""))))</f>
        <v/>
      </c>
      <c r="N949" s="77" t="str">
        <f>IF(Main[[#This Row],[Tech Start Date]]&lt;1/1/1990,"",IF(Main[[#This Row],[Class]]="C",WORKDAY(Main[[#This Row],[Tech Start Date]],19),IF(Main[[#This Row],[Class]]="B", WORKDAY(Main[[#This Row],[Tech Start Date]],12),IF(Main[[#This Row],[Class]]="A",WORKDAY(Main[[#This Row],[Tech Start Date]],4),""))))</f>
        <v/>
      </c>
      <c r="O949" s="77" t="str">
        <f>IF(Main[[#This Row],[Tech Start Date]]&lt;1/1/1990,"",IF(Main[[#This Row],[Class]]="C",WORKDAY(Main[[#This Row],[Tech Start Date]],23),IF(Main[[#This Row],[Class]]="B", WORKDAY(Main[[#This Row],[Tech Start Date]],15),IF(Main[[#This Row],[Class]]="A",WORKDAY(Main[[#This Row],[Tech Start Date]],5),""))))</f>
        <v/>
      </c>
      <c r="P949" s="77" t="str">
        <f>IF(Main[[#This Row],[Tech Start Date]]&lt;1/1/1990,"",IF(Main[[#This Row],[Class]]="C",WORKDAY(Main[[#This Row],[Tech Start Date]],28),IF(Main[[#This Row],[Class]]="B", WORKDAY(Main[[#This Row],[Tech Start Date]],19),IF(Main[[#This Row],[Class]]="A",WORKDAY(Main[[#This Row],[Tech Start Date]],9),""))))</f>
        <v/>
      </c>
      <c r="Q949" s="74">
        <v>40676</v>
      </c>
      <c r="R949" s="74"/>
      <c r="S949" s="72" t="s">
        <v>6</v>
      </c>
      <c r="T949" s="80" t="s">
        <v>4</v>
      </c>
      <c r="U949" s="72" t="s">
        <v>7</v>
      </c>
      <c r="V949" s="72" t="s">
        <v>1917</v>
      </c>
      <c r="W949" s="72" t="s">
        <v>4</v>
      </c>
      <c r="X949" s="72" t="s">
        <v>2828</v>
      </c>
      <c r="Y949" s="72" t="s">
        <v>2944</v>
      </c>
      <c r="Z949" s="72" t="s">
        <v>4</v>
      </c>
      <c r="AA949" s="146" t="s">
        <v>2828</v>
      </c>
    </row>
    <row r="950" spans="1:27" ht="18.600000000000001" customHeight="1">
      <c r="A950" s="139" t="str">
        <f>IF(priority(Main[[#This Row],[Comments]])&lt;&gt;0, priority(Main[[#This Row],[Comments]]),"")</f>
        <v/>
      </c>
      <c r="B950" s="89" t="s">
        <v>1828</v>
      </c>
      <c r="C950" s="72" t="s">
        <v>47</v>
      </c>
      <c r="D950" s="73" t="s">
        <v>878</v>
      </c>
      <c r="E950" s="74">
        <v>39937.613564814812</v>
      </c>
      <c r="F950" s="74"/>
      <c r="G950" s="75" t="str">
        <f>IF(stdProdLT(Main[[#This Row],[Comments]])=0.1,"N/A",IF(stdProdLT(Main[[#This Row],[Comments]])=0,"",stdProdLT(Main[[#This Row],[Comments]])))</f>
        <v/>
      </c>
      <c r="H950" s="76" t="str">
        <f>IF(AND(Main[[#This Row],[In Stock Date]]&lt;&gt;"",Main[[#This Row],[Revised Due Date]]&lt;&gt;""),Main[[#This Row],[In Stock Date]]-Main[[#This Row],[Revised Due Date]],"")</f>
        <v/>
      </c>
      <c r="I950" s="72" t="s">
        <v>879</v>
      </c>
      <c r="J950" s="72" t="s">
        <v>4</v>
      </c>
      <c r="K950" s="72" t="s">
        <v>1929</v>
      </c>
      <c r="L950" s="74"/>
      <c r="M950" s="77" t="str">
        <f>IF(Main[[#This Row],[Tech Start Date]]&lt;1/1/1990,"",IF(Main[[#This Row],[Class]]="C",WORKDAY(Main[[#This Row],[Tech Start Date]],9),IF(Main[[#This Row],[Class]]="B", WORKDAY(Main[[#This Row],[Tech Start Date]],6),IF(Main[[#This Row],[Class]]="A",WORKDAY(Main[[#This Row],[Tech Start Date]],2),""))))</f>
        <v/>
      </c>
      <c r="N950" s="77" t="str">
        <f>IF(Main[[#This Row],[Tech Start Date]]&lt;1/1/1990,"",IF(Main[[#This Row],[Class]]="C",WORKDAY(Main[[#This Row],[Tech Start Date]],19),IF(Main[[#This Row],[Class]]="B", WORKDAY(Main[[#This Row],[Tech Start Date]],12),IF(Main[[#This Row],[Class]]="A",WORKDAY(Main[[#This Row],[Tech Start Date]],4),""))))</f>
        <v/>
      </c>
      <c r="O950" s="77" t="str">
        <f>IF(Main[[#This Row],[Tech Start Date]]&lt;1/1/1990,"",IF(Main[[#This Row],[Class]]="C",WORKDAY(Main[[#This Row],[Tech Start Date]],23),IF(Main[[#This Row],[Class]]="B", WORKDAY(Main[[#This Row],[Tech Start Date]],15),IF(Main[[#This Row],[Class]]="A",WORKDAY(Main[[#This Row],[Tech Start Date]],5),""))))</f>
        <v/>
      </c>
      <c r="P950" s="77" t="str">
        <f>IF(Main[[#This Row],[Tech Start Date]]&lt;1/1/1990,"",IF(Main[[#This Row],[Class]]="C",WORKDAY(Main[[#This Row],[Tech Start Date]],28),IF(Main[[#This Row],[Class]]="B", WORKDAY(Main[[#This Row],[Tech Start Date]],19),IF(Main[[#This Row],[Class]]="A",WORKDAY(Main[[#This Row],[Tech Start Date]],9),""))))</f>
        <v/>
      </c>
      <c r="Q950" s="74">
        <v>40267</v>
      </c>
      <c r="R950" s="74">
        <v>40359</v>
      </c>
      <c r="S950" s="72" t="s">
        <v>17</v>
      </c>
      <c r="T950" s="80" t="s">
        <v>4</v>
      </c>
      <c r="U950" s="72" t="s">
        <v>29</v>
      </c>
      <c r="V950" s="72" t="s">
        <v>1917</v>
      </c>
      <c r="W950" s="72" t="s">
        <v>1921</v>
      </c>
      <c r="X950" s="72" t="s">
        <v>306</v>
      </c>
      <c r="Y950" s="72" t="s">
        <v>2947</v>
      </c>
      <c r="Z950" s="72" t="s">
        <v>4</v>
      </c>
      <c r="AA950" s="146" t="s">
        <v>3388</v>
      </c>
    </row>
    <row r="951" spans="1:27" ht="18.600000000000001" customHeight="1">
      <c r="A951" s="139" t="str">
        <f>IF(priority(Main[[#This Row],[Comments]])&lt;&gt;0, priority(Main[[#This Row],[Comments]]),"")</f>
        <v/>
      </c>
      <c r="B951" s="89" t="s">
        <v>1718</v>
      </c>
      <c r="C951" s="72" t="s">
        <v>4</v>
      </c>
      <c r="D951" s="73" t="s">
        <v>509</v>
      </c>
      <c r="E951" s="74"/>
      <c r="F951" s="74"/>
      <c r="G951" s="75" t="str">
        <f>IF(stdProdLT(Main[[#This Row],[Comments]])=0.1,"N/A",IF(stdProdLT(Main[[#This Row],[Comments]])=0,"",stdProdLT(Main[[#This Row],[Comments]])))</f>
        <v/>
      </c>
      <c r="H951" s="76" t="str">
        <f>IF(AND(Main[[#This Row],[In Stock Date]]&lt;&gt;"",Main[[#This Row],[Revised Due Date]]&lt;&gt;""),Main[[#This Row],[In Stock Date]]-Main[[#This Row],[Revised Due Date]],"")</f>
        <v/>
      </c>
      <c r="I951" s="72" t="s">
        <v>4</v>
      </c>
      <c r="J951" s="72" t="s">
        <v>4</v>
      </c>
      <c r="K951" s="72" t="s">
        <v>4</v>
      </c>
      <c r="L951" s="74"/>
      <c r="M951" s="77" t="str">
        <f>IF(Main[[#This Row],[Tech Start Date]]&lt;1/1/1990,"",IF(Main[[#This Row],[Class]]="C",WORKDAY(Main[[#This Row],[Tech Start Date]],9),IF(Main[[#This Row],[Class]]="B", WORKDAY(Main[[#This Row],[Tech Start Date]],6),IF(Main[[#This Row],[Class]]="A",WORKDAY(Main[[#This Row],[Tech Start Date]],2),""))))</f>
        <v/>
      </c>
      <c r="N951" s="77" t="str">
        <f>IF(Main[[#This Row],[Tech Start Date]]&lt;1/1/1990,"",IF(Main[[#This Row],[Class]]="C",WORKDAY(Main[[#This Row],[Tech Start Date]],19),IF(Main[[#This Row],[Class]]="B", WORKDAY(Main[[#This Row],[Tech Start Date]],12),IF(Main[[#This Row],[Class]]="A",WORKDAY(Main[[#This Row],[Tech Start Date]],4),""))))</f>
        <v/>
      </c>
      <c r="O951" s="77" t="str">
        <f>IF(Main[[#This Row],[Tech Start Date]]&lt;1/1/1990,"",IF(Main[[#This Row],[Class]]="C",WORKDAY(Main[[#This Row],[Tech Start Date]],23),IF(Main[[#This Row],[Class]]="B", WORKDAY(Main[[#This Row],[Tech Start Date]],15),IF(Main[[#This Row],[Class]]="A",WORKDAY(Main[[#This Row],[Tech Start Date]],5),""))))</f>
        <v/>
      </c>
      <c r="P951" s="77" t="str">
        <f>IF(Main[[#This Row],[Tech Start Date]]&lt;1/1/1990,"",IF(Main[[#This Row],[Class]]="C",WORKDAY(Main[[#This Row],[Tech Start Date]],28),IF(Main[[#This Row],[Class]]="B", WORKDAY(Main[[#This Row],[Tech Start Date]],19),IF(Main[[#This Row],[Class]]="A",WORKDAY(Main[[#This Row],[Tech Start Date]],9),""))))</f>
        <v/>
      </c>
      <c r="Q951" s="74"/>
      <c r="R951" s="74"/>
      <c r="S951" s="72" t="s">
        <v>4</v>
      </c>
      <c r="T951" s="80" t="s">
        <v>4</v>
      </c>
      <c r="U951" s="72" t="s">
        <v>14</v>
      </c>
      <c r="V951" s="72" t="s">
        <v>1920</v>
      </c>
      <c r="W951" s="72" t="s">
        <v>4</v>
      </c>
      <c r="X951" s="72" t="s">
        <v>2884</v>
      </c>
      <c r="Y951" s="72" t="s">
        <v>3032</v>
      </c>
      <c r="Z951" s="72" t="s">
        <v>4</v>
      </c>
      <c r="AA951" s="146" t="s">
        <v>2884</v>
      </c>
    </row>
    <row r="952" spans="1:27" ht="18.600000000000001" customHeight="1">
      <c r="A952" s="139" t="str">
        <f>IF(priority(Main[[#This Row],[Comments]])&lt;&gt;0, priority(Main[[#This Row],[Comments]]),"")</f>
        <v/>
      </c>
      <c r="B952" s="89" t="s">
        <v>1719</v>
      </c>
      <c r="C952" s="72" t="s">
        <v>277</v>
      </c>
      <c r="D952" s="73" t="s">
        <v>772</v>
      </c>
      <c r="E952" s="74"/>
      <c r="F952" s="74">
        <v>40602</v>
      </c>
      <c r="G952" s="75" t="str">
        <f>IF(stdProdLT(Main[[#This Row],[Comments]])=0.1,"N/A",IF(stdProdLT(Main[[#This Row],[Comments]])=0,"",stdProdLT(Main[[#This Row],[Comments]])))</f>
        <v/>
      </c>
      <c r="H952" s="76" t="str">
        <f>IF(AND(Main[[#This Row],[In Stock Date]]&lt;&gt;"",Main[[#This Row],[Revised Due Date]]&lt;&gt;""),Main[[#This Row],[In Stock Date]]-Main[[#This Row],[Revised Due Date]],"")</f>
        <v/>
      </c>
      <c r="I952" s="72" t="s">
        <v>4</v>
      </c>
      <c r="J952" s="72" t="s">
        <v>4</v>
      </c>
      <c r="K952" s="72" t="s">
        <v>4</v>
      </c>
      <c r="L952" s="74"/>
      <c r="M952" s="77" t="str">
        <f>IF(Main[[#This Row],[Tech Start Date]]&lt;1/1/1990,"",IF(Main[[#This Row],[Class]]="C",WORKDAY(Main[[#This Row],[Tech Start Date]],9),IF(Main[[#This Row],[Class]]="B", WORKDAY(Main[[#This Row],[Tech Start Date]],6),IF(Main[[#This Row],[Class]]="A",WORKDAY(Main[[#This Row],[Tech Start Date]],2),""))))</f>
        <v/>
      </c>
      <c r="N952" s="77" t="str">
        <f>IF(Main[[#This Row],[Tech Start Date]]&lt;1/1/1990,"",IF(Main[[#This Row],[Class]]="C",WORKDAY(Main[[#This Row],[Tech Start Date]],19),IF(Main[[#This Row],[Class]]="B", WORKDAY(Main[[#This Row],[Tech Start Date]],12),IF(Main[[#This Row],[Class]]="A",WORKDAY(Main[[#This Row],[Tech Start Date]],4),""))))</f>
        <v/>
      </c>
      <c r="O952" s="77" t="str">
        <f>IF(Main[[#This Row],[Tech Start Date]]&lt;1/1/1990,"",IF(Main[[#This Row],[Class]]="C",WORKDAY(Main[[#This Row],[Tech Start Date]],23),IF(Main[[#This Row],[Class]]="B", WORKDAY(Main[[#This Row],[Tech Start Date]],15),IF(Main[[#This Row],[Class]]="A",WORKDAY(Main[[#This Row],[Tech Start Date]],5),""))))</f>
        <v/>
      </c>
      <c r="P952" s="77" t="str">
        <f>IF(Main[[#This Row],[Tech Start Date]]&lt;1/1/1990,"",IF(Main[[#This Row],[Class]]="C",WORKDAY(Main[[#This Row],[Tech Start Date]],28),IF(Main[[#This Row],[Class]]="B", WORKDAY(Main[[#This Row],[Tech Start Date]],19),IF(Main[[#This Row],[Class]]="A",WORKDAY(Main[[#This Row],[Tech Start Date]],9),""))))</f>
        <v/>
      </c>
      <c r="Q952" s="74">
        <v>40602</v>
      </c>
      <c r="R952" s="74"/>
      <c r="S952" s="72" t="s">
        <v>11</v>
      </c>
      <c r="T952" s="80" t="s">
        <v>4</v>
      </c>
      <c r="U952" s="72" t="s">
        <v>12</v>
      </c>
      <c r="V952" s="72" t="s">
        <v>1918</v>
      </c>
      <c r="W952" s="72" t="s">
        <v>1922</v>
      </c>
      <c r="X952" s="72" t="s">
        <v>2866</v>
      </c>
      <c r="Y952" s="72" t="s">
        <v>4</v>
      </c>
      <c r="Z952" s="72" t="s">
        <v>4</v>
      </c>
      <c r="AA952" s="146" t="s">
        <v>2866</v>
      </c>
    </row>
    <row r="953" spans="1:27" ht="18.600000000000001" customHeight="1">
      <c r="A953" s="139" t="str">
        <f>IF(priority(Main[[#This Row],[Comments]])&lt;&gt;0, priority(Main[[#This Row],[Comments]]),"")</f>
        <v/>
      </c>
      <c r="B953" s="89" t="s">
        <v>1720</v>
      </c>
      <c r="C953" s="72" t="s">
        <v>277</v>
      </c>
      <c r="D953" s="73" t="s">
        <v>773</v>
      </c>
      <c r="E953" s="74"/>
      <c r="F953" s="74">
        <v>40602</v>
      </c>
      <c r="G953" s="75" t="str">
        <f>IF(stdProdLT(Main[[#This Row],[Comments]])=0.1,"N/A",IF(stdProdLT(Main[[#This Row],[Comments]])=0,"",stdProdLT(Main[[#This Row],[Comments]])))</f>
        <v/>
      </c>
      <c r="H953" s="76" t="str">
        <f>IF(AND(Main[[#This Row],[In Stock Date]]&lt;&gt;"",Main[[#This Row],[Revised Due Date]]&lt;&gt;""),Main[[#This Row],[In Stock Date]]-Main[[#This Row],[Revised Due Date]],"")</f>
        <v/>
      </c>
      <c r="I953" s="72" t="s">
        <v>4</v>
      </c>
      <c r="J953" s="72" t="s">
        <v>4</v>
      </c>
      <c r="K953" s="81" t="s">
        <v>4</v>
      </c>
      <c r="L953" s="74"/>
      <c r="M953" s="77" t="str">
        <f>IF(Main[[#This Row],[Tech Start Date]]&lt;1/1/1990,"",IF(Main[[#This Row],[Class]]="C",WORKDAY(Main[[#This Row],[Tech Start Date]],9),IF(Main[[#This Row],[Class]]="B", WORKDAY(Main[[#This Row],[Tech Start Date]],6),IF(Main[[#This Row],[Class]]="A",WORKDAY(Main[[#This Row],[Tech Start Date]],2),""))))</f>
        <v/>
      </c>
      <c r="N953" s="77" t="str">
        <f>IF(Main[[#This Row],[Tech Start Date]]&lt;1/1/1990,"",IF(Main[[#This Row],[Class]]="C",WORKDAY(Main[[#This Row],[Tech Start Date]],19),IF(Main[[#This Row],[Class]]="B", WORKDAY(Main[[#This Row],[Tech Start Date]],12),IF(Main[[#This Row],[Class]]="A",WORKDAY(Main[[#This Row],[Tech Start Date]],4),""))))</f>
        <v/>
      </c>
      <c r="O953" s="77" t="str">
        <f>IF(Main[[#This Row],[Tech Start Date]]&lt;1/1/1990,"",IF(Main[[#This Row],[Class]]="C",WORKDAY(Main[[#This Row],[Tech Start Date]],23),IF(Main[[#This Row],[Class]]="B", WORKDAY(Main[[#This Row],[Tech Start Date]],15),IF(Main[[#This Row],[Class]]="A",WORKDAY(Main[[#This Row],[Tech Start Date]],5),""))))</f>
        <v/>
      </c>
      <c r="P953" s="77" t="str">
        <f>IF(Main[[#This Row],[Tech Start Date]]&lt;1/1/1990,"",IF(Main[[#This Row],[Class]]="C",WORKDAY(Main[[#This Row],[Tech Start Date]],28),IF(Main[[#This Row],[Class]]="B", WORKDAY(Main[[#This Row],[Tech Start Date]],19),IF(Main[[#This Row],[Class]]="A",WORKDAY(Main[[#This Row],[Tech Start Date]],9),""))))</f>
        <v/>
      </c>
      <c r="Q953" s="74">
        <v>40602</v>
      </c>
      <c r="R953" s="74"/>
      <c r="S953" s="72" t="s">
        <v>11</v>
      </c>
      <c r="T953" s="80" t="s">
        <v>4</v>
      </c>
      <c r="U953" s="72" t="s">
        <v>12</v>
      </c>
      <c r="V953" s="72" t="s">
        <v>1920</v>
      </c>
      <c r="W953" s="72" t="s">
        <v>1922</v>
      </c>
      <c r="X953" s="72" t="s">
        <v>2866</v>
      </c>
      <c r="Y953" s="72" t="s">
        <v>4</v>
      </c>
      <c r="Z953" s="72" t="s">
        <v>4</v>
      </c>
      <c r="AA953" s="146" t="s">
        <v>2866</v>
      </c>
    </row>
    <row r="954" spans="1:27" ht="18.600000000000001" customHeight="1">
      <c r="A954" s="139" t="str">
        <f>IF(priority(Main[[#This Row],[Comments]])&lt;&gt;0, priority(Main[[#This Row],[Comments]]),"")</f>
        <v/>
      </c>
      <c r="B954" s="89" t="s">
        <v>3633</v>
      </c>
      <c r="C954" s="72" t="s">
        <v>95</v>
      </c>
      <c r="D954" s="73" t="s">
        <v>3634</v>
      </c>
      <c r="E954" s="74">
        <v>40959.540810185186</v>
      </c>
      <c r="F954" s="74"/>
      <c r="G954" s="75" t="str">
        <f>IF(stdProdLT(Main[[#This Row],[Comments]])=0.1,"N/A",IF(stdProdLT(Main[[#This Row],[Comments]])=0,"",stdProdLT(Main[[#This Row],[Comments]])))</f>
        <v/>
      </c>
      <c r="H954" s="76" t="str">
        <f>IF(AND(Main[[#This Row],[In Stock Date]]&lt;&gt;"",Main[[#This Row],[Revised Due Date]]&lt;&gt;""),Main[[#This Row],[In Stock Date]]-Main[[#This Row],[Revised Due Date]],"")</f>
        <v/>
      </c>
      <c r="I954" s="72" t="s">
        <v>4</v>
      </c>
      <c r="J954" s="72" t="s">
        <v>4</v>
      </c>
      <c r="K954" s="81" t="s">
        <v>4</v>
      </c>
      <c r="L954" s="74"/>
      <c r="M954" s="77" t="str">
        <f>IF(Main[[#This Row],[Tech Start Date]]&lt;1/1/1990,"",IF(Main[[#This Row],[Class]]="C",WORKDAY(Main[[#This Row],[Tech Start Date]],9),IF(Main[[#This Row],[Class]]="B", WORKDAY(Main[[#This Row],[Tech Start Date]],6),IF(Main[[#This Row],[Class]]="A",WORKDAY(Main[[#This Row],[Tech Start Date]],2),""))))</f>
        <v/>
      </c>
      <c r="N954" s="77" t="str">
        <f>IF(Main[[#This Row],[Tech Start Date]]&lt;1/1/1990,"",IF(Main[[#This Row],[Class]]="C",WORKDAY(Main[[#This Row],[Tech Start Date]],19),IF(Main[[#This Row],[Class]]="B", WORKDAY(Main[[#This Row],[Tech Start Date]],12),IF(Main[[#This Row],[Class]]="A",WORKDAY(Main[[#This Row],[Tech Start Date]],4),""))))</f>
        <v/>
      </c>
      <c r="O954" s="77" t="str">
        <f>IF(Main[[#This Row],[Tech Start Date]]&lt;1/1/1990,"",IF(Main[[#This Row],[Class]]="C",WORKDAY(Main[[#This Row],[Tech Start Date]],23),IF(Main[[#This Row],[Class]]="B", WORKDAY(Main[[#This Row],[Tech Start Date]],15),IF(Main[[#This Row],[Class]]="A",WORKDAY(Main[[#This Row],[Tech Start Date]],5),""))))</f>
        <v/>
      </c>
      <c r="P954" s="77" t="str">
        <f>IF(Main[[#This Row],[Tech Start Date]]&lt;1/1/1990,"",IF(Main[[#This Row],[Class]]="C",WORKDAY(Main[[#This Row],[Tech Start Date]],28),IF(Main[[#This Row],[Class]]="B", WORKDAY(Main[[#This Row],[Tech Start Date]],19),IF(Main[[#This Row],[Class]]="A",WORKDAY(Main[[#This Row],[Tech Start Date]],9),""))))</f>
        <v/>
      </c>
      <c r="Q954" s="74">
        <v>40999</v>
      </c>
      <c r="R954" s="74"/>
      <c r="S954" s="72" t="s">
        <v>17</v>
      </c>
      <c r="T954" s="80" t="s">
        <v>4</v>
      </c>
      <c r="U954" s="72" t="s">
        <v>7</v>
      </c>
      <c r="V954" s="72" t="s">
        <v>1917</v>
      </c>
      <c r="W954" s="72" t="s">
        <v>1919</v>
      </c>
      <c r="X954" s="72" t="s">
        <v>2858</v>
      </c>
      <c r="Y954" s="72" t="s">
        <v>2996</v>
      </c>
      <c r="Z954" s="72" t="s">
        <v>4</v>
      </c>
      <c r="AA954" s="146" t="s">
        <v>2858</v>
      </c>
    </row>
    <row r="955" spans="1:27" ht="18.600000000000001" customHeight="1">
      <c r="A955" s="139" t="str">
        <f>IF(priority(Main[[#This Row],[Comments]])&lt;&gt;0, priority(Main[[#This Row],[Comments]]),"")</f>
        <v/>
      </c>
      <c r="B955" s="89" t="s">
        <v>1864</v>
      </c>
      <c r="C955" s="72" t="s">
        <v>31</v>
      </c>
      <c r="D955" s="73" t="s">
        <v>921</v>
      </c>
      <c r="E955" s="74"/>
      <c r="F955" s="74">
        <v>40664</v>
      </c>
      <c r="G955" s="75" t="str">
        <f>IF(stdProdLT(Main[[#This Row],[Comments]])=0.1,"N/A",IF(stdProdLT(Main[[#This Row],[Comments]])=0,"",stdProdLT(Main[[#This Row],[Comments]])))</f>
        <v/>
      </c>
      <c r="H955" s="76">
        <f>IF(AND(Main[[#This Row],[In Stock Date]]&lt;&gt;"",Main[[#This Row],[Revised Due Date]]&lt;&gt;""),Main[[#This Row],[In Stock Date]]-Main[[#This Row],[Revised Due Date]],"")</f>
        <v>87</v>
      </c>
      <c r="I955" s="72" t="s">
        <v>102</v>
      </c>
      <c r="J955" s="72" t="s">
        <v>75</v>
      </c>
      <c r="K955" s="72" t="s">
        <v>1926</v>
      </c>
      <c r="L955" s="74"/>
      <c r="M955" s="77" t="str">
        <f>IF(Main[[#This Row],[Tech Start Date]]&lt;1/1/1990,"",IF(Main[[#This Row],[Class]]="C",WORKDAY(Main[[#This Row],[Tech Start Date]],9),IF(Main[[#This Row],[Class]]="B", WORKDAY(Main[[#This Row],[Tech Start Date]],6),IF(Main[[#This Row],[Class]]="A",WORKDAY(Main[[#This Row],[Tech Start Date]],2),""))))</f>
        <v/>
      </c>
      <c r="N955" s="77" t="str">
        <f>IF(Main[[#This Row],[Tech Start Date]]&lt;1/1/1990,"",IF(Main[[#This Row],[Class]]="C",WORKDAY(Main[[#This Row],[Tech Start Date]],19),IF(Main[[#This Row],[Class]]="B", WORKDAY(Main[[#This Row],[Tech Start Date]],12),IF(Main[[#This Row],[Class]]="A",WORKDAY(Main[[#This Row],[Tech Start Date]],4),""))))</f>
        <v/>
      </c>
      <c r="O955" s="77" t="str">
        <f>IF(Main[[#This Row],[Tech Start Date]]&lt;1/1/1990,"",IF(Main[[#This Row],[Class]]="C",WORKDAY(Main[[#This Row],[Tech Start Date]],23),IF(Main[[#This Row],[Class]]="B", WORKDAY(Main[[#This Row],[Tech Start Date]],15),IF(Main[[#This Row],[Class]]="A",WORKDAY(Main[[#This Row],[Tech Start Date]],5),""))))</f>
        <v/>
      </c>
      <c r="P955" s="77" t="str">
        <f>IF(Main[[#This Row],[Tech Start Date]]&lt;1/1/1990,"",IF(Main[[#This Row],[Class]]="C",WORKDAY(Main[[#This Row],[Tech Start Date]],28),IF(Main[[#This Row],[Class]]="B", WORKDAY(Main[[#This Row],[Tech Start Date]],19),IF(Main[[#This Row],[Class]]="A",WORKDAY(Main[[#This Row],[Tech Start Date]],9),""))))</f>
        <v/>
      </c>
      <c r="Q955" s="74">
        <v>40589</v>
      </c>
      <c r="R955" s="74">
        <v>40577</v>
      </c>
      <c r="S955" s="72" t="s">
        <v>11</v>
      </c>
      <c r="T955" s="80" t="s">
        <v>4</v>
      </c>
      <c r="U955" s="72" t="s">
        <v>14</v>
      </c>
      <c r="V955" s="72" t="s">
        <v>1920</v>
      </c>
      <c r="W955" s="72" t="s">
        <v>1923</v>
      </c>
      <c r="X955" s="72" t="s">
        <v>2831</v>
      </c>
      <c r="Y955" s="72" t="s">
        <v>2973</v>
      </c>
      <c r="Z955" s="72" t="s">
        <v>530</v>
      </c>
      <c r="AA955" s="146" t="s">
        <v>2831</v>
      </c>
    </row>
    <row r="956" spans="1:27" ht="18.600000000000001" customHeight="1">
      <c r="A956" s="139" t="str">
        <f>IF(priority(Main[[#This Row],[Comments]])&lt;&gt;0, priority(Main[[#This Row],[Comments]]),"")</f>
        <v/>
      </c>
      <c r="B956" s="89" t="s">
        <v>1724</v>
      </c>
      <c r="C956" s="72" t="s">
        <v>4</v>
      </c>
      <c r="D956" s="73" t="s">
        <v>778</v>
      </c>
      <c r="E956" s="74"/>
      <c r="F956" s="74">
        <v>40025</v>
      </c>
      <c r="G956" s="75" t="str">
        <f>IF(stdProdLT(Main[[#This Row],[Comments]])=0.1,"N/A",IF(stdProdLT(Main[[#This Row],[Comments]])=0,"",stdProdLT(Main[[#This Row],[Comments]])))</f>
        <v/>
      </c>
      <c r="H956" s="76" t="str">
        <f>IF(AND(Main[[#This Row],[In Stock Date]]&lt;&gt;"",Main[[#This Row],[Revised Due Date]]&lt;&gt;""),Main[[#This Row],[In Stock Date]]-Main[[#This Row],[Revised Due Date]],"")</f>
        <v/>
      </c>
      <c r="I956" s="72" t="s">
        <v>4</v>
      </c>
      <c r="J956" s="72" t="s">
        <v>4</v>
      </c>
      <c r="K956" s="72" t="s">
        <v>4</v>
      </c>
      <c r="L956" s="74"/>
      <c r="M956" s="77" t="str">
        <f>IF(Main[[#This Row],[Tech Start Date]]&lt;1/1/1990,"",IF(Main[[#This Row],[Class]]="C",WORKDAY(Main[[#This Row],[Tech Start Date]],9),IF(Main[[#This Row],[Class]]="B", WORKDAY(Main[[#This Row],[Tech Start Date]],6),IF(Main[[#This Row],[Class]]="A",WORKDAY(Main[[#This Row],[Tech Start Date]],2),""))))</f>
        <v/>
      </c>
      <c r="N956" s="77" t="str">
        <f>IF(Main[[#This Row],[Tech Start Date]]&lt;1/1/1990,"",IF(Main[[#This Row],[Class]]="C",WORKDAY(Main[[#This Row],[Tech Start Date]],19),IF(Main[[#This Row],[Class]]="B", WORKDAY(Main[[#This Row],[Tech Start Date]],12),IF(Main[[#This Row],[Class]]="A",WORKDAY(Main[[#This Row],[Tech Start Date]],4),""))))</f>
        <v/>
      </c>
      <c r="O956" s="77" t="str">
        <f>IF(Main[[#This Row],[Tech Start Date]]&lt;1/1/1990,"",IF(Main[[#This Row],[Class]]="C",WORKDAY(Main[[#This Row],[Tech Start Date]],23),IF(Main[[#This Row],[Class]]="B", WORKDAY(Main[[#This Row],[Tech Start Date]],15),IF(Main[[#This Row],[Class]]="A",WORKDAY(Main[[#This Row],[Tech Start Date]],5),""))))</f>
        <v/>
      </c>
      <c r="P956" s="77" t="str">
        <f>IF(Main[[#This Row],[Tech Start Date]]&lt;1/1/1990,"",IF(Main[[#This Row],[Class]]="C",WORKDAY(Main[[#This Row],[Tech Start Date]],28),IF(Main[[#This Row],[Class]]="B", WORKDAY(Main[[#This Row],[Tech Start Date]],19),IF(Main[[#This Row],[Class]]="A",WORKDAY(Main[[#This Row],[Tech Start Date]],9),""))))</f>
        <v/>
      </c>
      <c r="Q956" s="74">
        <v>39963</v>
      </c>
      <c r="R956" s="74"/>
      <c r="S956" s="72" t="s">
        <v>11</v>
      </c>
      <c r="T956" s="80" t="s">
        <v>4</v>
      </c>
      <c r="U956" s="72" t="s">
        <v>14</v>
      </c>
      <c r="V956" s="72" t="s">
        <v>1927</v>
      </c>
      <c r="W956" s="72" t="s">
        <v>1925</v>
      </c>
      <c r="X956" s="72" t="s">
        <v>2869</v>
      </c>
      <c r="Y956" s="72" t="s">
        <v>3075</v>
      </c>
      <c r="Z956" s="72" t="s">
        <v>4</v>
      </c>
      <c r="AA956" s="146" t="s">
        <v>2869</v>
      </c>
    </row>
    <row r="957" spans="1:27" ht="18.600000000000001" customHeight="1">
      <c r="A957" s="139" t="str">
        <f>IF(priority(Main[[#This Row],[Comments]])&lt;&gt;0, priority(Main[[#This Row],[Comments]]),"")</f>
        <v/>
      </c>
      <c r="B957" s="89" t="s">
        <v>1725</v>
      </c>
      <c r="C957" s="72" t="s">
        <v>4</v>
      </c>
      <c r="D957" s="73" t="s">
        <v>779</v>
      </c>
      <c r="E957" s="74">
        <v>40506.439513888887</v>
      </c>
      <c r="F957" s="74"/>
      <c r="G957" s="75" t="str">
        <f>IF(stdProdLT(Main[[#This Row],[Comments]])=0.1,"N/A",IF(stdProdLT(Main[[#This Row],[Comments]])=0,"",stdProdLT(Main[[#This Row],[Comments]])))</f>
        <v/>
      </c>
      <c r="H957" s="76" t="str">
        <f>IF(AND(Main[[#This Row],[In Stock Date]]&lt;&gt;"",Main[[#This Row],[Revised Due Date]]&lt;&gt;""),Main[[#This Row],[In Stock Date]]-Main[[#This Row],[Revised Due Date]],"")</f>
        <v/>
      </c>
      <c r="I957" s="72" t="s">
        <v>4</v>
      </c>
      <c r="J957" s="72" t="s">
        <v>28</v>
      </c>
      <c r="K957" s="81" t="s">
        <v>1924</v>
      </c>
      <c r="L957" s="74"/>
      <c r="M957" s="77" t="str">
        <f>IF(Main[[#This Row],[Tech Start Date]]&lt;1/1/1990,"",IF(Main[[#This Row],[Class]]="C",WORKDAY(Main[[#This Row],[Tech Start Date]],9),IF(Main[[#This Row],[Class]]="B", WORKDAY(Main[[#This Row],[Tech Start Date]],6),IF(Main[[#This Row],[Class]]="A",WORKDAY(Main[[#This Row],[Tech Start Date]],2),""))))</f>
        <v/>
      </c>
      <c r="N957" s="77" t="str">
        <f>IF(Main[[#This Row],[Tech Start Date]]&lt;1/1/1990,"",IF(Main[[#This Row],[Class]]="C",WORKDAY(Main[[#This Row],[Tech Start Date]],19),IF(Main[[#This Row],[Class]]="B", WORKDAY(Main[[#This Row],[Tech Start Date]],12),IF(Main[[#This Row],[Class]]="A",WORKDAY(Main[[#This Row],[Tech Start Date]],4),""))))</f>
        <v/>
      </c>
      <c r="O957" s="77" t="str">
        <f>IF(Main[[#This Row],[Tech Start Date]]&lt;1/1/1990,"",IF(Main[[#This Row],[Class]]="C",WORKDAY(Main[[#This Row],[Tech Start Date]],23),IF(Main[[#This Row],[Class]]="B", WORKDAY(Main[[#This Row],[Tech Start Date]],15),IF(Main[[#This Row],[Class]]="A",WORKDAY(Main[[#This Row],[Tech Start Date]],5),""))))</f>
        <v/>
      </c>
      <c r="P957" s="77" t="str">
        <f>IF(Main[[#This Row],[Tech Start Date]]&lt;1/1/1990,"",IF(Main[[#This Row],[Class]]="C",WORKDAY(Main[[#This Row],[Tech Start Date]],28),IF(Main[[#This Row],[Class]]="B", WORKDAY(Main[[#This Row],[Tech Start Date]],19),IF(Main[[#This Row],[Class]]="A",WORKDAY(Main[[#This Row],[Tech Start Date]],9),""))))</f>
        <v/>
      </c>
      <c r="Q957" s="74">
        <v>40555</v>
      </c>
      <c r="R957" s="74"/>
      <c r="S957" s="72" t="s">
        <v>6</v>
      </c>
      <c r="T957" s="80" t="s">
        <v>4</v>
      </c>
      <c r="U957" s="72" t="s">
        <v>7</v>
      </c>
      <c r="V957" s="72" t="s">
        <v>1917</v>
      </c>
      <c r="W957" s="72" t="s">
        <v>1921</v>
      </c>
      <c r="X957" s="72" t="s">
        <v>2827</v>
      </c>
      <c r="Y957" s="72" t="s">
        <v>2942</v>
      </c>
      <c r="Z957" s="72" t="s">
        <v>129</v>
      </c>
      <c r="AA957" s="146" t="s">
        <v>2827</v>
      </c>
    </row>
    <row r="958" spans="1:27" ht="18.600000000000001" customHeight="1">
      <c r="A958" s="139" t="str">
        <f>IF(priority(Main[[#This Row],[Comments]])&lt;&gt;0, priority(Main[[#This Row],[Comments]]),"")</f>
        <v/>
      </c>
      <c r="B958" s="89" t="s">
        <v>1711</v>
      </c>
      <c r="C958" s="72" t="s">
        <v>4</v>
      </c>
      <c r="D958" s="73" t="s">
        <v>712</v>
      </c>
      <c r="E958" s="74"/>
      <c r="F958" s="74"/>
      <c r="G958" s="75" t="str">
        <f>IF(stdProdLT(Main[[#This Row],[Comments]])=0.1,"N/A",IF(stdProdLT(Main[[#This Row],[Comments]])=0,"",stdProdLT(Main[[#This Row],[Comments]])))</f>
        <v/>
      </c>
      <c r="H958" s="76" t="str">
        <f>IF(AND(Main[[#This Row],[In Stock Date]]&lt;&gt;"",Main[[#This Row],[Revised Due Date]]&lt;&gt;""),Main[[#This Row],[In Stock Date]]-Main[[#This Row],[Revised Due Date]],"")</f>
        <v/>
      </c>
      <c r="I958" s="72" t="s">
        <v>4</v>
      </c>
      <c r="J958" s="72" t="s">
        <v>28</v>
      </c>
      <c r="K958" s="72" t="s">
        <v>1926</v>
      </c>
      <c r="L958" s="74"/>
      <c r="M958" s="77" t="str">
        <f>IF(Main[[#This Row],[Tech Start Date]]&lt;1/1/1990,"",IF(Main[[#This Row],[Class]]="C",WORKDAY(Main[[#This Row],[Tech Start Date]],9),IF(Main[[#This Row],[Class]]="B", WORKDAY(Main[[#This Row],[Tech Start Date]],6),IF(Main[[#This Row],[Class]]="A",WORKDAY(Main[[#This Row],[Tech Start Date]],2),""))))</f>
        <v/>
      </c>
      <c r="N958" s="77" t="str">
        <f>IF(Main[[#This Row],[Tech Start Date]]&lt;1/1/1990,"",IF(Main[[#This Row],[Class]]="C",WORKDAY(Main[[#This Row],[Tech Start Date]],19),IF(Main[[#This Row],[Class]]="B", WORKDAY(Main[[#This Row],[Tech Start Date]],12),IF(Main[[#This Row],[Class]]="A",WORKDAY(Main[[#This Row],[Tech Start Date]],4),""))))</f>
        <v/>
      </c>
      <c r="O958" s="77" t="str">
        <f>IF(Main[[#This Row],[Tech Start Date]]&lt;1/1/1990,"",IF(Main[[#This Row],[Class]]="C",WORKDAY(Main[[#This Row],[Tech Start Date]],23),IF(Main[[#This Row],[Class]]="B", WORKDAY(Main[[#This Row],[Tech Start Date]],15),IF(Main[[#This Row],[Class]]="A",WORKDAY(Main[[#This Row],[Tech Start Date]],5),""))))</f>
        <v/>
      </c>
      <c r="P958" s="77" t="str">
        <f>IF(Main[[#This Row],[Tech Start Date]]&lt;1/1/1990,"",IF(Main[[#This Row],[Class]]="C",WORKDAY(Main[[#This Row],[Tech Start Date]],28),IF(Main[[#This Row],[Class]]="B", WORKDAY(Main[[#This Row],[Tech Start Date]],19),IF(Main[[#This Row],[Class]]="A",WORKDAY(Main[[#This Row],[Tech Start Date]],9),""))))</f>
        <v/>
      </c>
      <c r="Q958" s="74">
        <v>40647</v>
      </c>
      <c r="R958" s="74"/>
      <c r="S958" s="72" t="s">
        <v>6</v>
      </c>
      <c r="T958" s="80" t="s">
        <v>4</v>
      </c>
      <c r="U958" s="72" t="s">
        <v>14</v>
      </c>
      <c r="V958" s="72" t="s">
        <v>1917</v>
      </c>
      <c r="W958" s="72" t="s">
        <v>1921</v>
      </c>
      <c r="X958" s="72" t="s">
        <v>2827</v>
      </c>
      <c r="Y958" s="72" t="s">
        <v>2942</v>
      </c>
      <c r="Z958" s="72" t="s">
        <v>129</v>
      </c>
      <c r="AA958" s="146" t="s">
        <v>2827</v>
      </c>
    </row>
    <row r="959" spans="1:27" ht="18.600000000000001" customHeight="1">
      <c r="A959" s="139" t="str">
        <f>IF(priority(Main[[#This Row],[Comments]])&lt;&gt;0, priority(Main[[#This Row],[Comments]]),"")</f>
        <v/>
      </c>
      <c r="B959" s="89" t="s">
        <v>2076</v>
      </c>
      <c r="C959" s="72" t="s">
        <v>4</v>
      </c>
      <c r="D959" s="73" t="s">
        <v>2394</v>
      </c>
      <c r="E959" s="74">
        <v>40760.555381944447</v>
      </c>
      <c r="F959" s="74"/>
      <c r="G959" s="75" t="str">
        <f>IF(stdProdLT(Main[[#This Row],[Comments]])=0.1,"N/A",IF(stdProdLT(Main[[#This Row],[Comments]])=0,"",stdProdLT(Main[[#This Row],[Comments]])))</f>
        <v/>
      </c>
      <c r="H959" s="76" t="str">
        <f>IF(AND(Main[[#This Row],[In Stock Date]]&lt;&gt;"",Main[[#This Row],[Revised Due Date]]&lt;&gt;""),Main[[#This Row],[In Stock Date]]-Main[[#This Row],[Revised Due Date]],"")</f>
        <v/>
      </c>
      <c r="I959" s="72" t="s">
        <v>4</v>
      </c>
      <c r="J959" s="72" t="s">
        <v>4</v>
      </c>
      <c r="K959" s="72" t="s">
        <v>4</v>
      </c>
      <c r="L959" s="74"/>
      <c r="M959" s="77" t="str">
        <f>IF(Main[[#This Row],[Tech Start Date]]&lt;1/1/1990,"",IF(Main[[#This Row],[Class]]="C",WORKDAY(Main[[#This Row],[Tech Start Date]],9),IF(Main[[#This Row],[Class]]="B", WORKDAY(Main[[#This Row],[Tech Start Date]],6),IF(Main[[#This Row],[Class]]="A",WORKDAY(Main[[#This Row],[Tech Start Date]],2),""))))</f>
        <v/>
      </c>
      <c r="N959" s="77" t="str">
        <f>IF(Main[[#This Row],[Tech Start Date]]&lt;1/1/1990,"",IF(Main[[#This Row],[Class]]="C",WORKDAY(Main[[#This Row],[Tech Start Date]],19),IF(Main[[#This Row],[Class]]="B", WORKDAY(Main[[#This Row],[Tech Start Date]],12),IF(Main[[#This Row],[Class]]="A",WORKDAY(Main[[#This Row],[Tech Start Date]],4),""))))</f>
        <v/>
      </c>
      <c r="O959" s="77" t="str">
        <f>IF(Main[[#This Row],[Tech Start Date]]&lt;1/1/1990,"",IF(Main[[#This Row],[Class]]="C",WORKDAY(Main[[#This Row],[Tech Start Date]],23),IF(Main[[#This Row],[Class]]="B", WORKDAY(Main[[#This Row],[Tech Start Date]],15),IF(Main[[#This Row],[Class]]="A",WORKDAY(Main[[#This Row],[Tech Start Date]],5),""))))</f>
        <v/>
      </c>
      <c r="P959" s="77" t="str">
        <f>IF(Main[[#This Row],[Tech Start Date]]&lt;1/1/1990,"",IF(Main[[#This Row],[Class]]="C",WORKDAY(Main[[#This Row],[Tech Start Date]],28),IF(Main[[#This Row],[Class]]="B", WORKDAY(Main[[#This Row],[Tech Start Date]],19),IF(Main[[#This Row],[Class]]="A",WORKDAY(Main[[#This Row],[Tech Start Date]],9),""))))</f>
        <v/>
      </c>
      <c r="Q959" s="74"/>
      <c r="R959" s="74"/>
      <c r="S959" s="72" t="s">
        <v>6</v>
      </c>
      <c r="T959" s="80" t="s">
        <v>4</v>
      </c>
      <c r="U959" s="72" t="s">
        <v>7</v>
      </c>
      <c r="V959" s="72" t="s">
        <v>1917</v>
      </c>
      <c r="W959" s="72" t="s">
        <v>1921</v>
      </c>
      <c r="X959" s="72" t="s">
        <v>306</v>
      </c>
      <c r="Y959" s="72" t="s">
        <v>4</v>
      </c>
      <c r="Z959" s="72" t="s">
        <v>4</v>
      </c>
      <c r="AA959" s="146" t="s">
        <v>4</v>
      </c>
    </row>
    <row r="960" spans="1:27" ht="18.600000000000001" customHeight="1">
      <c r="A960" s="139" t="str">
        <f>IF(priority(Main[[#This Row],[Comments]])&lt;&gt;0, priority(Main[[#This Row],[Comments]]),"")</f>
        <v/>
      </c>
      <c r="B960" s="89" t="s">
        <v>1636</v>
      </c>
      <c r="C960" s="72" t="s">
        <v>4</v>
      </c>
      <c r="D960" s="73" t="s">
        <v>2395</v>
      </c>
      <c r="E960" s="74">
        <v>40567.655532407407</v>
      </c>
      <c r="F960" s="74">
        <v>40602</v>
      </c>
      <c r="G960" s="75" t="str">
        <f>IF(stdProdLT(Main[[#This Row],[Comments]])=0.1,"N/A",IF(stdProdLT(Main[[#This Row],[Comments]])=0,"",stdProdLT(Main[[#This Row],[Comments]])))</f>
        <v/>
      </c>
      <c r="H960" s="76" t="str">
        <f>IF(AND(Main[[#This Row],[In Stock Date]]&lt;&gt;"",Main[[#This Row],[Revised Due Date]]&lt;&gt;""),Main[[#This Row],[In Stock Date]]-Main[[#This Row],[Revised Due Date]],"")</f>
        <v/>
      </c>
      <c r="I960" s="72" t="s">
        <v>914</v>
      </c>
      <c r="J960" s="72" t="s">
        <v>52</v>
      </c>
      <c r="K960" s="81" t="s">
        <v>1926</v>
      </c>
      <c r="L960" s="74"/>
      <c r="M960" s="77" t="str">
        <f>IF(Main[[#This Row],[Tech Start Date]]&lt;1/1/1990,"",IF(Main[[#This Row],[Class]]="C",WORKDAY(Main[[#This Row],[Tech Start Date]],9),IF(Main[[#This Row],[Class]]="B", WORKDAY(Main[[#This Row],[Tech Start Date]],6),IF(Main[[#This Row],[Class]]="A",WORKDAY(Main[[#This Row],[Tech Start Date]],2),""))))</f>
        <v/>
      </c>
      <c r="N960" s="77" t="str">
        <f>IF(Main[[#This Row],[Tech Start Date]]&lt;1/1/1990,"",IF(Main[[#This Row],[Class]]="C",WORKDAY(Main[[#This Row],[Tech Start Date]],19),IF(Main[[#This Row],[Class]]="B", WORKDAY(Main[[#This Row],[Tech Start Date]],12),IF(Main[[#This Row],[Class]]="A",WORKDAY(Main[[#This Row],[Tech Start Date]],4),""))))</f>
        <v/>
      </c>
      <c r="O960" s="77" t="str">
        <f>IF(Main[[#This Row],[Tech Start Date]]&lt;1/1/1990,"",IF(Main[[#This Row],[Class]]="C",WORKDAY(Main[[#This Row],[Tech Start Date]],23),IF(Main[[#This Row],[Class]]="B", WORKDAY(Main[[#This Row],[Tech Start Date]],15),IF(Main[[#This Row],[Class]]="A",WORKDAY(Main[[#This Row],[Tech Start Date]],5),""))))</f>
        <v/>
      </c>
      <c r="P960" s="77" t="str">
        <f>IF(Main[[#This Row],[Tech Start Date]]&lt;1/1/1990,"",IF(Main[[#This Row],[Class]]="C",WORKDAY(Main[[#This Row],[Tech Start Date]],28),IF(Main[[#This Row],[Class]]="B", WORKDAY(Main[[#This Row],[Tech Start Date]],19),IF(Main[[#This Row],[Class]]="A",WORKDAY(Main[[#This Row],[Tech Start Date]],9),""))))</f>
        <v/>
      </c>
      <c r="Q960" s="74">
        <v>40602</v>
      </c>
      <c r="R960" s="74"/>
      <c r="S960" s="72" t="s">
        <v>6</v>
      </c>
      <c r="T960" s="80" t="s">
        <v>4</v>
      </c>
      <c r="U960" s="72" t="s">
        <v>29</v>
      </c>
      <c r="V960" s="72" t="s">
        <v>1917</v>
      </c>
      <c r="W960" s="72" t="s">
        <v>1919</v>
      </c>
      <c r="X960" s="72" t="s">
        <v>2824</v>
      </c>
      <c r="Y960" s="72" t="s">
        <v>2935</v>
      </c>
      <c r="Z960" s="72" t="s">
        <v>129</v>
      </c>
      <c r="AA960" s="146" t="s">
        <v>2824</v>
      </c>
    </row>
    <row r="961" spans="1:27" ht="18.600000000000001" customHeight="1">
      <c r="A961" s="139" t="str">
        <f>IF(priority(Main[[#This Row],[Comments]])&lt;&gt;0, priority(Main[[#This Row],[Comments]]),"")</f>
        <v/>
      </c>
      <c r="B961" s="89" t="s">
        <v>1713</v>
      </c>
      <c r="C961" s="72" t="s">
        <v>4</v>
      </c>
      <c r="D961" s="73" t="s">
        <v>771</v>
      </c>
      <c r="E961" s="74"/>
      <c r="F961" s="74"/>
      <c r="G961" s="75" t="str">
        <f>IF(stdProdLT(Main[[#This Row],[Comments]])=0.1,"N/A",IF(stdProdLT(Main[[#This Row],[Comments]])=0,"",stdProdLT(Main[[#This Row],[Comments]])))</f>
        <v/>
      </c>
      <c r="H961" s="76" t="str">
        <f>IF(AND(Main[[#This Row],[In Stock Date]]&lt;&gt;"",Main[[#This Row],[Revised Due Date]]&lt;&gt;""),Main[[#This Row],[In Stock Date]]-Main[[#This Row],[Revised Due Date]],"")</f>
        <v/>
      </c>
      <c r="I961" s="72" t="s">
        <v>4</v>
      </c>
      <c r="J961" s="72" t="s">
        <v>4</v>
      </c>
      <c r="K961" s="81" t="s">
        <v>4</v>
      </c>
      <c r="L961" s="74"/>
      <c r="M961" s="77" t="str">
        <f>IF(Main[[#This Row],[Tech Start Date]]&lt;1/1/1990,"",IF(Main[[#This Row],[Class]]="C",WORKDAY(Main[[#This Row],[Tech Start Date]],9),IF(Main[[#This Row],[Class]]="B", WORKDAY(Main[[#This Row],[Tech Start Date]],6),IF(Main[[#This Row],[Class]]="A",WORKDAY(Main[[#This Row],[Tech Start Date]],2),""))))</f>
        <v/>
      </c>
      <c r="N961" s="77" t="str">
        <f>IF(Main[[#This Row],[Tech Start Date]]&lt;1/1/1990,"",IF(Main[[#This Row],[Class]]="C",WORKDAY(Main[[#This Row],[Tech Start Date]],19),IF(Main[[#This Row],[Class]]="B", WORKDAY(Main[[#This Row],[Tech Start Date]],12),IF(Main[[#This Row],[Class]]="A",WORKDAY(Main[[#This Row],[Tech Start Date]],4),""))))</f>
        <v/>
      </c>
      <c r="O961" s="77" t="str">
        <f>IF(Main[[#This Row],[Tech Start Date]]&lt;1/1/1990,"",IF(Main[[#This Row],[Class]]="C",WORKDAY(Main[[#This Row],[Tech Start Date]],23),IF(Main[[#This Row],[Class]]="B", WORKDAY(Main[[#This Row],[Tech Start Date]],15),IF(Main[[#This Row],[Class]]="A",WORKDAY(Main[[#This Row],[Tech Start Date]],5),""))))</f>
        <v/>
      </c>
      <c r="P961" s="77" t="str">
        <f>IF(Main[[#This Row],[Tech Start Date]]&lt;1/1/1990,"",IF(Main[[#This Row],[Class]]="C",WORKDAY(Main[[#This Row],[Tech Start Date]],28),IF(Main[[#This Row],[Class]]="B", WORKDAY(Main[[#This Row],[Tech Start Date]],19),IF(Main[[#This Row],[Class]]="A",WORKDAY(Main[[#This Row],[Tech Start Date]],9),""))))</f>
        <v/>
      </c>
      <c r="Q961" s="74"/>
      <c r="R961" s="74"/>
      <c r="S961" s="72" t="s">
        <v>6</v>
      </c>
      <c r="T961" s="80" t="s">
        <v>4</v>
      </c>
      <c r="U961" s="72" t="s">
        <v>12</v>
      </c>
      <c r="V961" s="72" t="s">
        <v>1917</v>
      </c>
      <c r="W961" s="72" t="s">
        <v>1921</v>
      </c>
      <c r="X961" s="72" t="s">
        <v>924</v>
      </c>
      <c r="Y961" s="72" t="s">
        <v>2988</v>
      </c>
      <c r="Z961" s="72" t="s">
        <v>4</v>
      </c>
      <c r="AA961" s="146" t="s">
        <v>924</v>
      </c>
    </row>
    <row r="962" spans="1:27" ht="18.600000000000001" customHeight="1">
      <c r="A962" s="139" t="str">
        <f>IF(priority(Main[[#This Row],[Comments]])&lt;&gt;0, priority(Main[[#This Row],[Comments]]),"")</f>
        <v/>
      </c>
      <c r="B962" s="89" t="s">
        <v>1207</v>
      </c>
      <c r="C962" s="72" t="s">
        <v>116</v>
      </c>
      <c r="D962" s="73" t="s">
        <v>263</v>
      </c>
      <c r="E962" s="74">
        <v>40681.362476851849</v>
      </c>
      <c r="F962" s="74">
        <v>40734</v>
      </c>
      <c r="G962" s="75" t="str">
        <f>IF(stdProdLT(Main[[#This Row],[Comments]])=0.1,"N/A",IF(stdProdLT(Main[[#This Row],[Comments]])=0,"",stdProdLT(Main[[#This Row],[Comments]])))</f>
        <v/>
      </c>
      <c r="H962" s="76" t="str">
        <f>IF(AND(Main[[#This Row],[In Stock Date]]&lt;&gt;"",Main[[#This Row],[Revised Due Date]]&lt;&gt;""),Main[[#This Row],[In Stock Date]]-Main[[#This Row],[Revised Due Date]],"")</f>
        <v/>
      </c>
      <c r="I962" s="72" t="s">
        <v>4</v>
      </c>
      <c r="J962" s="72" t="s">
        <v>4</v>
      </c>
      <c r="K962" s="72" t="s">
        <v>4</v>
      </c>
      <c r="L962" s="74"/>
      <c r="M962" s="77" t="str">
        <f>IF(Main[[#This Row],[Tech Start Date]]&lt;1/1/1990,"",IF(Main[[#This Row],[Class]]="C",WORKDAY(Main[[#This Row],[Tech Start Date]],9),IF(Main[[#This Row],[Class]]="B", WORKDAY(Main[[#This Row],[Tech Start Date]],6),IF(Main[[#This Row],[Class]]="A",WORKDAY(Main[[#This Row],[Tech Start Date]],2),""))))</f>
        <v/>
      </c>
      <c r="N962" s="77" t="str">
        <f>IF(Main[[#This Row],[Tech Start Date]]&lt;1/1/1990,"",IF(Main[[#This Row],[Class]]="C",WORKDAY(Main[[#This Row],[Tech Start Date]],19),IF(Main[[#This Row],[Class]]="B", WORKDAY(Main[[#This Row],[Tech Start Date]],12),IF(Main[[#This Row],[Class]]="A",WORKDAY(Main[[#This Row],[Tech Start Date]],4),""))))</f>
        <v/>
      </c>
      <c r="O962" s="77" t="str">
        <f>IF(Main[[#This Row],[Tech Start Date]]&lt;1/1/1990,"",IF(Main[[#This Row],[Class]]="C",WORKDAY(Main[[#This Row],[Tech Start Date]],23),IF(Main[[#This Row],[Class]]="B", WORKDAY(Main[[#This Row],[Tech Start Date]],15),IF(Main[[#This Row],[Class]]="A",WORKDAY(Main[[#This Row],[Tech Start Date]],5),""))))</f>
        <v/>
      </c>
      <c r="P962" s="77" t="str">
        <f>IF(Main[[#This Row],[Tech Start Date]]&lt;1/1/1990,"",IF(Main[[#This Row],[Class]]="C",WORKDAY(Main[[#This Row],[Tech Start Date]],28),IF(Main[[#This Row],[Class]]="B", WORKDAY(Main[[#This Row],[Tech Start Date]],19),IF(Main[[#This Row],[Class]]="A",WORKDAY(Main[[#This Row],[Tech Start Date]],9),""))))</f>
        <v/>
      </c>
      <c r="Q962" s="74">
        <v>40724</v>
      </c>
      <c r="R962" s="74"/>
      <c r="S962" s="72" t="s">
        <v>17</v>
      </c>
      <c r="T962" s="80" t="s">
        <v>4</v>
      </c>
      <c r="U962" s="72" t="s">
        <v>7</v>
      </c>
      <c r="V962" s="72" t="s">
        <v>1920</v>
      </c>
      <c r="W962" s="72" t="s">
        <v>1921</v>
      </c>
      <c r="X962" s="72" t="s">
        <v>50</v>
      </c>
      <c r="Y962" s="72" t="s">
        <v>2967</v>
      </c>
      <c r="Z962" s="72" t="s">
        <v>4</v>
      </c>
      <c r="AA962" s="146" t="s">
        <v>50</v>
      </c>
    </row>
    <row r="963" spans="1:27" ht="18.600000000000001" customHeight="1">
      <c r="A963" s="139" t="str">
        <f>IF(priority(Main[[#This Row],[Comments]])&lt;&gt;0, priority(Main[[#This Row],[Comments]]),"")</f>
        <v/>
      </c>
      <c r="B963" s="89" t="s">
        <v>2400</v>
      </c>
      <c r="C963" s="72" t="s">
        <v>4</v>
      </c>
      <c r="D963" s="73" t="s">
        <v>2401</v>
      </c>
      <c r="E963" s="74"/>
      <c r="F963" s="74"/>
      <c r="G963" s="75" t="str">
        <f>IF(stdProdLT(Main[[#This Row],[Comments]])=0.1,"N/A",IF(stdProdLT(Main[[#This Row],[Comments]])=0,"",stdProdLT(Main[[#This Row],[Comments]])))</f>
        <v/>
      </c>
      <c r="H963" s="76" t="str">
        <f>IF(AND(Main[[#This Row],[In Stock Date]]&lt;&gt;"",Main[[#This Row],[Revised Due Date]]&lt;&gt;""),Main[[#This Row],[In Stock Date]]-Main[[#This Row],[Revised Due Date]],"")</f>
        <v/>
      </c>
      <c r="I963" s="72" t="s">
        <v>4</v>
      </c>
      <c r="J963" s="72" t="s">
        <v>4</v>
      </c>
      <c r="K963" s="72" t="s">
        <v>4</v>
      </c>
      <c r="L963" s="74"/>
      <c r="M963" s="77" t="str">
        <f>IF(Main[[#This Row],[Tech Start Date]]&lt;1/1/1990,"",IF(Main[[#This Row],[Class]]="C",WORKDAY(Main[[#This Row],[Tech Start Date]],9),IF(Main[[#This Row],[Class]]="B", WORKDAY(Main[[#This Row],[Tech Start Date]],6),IF(Main[[#This Row],[Class]]="A",WORKDAY(Main[[#This Row],[Tech Start Date]],2),""))))</f>
        <v/>
      </c>
      <c r="N963" s="77" t="str">
        <f>IF(Main[[#This Row],[Tech Start Date]]&lt;1/1/1990,"",IF(Main[[#This Row],[Class]]="C",WORKDAY(Main[[#This Row],[Tech Start Date]],19),IF(Main[[#This Row],[Class]]="B", WORKDAY(Main[[#This Row],[Tech Start Date]],12),IF(Main[[#This Row],[Class]]="A",WORKDAY(Main[[#This Row],[Tech Start Date]],4),""))))</f>
        <v/>
      </c>
      <c r="O963" s="77" t="str">
        <f>IF(Main[[#This Row],[Tech Start Date]]&lt;1/1/1990,"",IF(Main[[#This Row],[Class]]="C",WORKDAY(Main[[#This Row],[Tech Start Date]],23),IF(Main[[#This Row],[Class]]="B", WORKDAY(Main[[#This Row],[Tech Start Date]],15),IF(Main[[#This Row],[Class]]="A",WORKDAY(Main[[#This Row],[Tech Start Date]],5),""))))</f>
        <v/>
      </c>
      <c r="P963" s="77" t="str">
        <f>IF(Main[[#This Row],[Tech Start Date]]&lt;1/1/1990,"",IF(Main[[#This Row],[Class]]="C",WORKDAY(Main[[#This Row],[Tech Start Date]],28),IF(Main[[#This Row],[Class]]="B", WORKDAY(Main[[#This Row],[Tech Start Date]],19),IF(Main[[#This Row],[Class]]="A",WORKDAY(Main[[#This Row],[Tech Start Date]],9),""))))</f>
        <v/>
      </c>
      <c r="Q963" s="74"/>
      <c r="R963" s="74"/>
      <c r="S963" s="72" t="s">
        <v>11</v>
      </c>
      <c r="T963" s="80" t="s">
        <v>4</v>
      </c>
      <c r="U963" s="72" t="s">
        <v>14</v>
      </c>
      <c r="V963" s="72" t="s">
        <v>1918</v>
      </c>
      <c r="W963" s="72" t="s">
        <v>4</v>
      </c>
      <c r="X963" s="72" t="s">
        <v>2254</v>
      </c>
      <c r="Y963" s="72" t="s">
        <v>4</v>
      </c>
      <c r="Z963" s="72" t="s">
        <v>4</v>
      </c>
      <c r="AA963" s="146" t="s">
        <v>4</v>
      </c>
    </row>
    <row r="964" spans="1:27" ht="18.600000000000001" customHeight="1">
      <c r="A964" s="139" t="str">
        <f>IF(priority(Main[[#This Row],[Comments]])&lt;&gt;0, priority(Main[[#This Row],[Comments]]),"")</f>
        <v/>
      </c>
      <c r="B964" s="89" t="s">
        <v>1830</v>
      </c>
      <c r="C964" s="72" t="s">
        <v>365</v>
      </c>
      <c r="D964" s="73" t="s">
        <v>2121</v>
      </c>
      <c r="E964" s="74">
        <v>40002.664317129631</v>
      </c>
      <c r="F964" s="74">
        <v>40074</v>
      </c>
      <c r="G964" s="75">
        <f>IF(stdProdLT(Main[[#This Row],[Comments]])=0.1,"N/A",IF(stdProdLT(Main[[#This Row],[Comments]])=0,"",stdProdLT(Main[[#This Row],[Comments]])))</f>
        <v>126</v>
      </c>
      <c r="H964" s="76">
        <f>IF(AND(Main[[#This Row],[In Stock Date]]&lt;&gt;"",Main[[#This Row],[Revised Due Date]]&lt;&gt;""),Main[[#This Row],[In Stock Date]]-Main[[#This Row],[Revised Due Date]],"")</f>
        <v>-399</v>
      </c>
      <c r="I964" s="72" t="s">
        <v>2056</v>
      </c>
      <c r="J964" s="72" t="s">
        <v>28</v>
      </c>
      <c r="K964" s="72" t="s">
        <v>1930</v>
      </c>
      <c r="L964" s="74"/>
      <c r="M964" s="77" t="str">
        <f>IF(Main[[#This Row],[Tech Start Date]]&lt;1/1/1990,"",IF(Main[[#This Row],[Class]]="C",WORKDAY(Main[[#This Row],[Tech Start Date]],9),IF(Main[[#This Row],[Class]]="B", WORKDAY(Main[[#This Row],[Tech Start Date]],6),IF(Main[[#This Row],[Class]]="A",WORKDAY(Main[[#This Row],[Tech Start Date]],2),""))))</f>
        <v/>
      </c>
      <c r="N964" s="77" t="str">
        <f>IF(Main[[#This Row],[Tech Start Date]]&lt;1/1/1990,"",IF(Main[[#This Row],[Class]]="C",WORKDAY(Main[[#This Row],[Tech Start Date]],19),IF(Main[[#This Row],[Class]]="B", WORKDAY(Main[[#This Row],[Tech Start Date]],12),IF(Main[[#This Row],[Class]]="A",WORKDAY(Main[[#This Row],[Tech Start Date]],4),""))))</f>
        <v/>
      </c>
      <c r="O964" s="77" t="str">
        <f>IF(Main[[#This Row],[Tech Start Date]]&lt;1/1/1990,"",IF(Main[[#This Row],[Class]]="C",WORKDAY(Main[[#This Row],[Tech Start Date]],23),IF(Main[[#This Row],[Class]]="B", WORKDAY(Main[[#This Row],[Tech Start Date]],15),IF(Main[[#This Row],[Class]]="A",WORKDAY(Main[[#This Row],[Tech Start Date]],5),""))))</f>
        <v/>
      </c>
      <c r="P964" s="77" t="str">
        <f>IF(Main[[#This Row],[Tech Start Date]]&lt;1/1/1990,"",IF(Main[[#This Row],[Class]]="C",WORKDAY(Main[[#This Row],[Tech Start Date]],28),IF(Main[[#This Row],[Class]]="B", WORKDAY(Main[[#This Row],[Tech Start Date]],19),IF(Main[[#This Row],[Class]]="A",WORKDAY(Main[[#This Row],[Tech Start Date]],9),""))))</f>
        <v/>
      </c>
      <c r="Q964" s="74">
        <v>40057</v>
      </c>
      <c r="R964" s="74">
        <v>40473</v>
      </c>
      <c r="S964" s="72" t="s">
        <v>6</v>
      </c>
      <c r="T964" s="80" t="s">
        <v>2122</v>
      </c>
      <c r="U964" s="72" t="s">
        <v>29</v>
      </c>
      <c r="V964" s="72" t="s">
        <v>1918</v>
      </c>
      <c r="W964" s="72" t="s">
        <v>1921</v>
      </c>
      <c r="X964" s="72" t="s">
        <v>2874</v>
      </c>
      <c r="Y964" s="72" t="s">
        <v>3113</v>
      </c>
      <c r="Z964" s="72" t="s">
        <v>2056</v>
      </c>
      <c r="AA964" s="146" t="s">
        <v>3451</v>
      </c>
    </row>
    <row r="965" spans="1:27" ht="18.600000000000001" customHeight="1">
      <c r="A965" s="139" t="str">
        <f>IF(priority(Main[[#This Row],[Comments]])&lt;&gt;0, priority(Main[[#This Row],[Comments]]),"")</f>
        <v/>
      </c>
      <c r="B965" s="89" t="s">
        <v>3248</v>
      </c>
      <c r="C965" s="72" t="s">
        <v>4</v>
      </c>
      <c r="D965" s="73" t="s">
        <v>3249</v>
      </c>
      <c r="E965" s="74">
        <v>40927.617210648146</v>
      </c>
      <c r="F965" s="74"/>
      <c r="G965" s="75" t="str">
        <f>IF(stdProdLT(Main[[#This Row],[Comments]])=0.1,"N/A",IF(stdProdLT(Main[[#This Row],[Comments]])=0,"",stdProdLT(Main[[#This Row],[Comments]])))</f>
        <v/>
      </c>
      <c r="H965" s="76" t="str">
        <f>IF(AND(Main[[#This Row],[In Stock Date]]&lt;&gt;"",Main[[#This Row],[Revised Due Date]]&lt;&gt;""),Main[[#This Row],[In Stock Date]]-Main[[#This Row],[Revised Due Date]],"")</f>
        <v/>
      </c>
      <c r="I965" s="72" t="s">
        <v>4</v>
      </c>
      <c r="J965" s="72" t="s">
        <v>4</v>
      </c>
      <c r="K965" s="72" t="s">
        <v>4</v>
      </c>
      <c r="L965" s="74"/>
      <c r="M965" s="77" t="str">
        <f>IF(Main[[#This Row],[Tech Start Date]]&lt;1/1/1990,"",IF(Main[[#This Row],[Class]]="C",WORKDAY(Main[[#This Row],[Tech Start Date]],9),IF(Main[[#This Row],[Class]]="B", WORKDAY(Main[[#This Row],[Tech Start Date]],6),IF(Main[[#This Row],[Class]]="A",WORKDAY(Main[[#This Row],[Tech Start Date]],2),""))))</f>
        <v/>
      </c>
      <c r="N965" s="77" t="str">
        <f>IF(Main[[#This Row],[Tech Start Date]]&lt;1/1/1990,"",IF(Main[[#This Row],[Class]]="C",WORKDAY(Main[[#This Row],[Tech Start Date]],19),IF(Main[[#This Row],[Class]]="B", WORKDAY(Main[[#This Row],[Tech Start Date]],12),IF(Main[[#This Row],[Class]]="A",WORKDAY(Main[[#This Row],[Tech Start Date]],4),""))))</f>
        <v/>
      </c>
      <c r="O965" s="77" t="str">
        <f>IF(Main[[#This Row],[Tech Start Date]]&lt;1/1/1990,"",IF(Main[[#This Row],[Class]]="C",WORKDAY(Main[[#This Row],[Tech Start Date]],23),IF(Main[[#This Row],[Class]]="B", WORKDAY(Main[[#This Row],[Tech Start Date]],15),IF(Main[[#This Row],[Class]]="A",WORKDAY(Main[[#This Row],[Tech Start Date]],5),""))))</f>
        <v/>
      </c>
      <c r="P965" s="77" t="str">
        <f>IF(Main[[#This Row],[Tech Start Date]]&lt;1/1/1990,"",IF(Main[[#This Row],[Class]]="C",WORKDAY(Main[[#This Row],[Tech Start Date]],28),IF(Main[[#This Row],[Class]]="B", WORKDAY(Main[[#This Row],[Tech Start Date]],19),IF(Main[[#This Row],[Class]]="A",WORKDAY(Main[[#This Row],[Tech Start Date]],9),""))))</f>
        <v/>
      </c>
      <c r="Q965" s="74"/>
      <c r="R965" s="74"/>
      <c r="S965" s="72" t="s">
        <v>6</v>
      </c>
      <c r="T965" s="80" t="s">
        <v>4</v>
      </c>
      <c r="U965" s="72" t="s">
        <v>29</v>
      </c>
      <c r="V965" s="72" t="s">
        <v>1918</v>
      </c>
      <c r="W965" s="72" t="s">
        <v>1921</v>
      </c>
      <c r="X965" s="72" t="s">
        <v>102</v>
      </c>
      <c r="Y965" s="72" t="s">
        <v>3250</v>
      </c>
      <c r="Z965" s="72" t="s">
        <v>4</v>
      </c>
      <c r="AA965" s="146" t="s">
        <v>2056</v>
      </c>
    </row>
    <row r="966" spans="1:27" ht="18.600000000000001" customHeight="1">
      <c r="A966" s="139" t="str">
        <f>IF(priority(Main[[#This Row],[Comments]])&lt;&gt;0, priority(Main[[#This Row],[Comments]]),"")</f>
        <v/>
      </c>
      <c r="B966" s="89" t="s">
        <v>1762</v>
      </c>
      <c r="C966" s="72" t="s">
        <v>72</v>
      </c>
      <c r="D966" s="73" t="s">
        <v>808</v>
      </c>
      <c r="E966" s="74"/>
      <c r="F966" s="74">
        <v>40756</v>
      </c>
      <c r="G966" s="75" t="str">
        <f>IF(stdProdLT(Main[[#This Row],[Comments]])=0.1,"N/A",IF(stdProdLT(Main[[#This Row],[Comments]])=0,"",stdProdLT(Main[[#This Row],[Comments]])))</f>
        <v/>
      </c>
      <c r="H966" s="76" t="str">
        <f>IF(AND(Main[[#This Row],[In Stock Date]]&lt;&gt;"",Main[[#This Row],[Revised Due Date]]&lt;&gt;""),Main[[#This Row],[In Stock Date]]-Main[[#This Row],[Revised Due Date]],"")</f>
        <v/>
      </c>
      <c r="I966" s="72" t="s">
        <v>4</v>
      </c>
      <c r="J966" s="72" t="s">
        <v>28</v>
      </c>
      <c r="K966" s="72" t="s">
        <v>4</v>
      </c>
      <c r="L966" s="74"/>
      <c r="M966" s="77" t="str">
        <f>IF(Main[[#This Row],[Tech Start Date]]&lt;1/1/1990,"",IF(Main[[#This Row],[Class]]="C",WORKDAY(Main[[#This Row],[Tech Start Date]],9),IF(Main[[#This Row],[Class]]="B", WORKDAY(Main[[#This Row],[Tech Start Date]],6),IF(Main[[#This Row],[Class]]="A",WORKDAY(Main[[#This Row],[Tech Start Date]],2),""))))</f>
        <v/>
      </c>
      <c r="N966" s="77" t="str">
        <f>IF(Main[[#This Row],[Tech Start Date]]&lt;1/1/1990,"",IF(Main[[#This Row],[Class]]="C",WORKDAY(Main[[#This Row],[Tech Start Date]],19),IF(Main[[#This Row],[Class]]="B", WORKDAY(Main[[#This Row],[Tech Start Date]],12),IF(Main[[#This Row],[Class]]="A",WORKDAY(Main[[#This Row],[Tech Start Date]],4),""))))</f>
        <v/>
      </c>
      <c r="O966" s="77" t="str">
        <f>IF(Main[[#This Row],[Tech Start Date]]&lt;1/1/1990,"",IF(Main[[#This Row],[Class]]="C",WORKDAY(Main[[#This Row],[Tech Start Date]],23),IF(Main[[#This Row],[Class]]="B", WORKDAY(Main[[#This Row],[Tech Start Date]],15),IF(Main[[#This Row],[Class]]="A",WORKDAY(Main[[#This Row],[Tech Start Date]],5),""))))</f>
        <v/>
      </c>
      <c r="P966" s="77" t="str">
        <f>IF(Main[[#This Row],[Tech Start Date]]&lt;1/1/1990,"",IF(Main[[#This Row],[Class]]="C",WORKDAY(Main[[#This Row],[Tech Start Date]],28),IF(Main[[#This Row],[Class]]="B", WORKDAY(Main[[#This Row],[Tech Start Date]],19),IF(Main[[#This Row],[Class]]="A",WORKDAY(Main[[#This Row],[Tech Start Date]],9),""))))</f>
        <v/>
      </c>
      <c r="Q966" s="74"/>
      <c r="R966" s="74"/>
      <c r="S966" s="72" t="s">
        <v>11</v>
      </c>
      <c r="T966" s="80" t="s">
        <v>4</v>
      </c>
      <c r="U966" s="72" t="s">
        <v>14</v>
      </c>
      <c r="V966" s="72" t="s">
        <v>1920</v>
      </c>
      <c r="W966" s="72" t="s">
        <v>1922</v>
      </c>
      <c r="X966" s="72" t="s">
        <v>50</v>
      </c>
      <c r="Y966" s="72" t="s">
        <v>2984</v>
      </c>
      <c r="Z966" s="72" t="s">
        <v>30</v>
      </c>
      <c r="AA966" s="146" t="s">
        <v>2853</v>
      </c>
    </row>
    <row r="967" spans="1:27" ht="18.600000000000001" customHeight="1">
      <c r="A967" s="139" t="str">
        <f>IF(priority(Main[[#This Row],[Comments]])&lt;&gt;0, priority(Main[[#This Row],[Comments]]),"")</f>
        <v/>
      </c>
      <c r="B967" s="89" t="s">
        <v>1763</v>
      </c>
      <c r="C967" s="72" t="s">
        <v>47</v>
      </c>
      <c r="D967" s="73" t="s">
        <v>809</v>
      </c>
      <c r="E967" s="74"/>
      <c r="F967" s="74"/>
      <c r="G967" s="75" t="str">
        <f>IF(stdProdLT(Main[[#This Row],[Comments]])=0.1,"N/A",IF(stdProdLT(Main[[#This Row],[Comments]])=0,"",stdProdLT(Main[[#This Row],[Comments]])))</f>
        <v/>
      </c>
      <c r="H967" s="76" t="str">
        <f>IF(AND(Main[[#This Row],[In Stock Date]]&lt;&gt;"",Main[[#This Row],[Revised Due Date]]&lt;&gt;""),Main[[#This Row],[In Stock Date]]-Main[[#This Row],[Revised Due Date]],"")</f>
        <v/>
      </c>
      <c r="I967" s="72" t="s">
        <v>4</v>
      </c>
      <c r="J967" s="72" t="s">
        <v>4</v>
      </c>
      <c r="K967" s="72" t="s">
        <v>4</v>
      </c>
      <c r="L967" s="74"/>
      <c r="M967" s="77" t="str">
        <f>IF(Main[[#This Row],[Tech Start Date]]&lt;1/1/1990,"",IF(Main[[#This Row],[Class]]="C",WORKDAY(Main[[#This Row],[Tech Start Date]],9),IF(Main[[#This Row],[Class]]="B", WORKDAY(Main[[#This Row],[Tech Start Date]],6),IF(Main[[#This Row],[Class]]="A",WORKDAY(Main[[#This Row],[Tech Start Date]],2),""))))</f>
        <v/>
      </c>
      <c r="N967" s="77" t="str">
        <f>IF(Main[[#This Row],[Tech Start Date]]&lt;1/1/1990,"",IF(Main[[#This Row],[Class]]="C",WORKDAY(Main[[#This Row],[Tech Start Date]],19),IF(Main[[#This Row],[Class]]="B", WORKDAY(Main[[#This Row],[Tech Start Date]],12),IF(Main[[#This Row],[Class]]="A",WORKDAY(Main[[#This Row],[Tech Start Date]],4),""))))</f>
        <v/>
      </c>
      <c r="O967" s="77" t="str">
        <f>IF(Main[[#This Row],[Tech Start Date]]&lt;1/1/1990,"",IF(Main[[#This Row],[Class]]="C",WORKDAY(Main[[#This Row],[Tech Start Date]],23),IF(Main[[#This Row],[Class]]="B", WORKDAY(Main[[#This Row],[Tech Start Date]],15),IF(Main[[#This Row],[Class]]="A",WORKDAY(Main[[#This Row],[Tech Start Date]],5),""))))</f>
        <v/>
      </c>
      <c r="P967" s="77" t="str">
        <f>IF(Main[[#This Row],[Tech Start Date]]&lt;1/1/1990,"",IF(Main[[#This Row],[Class]]="C",WORKDAY(Main[[#This Row],[Tech Start Date]],28),IF(Main[[#This Row],[Class]]="B", WORKDAY(Main[[#This Row],[Tech Start Date]],19),IF(Main[[#This Row],[Class]]="A",WORKDAY(Main[[#This Row],[Tech Start Date]],9),""))))</f>
        <v/>
      </c>
      <c r="Q967" s="74"/>
      <c r="R967" s="74"/>
      <c r="S967" s="72" t="s">
        <v>17</v>
      </c>
      <c r="T967" s="80" t="s">
        <v>4</v>
      </c>
      <c r="U967" s="72" t="s">
        <v>14</v>
      </c>
      <c r="V967" s="72" t="s">
        <v>1918</v>
      </c>
      <c r="W967" s="72" t="s">
        <v>1925</v>
      </c>
      <c r="X967" s="72" t="s">
        <v>306</v>
      </c>
      <c r="Y967" s="72" t="s">
        <v>2947</v>
      </c>
      <c r="Z967" s="72" t="s">
        <v>4</v>
      </c>
      <c r="AA967" s="146" t="s">
        <v>3388</v>
      </c>
    </row>
    <row r="968" spans="1:27" ht="18.600000000000001" customHeight="1">
      <c r="A968" s="139" t="str">
        <f>IF(priority(Main[[#This Row],[Comments]])&lt;&gt;0, priority(Main[[#This Row],[Comments]]),"")</f>
        <v/>
      </c>
      <c r="B968" s="89" t="s">
        <v>1764</v>
      </c>
      <c r="C968" s="72" t="s">
        <v>4</v>
      </c>
      <c r="D968" s="73" t="s">
        <v>810</v>
      </c>
      <c r="E968" s="74">
        <v>40634.342361111114</v>
      </c>
      <c r="F968" s="74"/>
      <c r="G968" s="75" t="str">
        <f>IF(stdProdLT(Main[[#This Row],[Comments]])=0.1,"N/A",IF(stdProdLT(Main[[#This Row],[Comments]])=0,"",stdProdLT(Main[[#This Row],[Comments]])))</f>
        <v/>
      </c>
      <c r="H968" s="76" t="str">
        <f>IF(AND(Main[[#This Row],[In Stock Date]]&lt;&gt;"",Main[[#This Row],[Revised Due Date]]&lt;&gt;""),Main[[#This Row],[In Stock Date]]-Main[[#This Row],[Revised Due Date]],"")</f>
        <v/>
      </c>
      <c r="I968" s="72" t="s">
        <v>4</v>
      </c>
      <c r="J968" s="72" t="s">
        <v>4</v>
      </c>
      <c r="K968" s="72" t="s">
        <v>4</v>
      </c>
      <c r="L968" s="74"/>
      <c r="M968" s="77" t="str">
        <f>IF(Main[[#This Row],[Tech Start Date]]&lt;1/1/1990,"",IF(Main[[#This Row],[Class]]="C",WORKDAY(Main[[#This Row],[Tech Start Date]],9),IF(Main[[#This Row],[Class]]="B", WORKDAY(Main[[#This Row],[Tech Start Date]],6),IF(Main[[#This Row],[Class]]="A",WORKDAY(Main[[#This Row],[Tech Start Date]],2),""))))</f>
        <v/>
      </c>
      <c r="N968" s="77" t="str">
        <f>IF(Main[[#This Row],[Tech Start Date]]&lt;1/1/1990,"",IF(Main[[#This Row],[Class]]="C",WORKDAY(Main[[#This Row],[Tech Start Date]],19),IF(Main[[#This Row],[Class]]="B", WORKDAY(Main[[#This Row],[Tech Start Date]],12),IF(Main[[#This Row],[Class]]="A",WORKDAY(Main[[#This Row],[Tech Start Date]],4),""))))</f>
        <v/>
      </c>
      <c r="O968" s="77" t="str">
        <f>IF(Main[[#This Row],[Tech Start Date]]&lt;1/1/1990,"",IF(Main[[#This Row],[Class]]="C",WORKDAY(Main[[#This Row],[Tech Start Date]],23),IF(Main[[#This Row],[Class]]="B", WORKDAY(Main[[#This Row],[Tech Start Date]],15),IF(Main[[#This Row],[Class]]="A",WORKDAY(Main[[#This Row],[Tech Start Date]],5),""))))</f>
        <v/>
      </c>
      <c r="P968" s="77" t="str">
        <f>IF(Main[[#This Row],[Tech Start Date]]&lt;1/1/1990,"",IF(Main[[#This Row],[Class]]="C",WORKDAY(Main[[#This Row],[Tech Start Date]],28),IF(Main[[#This Row],[Class]]="B", WORKDAY(Main[[#This Row],[Tech Start Date]],19),IF(Main[[#This Row],[Class]]="A",WORKDAY(Main[[#This Row],[Tech Start Date]],9),""))))</f>
        <v/>
      </c>
      <c r="Q968" s="74">
        <v>40676</v>
      </c>
      <c r="R968" s="74"/>
      <c r="S968" s="72" t="s">
        <v>6</v>
      </c>
      <c r="T968" s="80" t="s">
        <v>4</v>
      </c>
      <c r="U968" s="72" t="s">
        <v>7</v>
      </c>
      <c r="V968" s="72" t="s">
        <v>1918</v>
      </c>
      <c r="W968" s="72" t="s">
        <v>4</v>
      </c>
      <c r="X968" s="72" t="s">
        <v>2824</v>
      </c>
      <c r="Y968" s="72" t="s">
        <v>2935</v>
      </c>
      <c r="Z968" s="72" t="s">
        <v>4</v>
      </c>
      <c r="AA968" s="146" t="s">
        <v>2824</v>
      </c>
    </row>
    <row r="969" spans="1:27" ht="18.600000000000001" customHeight="1">
      <c r="A969" s="139" t="str">
        <f>IF(priority(Main[[#This Row],[Comments]])&lt;&gt;0, priority(Main[[#This Row],[Comments]]),"")</f>
        <v/>
      </c>
      <c r="B969" s="89" t="s">
        <v>1765</v>
      </c>
      <c r="C969" s="72" t="s">
        <v>31</v>
      </c>
      <c r="D969" s="73" t="s">
        <v>811</v>
      </c>
      <c r="E969" s="74"/>
      <c r="F969" s="74"/>
      <c r="G969" s="75" t="str">
        <f>IF(stdProdLT(Main[[#This Row],[Comments]])=0.1,"N/A",IF(stdProdLT(Main[[#This Row],[Comments]])=0,"",stdProdLT(Main[[#This Row],[Comments]])))</f>
        <v/>
      </c>
      <c r="H969" s="76" t="str">
        <f>IF(AND(Main[[#This Row],[In Stock Date]]&lt;&gt;"",Main[[#This Row],[Revised Due Date]]&lt;&gt;""),Main[[#This Row],[In Stock Date]]-Main[[#This Row],[Revised Due Date]],"")</f>
        <v/>
      </c>
      <c r="I969" s="72" t="s">
        <v>4</v>
      </c>
      <c r="J969" s="72" t="s">
        <v>4</v>
      </c>
      <c r="K969" s="72" t="s">
        <v>4</v>
      </c>
      <c r="L969" s="74"/>
      <c r="M969" s="77" t="str">
        <f>IF(Main[[#This Row],[Tech Start Date]]&lt;1/1/1990,"",IF(Main[[#This Row],[Class]]="C",WORKDAY(Main[[#This Row],[Tech Start Date]],9),IF(Main[[#This Row],[Class]]="B", WORKDAY(Main[[#This Row],[Tech Start Date]],6),IF(Main[[#This Row],[Class]]="A",WORKDAY(Main[[#This Row],[Tech Start Date]],2),""))))</f>
        <v/>
      </c>
      <c r="N969" s="77" t="str">
        <f>IF(Main[[#This Row],[Tech Start Date]]&lt;1/1/1990,"",IF(Main[[#This Row],[Class]]="C",WORKDAY(Main[[#This Row],[Tech Start Date]],19),IF(Main[[#This Row],[Class]]="B", WORKDAY(Main[[#This Row],[Tech Start Date]],12),IF(Main[[#This Row],[Class]]="A",WORKDAY(Main[[#This Row],[Tech Start Date]],4),""))))</f>
        <v/>
      </c>
      <c r="O969" s="77" t="str">
        <f>IF(Main[[#This Row],[Tech Start Date]]&lt;1/1/1990,"",IF(Main[[#This Row],[Class]]="C",WORKDAY(Main[[#This Row],[Tech Start Date]],23),IF(Main[[#This Row],[Class]]="B", WORKDAY(Main[[#This Row],[Tech Start Date]],15),IF(Main[[#This Row],[Class]]="A",WORKDAY(Main[[#This Row],[Tech Start Date]],5),""))))</f>
        <v/>
      </c>
      <c r="P969" s="77" t="str">
        <f>IF(Main[[#This Row],[Tech Start Date]]&lt;1/1/1990,"",IF(Main[[#This Row],[Class]]="C",WORKDAY(Main[[#This Row],[Tech Start Date]],28),IF(Main[[#This Row],[Class]]="B", WORKDAY(Main[[#This Row],[Tech Start Date]],19),IF(Main[[#This Row],[Class]]="A",WORKDAY(Main[[#This Row],[Tech Start Date]],9),""))))</f>
        <v/>
      </c>
      <c r="Q969" s="74">
        <v>40318</v>
      </c>
      <c r="R969" s="74"/>
      <c r="S969" s="72" t="s">
        <v>11</v>
      </c>
      <c r="T969" s="80" t="s">
        <v>4</v>
      </c>
      <c r="U969" s="72" t="s">
        <v>14</v>
      </c>
      <c r="V969" s="72" t="s">
        <v>1920</v>
      </c>
      <c r="W969" s="72" t="s">
        <v>1919</v>
      </c>
      <c r="X969" s="72" t="s">
        <v>2836</v>
      </c>
      <c r="Y969" s="72" t="s">
        <v>4</v>
      </c>
      <c r="Z969" s="72" t="s">
        <v>4</v>
      </c>
      <c r="AA969" s="146" t="s">
        <v>2836</v>
      </c>
    </row>
    <row r="970" spans="1:27" ht="18.600000000000001" customHeight="1">
      <c r="A970" s="139" t="str">
        <f>IF(priority(Main[[#This Row],[Comments]])&lt;&gt;0, priority(Main[[#This Row],[Comments]]),"")</f>
        <v/>
      </c>
      <c r="B970" s="89" t="s">
        <v>1766</v>
      </c>
      <c r="C970" s="72" t="s">
        <v>4</v>
      </c>
      <c r="D970" s="73" t="s">
        <v>120</v>
      </c>
      <c r="E970" s="74"/>
      <c r="F970" s="74"/>
      <c r="G970" s="75" t="str">
        <f>IF(stdProdLT(Main[[#This Row],[Comments]])=0.1,"N/A",IF(stdProdLT(Main[[#This Row],[Comments]])=0,"",stdProdLT(Main[[#This Row],[Comments]])))</f>
        <v/>
      </c>
      <c r="H970" s="76" t="str">
        <f>IF(AND(Main[[#This Row],[In Stock Date]]&lt;&gt;"",Main[[#This Row],[Revised Due Date]]&lt;&gt;""),Main[[#This Row],[In Stock Date]]-Main[[#This Row],[Revised Due Date]],"")</f>
        <v/>
      </c>
      <c r="I970" s="72" t="s">
        <v>4</v>
      </c>
      <c r="J970" s="72" t="s">
        <v>4</v>
      </c>
      <c r="K970" s="81" t="s">
        <v>4</v>
      </c>
      <c r="L970" s="74"/>
      <c r="M970" s="77" t="str">
        <f>IF(Main[[#This Row],[Tech Start Date]]&lt;1/1/1990,"",IF(Main[[#This Row],[Class]]="C",WORKDAY(Main[[#This Row],[Tech Start Date]],9),IF(Main[[#This Row],[Class]]="B", WORKDAY(Main[[#This Row],[Tech Start Date]],6),IF(Main[[#This Row],[Class]]="A",WORKDAY(Main[[#This Row],[Tech Start Date]],2),""))))</f>
        <v/>
      </c>
      <c r="N970" s="77" t="str">
        <f>IF(Main[[#This Row],[Tech Start Date]]&lt;1/1/1990,"",IF(Main[[#This Row],[Class]]="C",WORKDAY(Main[[#This Row],[Tech Start Date]],19),IF(Main[[#This Row],[Class]]="B", WORKDAY(Main[[#This Row],[Tech Start Date]],12),IF(Main[[#This Row],[Class]]="A",WORKDAY(Main[[#This Row],[Tech Start Date]],4),""))))</f>
        <v/>
      </c>
      <c r="O970" s="77" t="str">
        <f>IF(Main[[#This Row],[Tech Start Date]]&lt;1/1/1990,"",IF(Main[[#This Row],[Class]]="C",WORKDAY(Main[[#This Row],[Tech Start Date]],23),IF(Main[[#This Row],[Class]]="B", WORKDAY(Main[[#This Row],[Tech Start Date]],15),IF(Main[[#This Row],[Class]]="A",WORKDAY(Main[[#This Row],[Tech Start Date]],5),""))))</f>
        <v/>
      </c>
      <c r="P970" s="77" t="str">
        <f>IF(Main[[#This Row],[Tech Start Date]]&lt;1/1/1990,"",IF(Main[[#This Row],[Class]]="C",WORKDAY(Main[[#This Row],[Tech Start Date]],28),IF(Main[[#This Row],[Class]]="B", WORKDAY(Main[[#This Row],[Tech Start Date]],19),IF(Main[[#This Row],[Class]]="A",WORKDAY(Main[[#This Row],[Tech Start Date]],9),""))))</f>
        <v/>
      </c>
      <c r="Q970" s="74"/>
      <c r="R970" s="74"/>
      <c r="S970" s="72" t="s">
        <v>11</v>
      </c>
      <c r="T970" s="80" t="s">
        <v>4</v>
      </c>
      <c r="U970" s="72" t="s">
        <v>14</v>
      </c>
      <c r="V970" s="72" t="s">
        <v>1920</v>
      </c>
      <c r="W970" s="72" t="s">
        <v>1931</v>
      </c>
      <c r="X970" s="72" t="s">
        <v>2848</v>
      </c>
      <c r="Y970" s="72" t="s">
        <v>2980</v>
      </c>
      <c r="Z970" s="72" t="s">
        <v>4</v>
      </c>
      <c r="AA970" s="146" t="s">
        <v>2848</v>
      </c>
    </row>
    <row r="971" spans="1:27" ht="18.600000000000001" customHeight="1">
      <c r="A971" s="139" t="str">
        <f>IF(priority(Main[[#This Row],[Comments]])&lt;&gt;0, priority(Main[[#This Row],[Comments]]),"")</f>
        <v/>
      </c>
      <c r="B971" s="89" t="s">
        <v>1767</v>
      </c>
      <c r="C971" s="72" t="s">
        <v>4</v>
      </c>
      <c r="D971" s="73" t="s">
        <v>812</v>
      </c>
      <c r="E971" s="74">
        <v>40687.166759259257</v>
      </c>
      <c r="F971" s="74"/>
      <c r="G971" s="75" t="str">
        <f>IF(stdProdLT(Main[[#This Row],[Comments]])=0.1,"N/A",IF(stdProdLT(Main[[#This Row],[Comments]])=0,"",stdProdLT(Main[[#This Row],[Comments]])))</f>
        <v/>
      </c>
      <c r="H971" s="76" t="str">
        <f>IF(AND(Main[[#This Row],[In Stock Date]]&lt;&gt;"",Main[[#This Row],[Revised Due Date]]&lt;&gt;""),Main[[#This Row],[In Stock Date]]-Main[[#This Row],[Revised Due Date]],"")</f>
        <v/>
      </c>
      <c r="I971" s="72" t="s">
        <v>4</v>
      </c>
      <c r="J971" s="72" t="s">
        <v>4</v>
      </c>
      <c r="K971" s="72" t="s">
        <v>4</v>
      </c>
      <c r="L971" s="74"/>
      <c r="M971" s="77" t="str">
        <f>IF(Main[[#This Row],[Tech Start Date]]&lt;1/1/1990,"",IF(Main[[#This Row],[Class]]="C",WORKDAY(Main[[#This Row],[Tech Start Date]],9),IF(Main[[#This Row],[Class]]="B", WORKDAY(Main[[#This Row],[Tech Start Date]],6),IF(Main[[#This Row],[Class]]="A",WORKDAY(Main[[#This Row],[Tech Start Date]],2),""))))</f>
        <v/>
      </c>
      <c r="N971" s="77" t="str">
        <f>IF(Main[[#This Row],[Tech Start Date]]&lt;1/1/1990,"",IF(Main[[#This Row],[Class]]="C",WORKDAY(Main[[#This Row],[Tech Start Date]],19),IF(Main[[#This Row],[Class]]="B", WORKDAY(Main[[#This Row],[Tech Start Date]],12),IF(Main[[#This Row],[Class]]="A",WORKDAY(Main[[#This Row],[Tech Start Date]],4),""))))</f>
        <v/>
      </c>
      <c r="O971" s="77" t="str">
        <f>IF(Main[[#This Row],[Tech Start Date]]&lt;1/1/1990,"",IF(Main[[#This Row],[Class]]="C",WORKDAY(Main[[#This Row],[Tech Start Date]],23),IF(Main[[#This Row],[Class]]="B", WORKDAY(Main[[#This Row],[Tech Start Date]],15),IF(Main[[#This Row],[Class]]="A",WORKDAY(Main[[#This Row],[Tech Start Date]],5),""))))</f>
        <v/>
      </c>
      <c r="P971" s="77" t="str">
        <f>IF(Main[[#This Row],[Tech Start Date]]&lt;1/1/1990,"",IF(Main[[#This Row],[Class]]="C",WORKDAY(Main[[#This Row],[Tech Start Date]],28),IF(Main[[#This Row],[Class]]="B", WORKDAY(Main[[#This Row],[Tech Start Date]],19),IF(Main[[#This Row],[Class]]="A",WORKDAY(Main[[#This Row],[Tech Start Date]],9),""))))</f>
        <v/>
      </c>
      <c r="Q971" s="74">
        <v>40724</v>
      </c>
      <c r="R971" s="74"/>
      <c r="S971" s="72" t="s">
        <v>6</v>
      </c>
      <c r="T971" s="80" t="s">
        <v>4</v>
      </c>
      <c r="U971" s="72" t="s">
        <v>7</v>
      </c>
      <c r="V971" s="72" t="s">
        <v>1917</v>
      </c>
      <c r="W971" s="72" t="s">
        <v>4</v>
      </c>
      <c r="X971" s="72" t="s">
        <v>2828</v>
      </c>
      <c r="Y971" s="72" t="s">
        <v>2944</v>
      </c>
      <c r="Z971" s="72" t="s">
        <v>4</v>
      </c>
      <c r="AA971" s="146" t="s">
        <v>2828</v>
      </c>
    </row>
    <row r="972" spans="1:27" ht="18.600000000000001" customHeight="1">
      <c r="A972" s="139" t="str">
        <f>IF(priority(Main[[#This Row],[Comments]])&lt;&gt;0, priority(Main[[#This Row],[Comments]]),"")</f>
        <v/>
      </c>
      <c r="B972" s="89" t="s">
        <v>1769</v>
      </c>
      <c r="C972" s="72" t="s">
        <v>4</v>
      </c>
      <c r="D972" s="73" t="s">
        <v>813</v>
      </c>
      <c r="E972" s="74"/>
      <c r="F972" s="74">
        <v>40598</v>
      </c>
      <c r="G972" s="75" t="str">
        <f>IF(stdProdLT(Main[[#This Row],[Comments]])=0.1,"N/A",IF(stdProdLT(Main[[#This Row],[Comments]])=0,"",stdProdLT(Main[[#This Row],[Comments]])))</f>
        <v/>
      </c>
      <c r="H972" s="76" t="str">
        <f>IF(AND(Main[[#This Row],[In Stock Date]]&lt;&gt;"",Main[[#This Row],[Revised Due Date]]&lt;&gt;""),Main[[#This Row],[In Stock Date]]-Main[[#This Row],[Revised Due Date]],"")</f>
        <v/>
      </c>
      <c r="I972" s="72" t="s">
        <v>4</v>
      </c>
      <c r="J972" s="72" t="s">
        <v>4</v>
      </c>
      <c r="K972" s="72" t="s">
        <v>4</v>
      </c>
      <c r="L972" s="74"/>
      <c r="M972" s="77" t="str">
        <f>IF(Main[[#This Row],[Tech Start Date]]&lt;1/1/1990,"",IF(Main[[#This Row],[Class]]="C",WORKDAY(Main[[#This Row],[Tech Start Date]],9),IF(Main[[#This Row],[Class]]="B", WORKDAY(Main[[#This Row],[Tech Start Date]],6),IF(Main[[#This Row],[Class]]="A",WORKDAY(Main[[#This Row],[Tech Start Date]],2),""))))</f>
        <v/>
      </c>
      <c r="N972" s="77" t="str">
        <f>IF(Main[[#This Row],[Tech Start Date]]&lt;1/1/1990,"",IF(Main[[#This Row],[Class]]="C",WORKDAY(Main[[#This Row],[Tech Start Date]],19),IF(Main[[#This Row],[Class]]="B", WORKDAY(Main[[#This Row],[Tech Start Date]],12),IF(Main[[#This Row],[Class]]="A",WORKDAY(Main[[#This Row],[Tech Start Date]],4),""))))</f>
        <v/>
      </c>
      <c r="O972" s="77" t="str">
        <f>IF(Main[[#This Row],[Tech Start Date]]&lt;1/1/1990,"",IF(Main[[#This Row],[Class]]="C",WORKDAY(Main[[#This Row],[Tech Start Date]],23),IF(Main[[#This Row],[Class]]="B", WORKDAY(Main[[#This Row],[Tech Start Date]],15),IF(Main[[#This Row],[Class]]="A",WORKDAY(Main[[#This Row],[Tech Start Date]],5),""))))</f>
        <v/>
      </c>
      <c r="P972" s="77" t="str">
        <f>IF(Main[[#This Row],[Tech Start Date]]&lt;1/1/1990,"",IF(Main[[#This Row],[Class]]="C",WORKDAY(Main[[#This Row],[Tech Start Date]],28),IF(Main[[#This Row],[Class]]="B", WORKDAY(Main[[#This Row],[Tech Start Date]],19),IF(Main[[#This Row],[Class]]="A",WORKDAY(Main[[#This Row],[Tech Start Date]],9),""))))</f>
        <v/>
      </c>
      <c r="Q972" s="74">
        <v>40598</v>
      </c>
      <c r="R972" s="74"/>
      <c r="S972" s="72" t="s">
        <v>11</v>
      </c>
      <c r="T972" s="80" t="s">
        <v>4</v>
      </c>
      <c r="U972" s="72" t="s">
        <v>14</v>
      </c>
      <c r="V972" s="72" t="s">
        <v>1927</v>
      </c>
      <c r="W972" s="72" t="s">
        <v>1923</v>
      </c>
      <c r="X972" s="72" t="s">
        <v>2854</v>
      </c>
      <c r="Y972" s="72" t="s">
        <v>2985</v>
      </c>
      <c r="Z972" s="72" t="s">
        <v>4</v>
      </c>
      <c r="AA972" s="146" t="s">
        <v>2854</v>
      </c>
    </row>
    <row r="973" spans="1:27" ht="18.600000000000001" customHeight="1">
      <c r="A973" s="139" t="str">
        <f>IF(priority(Main[[#This Row],[Comments]])&lt;&gt;0, priority(Main[[#This Row],[Comments]]),"")</f>
        <v/>
      </c>
      <c r="B973" s="89" t="s">
        <v>3635</v>
      </c>
      <c r="C973" s="72" t="s">
        <v>2359</v>
      </c>
      <c r="D973" s="73" t="s">
        <v>3636</v>
      </c>
      <c r="E973" s="74">
        <v>40966.113043981481</v>
      </c>
      <c r="F973" s="74">
        <v>41014</v>
      </c>
      <c r="G973" s="75" t="str">
        <f>IF(stdProdLT(Main[[#This Row],[Comments]])=0.1,"N/A",IF(stdProdLT(Main[[#This Row],[Comments]])=0,"",stdProdLT(Main[[#This Row],[Comments]])))</f>
        <v/>
      </c>
      <c r="H973" s="76" t="str">
        <f>IF(AND(Main[[#This Row],[In Stock Date]]&lt;&gt;"",Main[[#This Row],[Revised Due Date]]&lt;&gt;""),Main[[#This Row],[In Stock Date]]-Main[[#This Row],[Revised Due Date]],"")</f>
        <v/>
      </c>
      <c r="I973" s="72" t="s">
        <v>4</v>
      </c>
      <c r="J973" s="72" t="s">
        <v>4</v>
      </c>
      <c r="K973" s="81" t="s">
        <v>4</v>
      </c>
      <c r="L973" s="74"/>
      <c r="M973" s="77" t="str">
        <f>IF(Main[[#This Row],[Tech Start Date]]&lt;1/1/1990,"",IF(Main[[#This Row],[Class]]="C",WORKDAY(Main[[#This Row],[Tech Start Date]],9),IF(Main[[#This Row],[Class]]="B", WORKDAY(Main[[#This Row],[Tech Start Date]],6),IF(Main[[#This Row],[Class]]="A",WORKDAY(Main[[#This Row],[Tech Start Date]],2),""))))</f>
        <v/>
      </c>
      <c r="N973" s="77" t="str">
        <f>IF(Main[[#This Row],[Tech Start Date]]&lt;1/1/1990,"",IF(Main[[#This Row],[Class]]="C",WORKDAY(Main[[#This Row],[Tech Start Date]],19),IF(Main[[#This Row],[Class]]="B", WORKDAY(Main[[#This Row],[Tech Start Date]],12),IF(Main[[#This Row],[Class]]="A",WORKDAY(Main[[#This Row],[Tech Start Date]],4),""))))</f>
        <v/>
      </c>
      <c r="O973" s="77" t="str">
        <f>IF(Main[[#This Row],[Tech Start Date]]&lt;1/1/1990,"",IF(Main[[#This Row],[Class]]="C",WORKDAY(Main[[#This Row],[Tech Start Date]],23),IF(Main[[#This Row],[Class]]="B", WORKDAY(Main[[#This Row],[Tech Start Date]],15),IF(Main[[#This Row],[Class]]="A",WORKDAY(Main[[#This Row],[Tech Start Date]],5),""))))</f>
        <v/>
      </c>
      <c r="P973" s="77" t="str">
        <f>IF(Main[[#This Row],[Tech Start Date]]&lt;1/1/1990,"",IF(Main[[#This Row],[Class]]="C",WORKDAY(Main[[#This Row],[Tech Start Date]],28),IF(Main[[#This Row],[Class]]="B", WORKDAY(Main[[#This Row],[Tech Start Date]],19),IF(Main[[#This Row],[Class]]="A",WORKDAY(Main[[#This Row],[Tech Start Date]],9),""))))</f>
        <v/>
      </c>
      <c r="Q973" s="74">
        <v>40916</v>
      </c>
      <c r="R973" s="74"/>
      <c r="S973" s="72" t="s">
        <v>11</v>
      </c>
      <c r="T973" s="80" t="s">
        <v>4</v>
      </c>
      <c r="U973" s="72" t="s">
        <v>696</v>
      </c>
      <c r="V973" s="72" t="s">
        <v>1927</v>
      </c>
      <c r="W973" s="72" t="s">
        <v>1925</v>
      </c>
      <c r="X973" s="72" t="s">
        <v>2849</v>
      </c>
      <c r="Y973" s="72" t="s">
        <v>4</v>
      </c>
      <c r="Z973" s="72" t="s">
        <v>4</v>
      </c>
      <c r="AA973" s="146" t="s">
        <v>2849</v>
      </c>
    </row>
    <row r="974" spans="1:27" ht="18.600000000000001" customHeight="1">
      <c r="A974" s="139" t="str">
        <f>IF(priority(Main[[#This Row],[Comments]])&lt;&gt;0, priority(Main[[#This Row],[Comments]]),"")</f>
        <v/>
      </c>
      <c r="B974" s="89" t="s">
        <v>1775</v>
      </c>
      <c r="C974" s="72" t="s">
        <v>4</v>
      </c>
      <c r="D974" s="73" t="s">
        <v>2123</v>
      </c>
      <c r="E974" s="74"/>
      <c r="F974" s="74"/>
      <c r="G974" s="75" t="str">
        <f>IF(stdProdLT(Main[[#This Row],[Comments]])=0.1,"N/A",IF(stdProdLT(Main[[#This Row],[Comments]])=0,"",stdProdLT(Main[[#This Row],[Comments]])))</f>
        <v/>
      </c>
      <c r="H974" s="76" t="str">
        <f>IF(AND(Main[[#This Row],[In Stock Date]]&lt;&gt;"",Main[[#This Row],[Revised Due Date]]&lt;&gt;""),Main[[#This Row],[In Stock Date]]-Main[[#This Row],[Revised Due Date]],"")</f>
        <v/>
      </c>
      <c r="I974" s="72" t="s">
        <v>429</v>
      </c>
      <c r="J974" s="72" t="s">
        <v>70</v>
      </c>
      <c r="K974" s="72" t="s">
        <v>1926</v>
      </c>
      <c r="L974" s="74"/>
      <c r="M974" s="77" t="str">
        <f>IF(Main[[#This Row],[Tech Start Date]]&lt;1/1/1990,"",IF(Main[[#This Row],[Class]]="C",WORKDAY(Main[[#This Row],[Tech Start Date]],9),IF(Main[[#This Row],[Class]]="B", WORKDAY(Main[[#This Row],[Tech Start Date]],6),IF(Main[[#This Row],[Class]]="A",WORKDAY(Main[[#This Row],[Tech Start Date]],2),""))))</f>
        <v/>
      </c>
      <c r="N974" s="77" t="str">
        <f>IF(Main[[#This Row],[Tech Start Date]]&lt;1/1/1990,"",IF(Main[[#This Row],[Class]]="C",WORKDAY(Main[[#This Row],[Tech Start Date]],19),IF(Main[[#This Row],[Class]]="B", WORKDAY(Main[[#This Row],[Tech Start Date]],12),IF(Main[[#This Row],[Class]]="A",WORKDAY(Main[[#This Row],[Tech Start Date]],4),""))))</f>
        <v/>
      </c>
      <c r="O974" s="77" t="str">
        <f>IF(Main[[#This Row],[Tech Start Date]]&lt;1/1/1990,"",IF(Main[[#This Row],[Class]]="C",WORKDAY(Main[[#This Row],[Tech Start Date]],23),IF(Main[[#This Row],[Class]]="B", WORKDAY(Main[[#This Row],[Tech Start Date]],15),IF(Main[[#This Row],[Class]]="A",WORKDAY(Main[[#This Row],[Tech Start Date]],5),""))))</f>
        <v/>
      </c>
      <c r="P974" s="77" t="str">
        <f>IF(Main[[#This Row],[Tech Start Date]]&lt;1/1/1990,"",IF(Main[[#This Row],[Class]]="C",WORKDAY(Main[[#This Row],[Tech Start Date]],28),IF(Main[[#This Row],[Class]]="B", WORKDAY(Main[[#This Row],[Tech Start Date]],19),IF(Main[[#This Row],[Class]]="A",WORKDAY(Main[[#This Row],[Tech Start Date]],9),""))))</f>
        <v/>
      </c>
      <c r="Q974" s="74">
        <v>40714</v>
      </c>
      <c r="R974" s="74"/>
      <c r="S974" s="72" t="s">
        <v>6</v>
      </c>
      <c r="T974" s="80" t="s">
        <v>4</v>
      </c>
      <c r="U974" s="72" t="s">
        <v>14</v>
      </c>
      <c r="V974" s="72" t="s">
        <v>1920</v>
      </c>
      <c r="W974" s="72" t="s">
        <v>1921</v>
      </c>
      <c r="X974" s="72" t="s">
        <v>2909</v>
      </c>
      <c r="Y974" s="72" t="s">
        <v>3089</v>
      </c>
      <c r="Z974" s="72" t="s">
        <v>30</v>
      </c>
      <c r="AA974" s="146" t="s">
        <v>2909</v>
      </c>
    </row>
    <row r="975" spans="1:27" ht="18.600000000000001" customHeight="1">
      <c r="A975" s="139" t="str">
        <f>IF(priority(Main[[#This Row],[Comments]])&lt;&gt;0, priority(Main[[#This Row],[Comments]]),"")</f>
        <v/>
      </c>
      <c r="B975" s="89" t="s">
        <v>1776</v>
      </c>
      <c r="C975" s="72" t="s">
        <v>4</v>
      </c>
      <c r="D975" s="73" t="s">
        <v>819</v>
      </c>
      <c r="E975" s="74"/>
      <c r="F975" s="74"/>
      <c r="G975" s="75" t="str">
        <f>IF(stdProdLT(Main[[#This Row],[Comments]])=0.1,"N/A",IF(stdProdLT(Main[[#This Row],[Comments]])=0,"",stdProdLT(Main[[#This Row],[Comments]])))</f>
        <v/>
      </c>
      <c r="H975" s="76" t="str">
        <f>IF(AND(Main[[#This Row],[In Stock Date]]&lt;&gt;"",Main[[#This Row],[Revised Due Date]]&lt;&gt;""),Main[[#This Row],[In Stock Date]]-Main[[#This Row],[Revised Due Date]],"")</f>
        <v/>
      </c>
      <c r="I975" s="72" t="s">
        <v>4</v>
      </c>
      <c r="J975" s="72" t="s">
        <v>4</v>
      </c>
      <c r="K975" s="72" t="s">
        <v>4</v>
      </c>
      <c r="L975" s="74"/>
      <c r="M975" s="77" t="str">
        <f>IF(Main[[#This Row],[Tech Start Date]]&lt;1/1/1990,"",IF(Main[[#This Row],[Class]]="C",WORKDAY(Main[[#This Row],[Tech Start Date]],9),IF(Main[[#This Row],[Class]]="B", WORKDAY(Main[[#This Row],[Tech Start Date]],6),IF(Main[[#This Row],[Class]]="A",WORKDAY(Main[[#This Row],[Tech Start Date]],2),""))))</f>
        <v/>
      </c>
      <c r="N975" s="77" t="str">
        <f>IF(Main[[#This Row],[Tech Start Date]]&lt;1/1/1990,"",IF(Main[[#This Row],[Class]]="C",WORKDAY(Main[[#This Row],[Tech Start Date]],19),IF(Main[[#This Row],[Class]]="B", WORKDAY(Main[[#This Row],[Tech Start Date]],12),IF(Main[[#This Row],[Class]]="A",WORKDAY(Main[[#This Row],[Tech Start Date]],4),""))))</f>
        <v/>
      </c>
      <c r="O975" s="77" t="str">
        <f>IF(Main[[#This Row],[Tech Start Date]]&lt;1/1/1990,"",IF(Main[[#This Row],[Class]]="C",WORKDAY(Main[[#This Row],[Tech Start Date]],23),IF(Main[[#This Row],[Class]]="B", WORKDAY(Main[[#This Row],[Tech Start Date]],15),IF(Main[[#This Row],[Class]]="A",WORKDAY(Main[[#This Row],[Tech Start Date]],5),""))))</f>
        <v/>
      </c>
      <c r="P975" s="77" t="str">
        <f>IF(Main[[#This Row],[Tech Start Date]]&lt;1/1/1990,"",IF(Main[[#This Row],[Class]]="C",WORKDAY(Main[[#This Row],[Tech Start Date]],28),IF(Main[[#This Row],[Class]]="B", WORKDAY(Main[[#This Row],[Tech Start Date]],19),IF(Main[[#This Row],[Class]]="A",WORKDAY(Main[[#This Row],[Tech Start Date]],9),""))))</f>
        <v/>
      </c>
      <c r="Q975" s="74"/>
      <c r="R975" s="74"/>
      <c r="S975" s="72" t="s">
        <v>6</v>
      </c>
      <c r="T975" s="80" t="s">
        <v>4</v>
      </c>
      <c r="U975" s="72" t="s">
        <v>14</v>
      </c>
      <c r="V975" s="72" t="s">
        <v>1917</v>
      </c>
      <c r="W975" s="72" t="s">
        <v>1921</v>
      </c>
      <c r="X975" s="72" t="s">
        <v>914</v>
      </c>
      <c r="Y975" s="72" t="s">
        <v>3063</v>
      </c>
      <c r="Z975" s="72" t="s">
        <v>4</v>
      </c>
      <c r="AA975" s="146" t="s">
        <v>914</v>
      </c>
    </row>
    <row r="976" spans="1:27" ht="18.600000000000001" customHeight="1">
      <c r="A976" s="139" t="str">
        <f>IF(priority(Main[[#This Row],[Comments]])&lt;&gt;0, priority(Main[[#This Row],[Comments]]),"")</f>
        <v/>
      </c>
      <c r="B976" s="89" t="s">
        <v>1614</v>
      </c>
      <c r="C976" s="72" t="s">
        <v>4</v>
      </c>
      <c r="D976" s="73" t="s">
        <v>686</v>
      </c>
      <c r="E976" s="74">
        <v>40031.45721064815</v>
      </c>
      <c r="F976" s="74"/>
      <c r="G976" s="75" t="str">
        <f>IF(stdProdLT(Main[[#This Row],[Comments]])=0.1,"N/A",IF(stdProdLT(Main[[#This Row],[Comments]])=0,"",stdProdLT(Main[[#This Row],[Comments]])))</f>
        <v/>
      </c>
      <c r="H976" s="76" t="str">
        <f>IF(AND(Main[[#This Row],[In Stock Date]]&lt;&gt;"",Main[[#This Row],[Revised Due Date]]&lt;&gt;""),Main[[#This Row],[In Stock Date]]-Main[[#This Row],[Revised Due Date]],"")</f>
        <v/>
      </c>
      <c r="I976" s="72" t="s">
        <v>2047</v>
      </c>
      <c r="J976" s="72" t="s">
        <v>21</v>
      </c>
      <c r="K976" s="72" t="s">
        <v>1926</v>
      </c>
      <c r="L976" s="74"/>
      <c r="M976" s="77" t="str">
        <f>IF(Main[[#This Row],[Tech Start Date]]&lt;1/1/1990,"",IF(Main[[#This Row],[Class]]="C",WORKDAY(Main[[#This Row],[Tech Start Date]],9),IF(Main[[#This Row],[Class]]="B", WORKDAY(Main[[#This Row],[Tech Start Date]],6),IF(Main[[#This Row],[Class]]="A",WORKDAY(Main[[#This Row],[Tech Start Date]],2),""))))</f>
        <v/>
      </c>
      <c r="N976" s="77" t="str">
        <f>IF(Main[[#This Row],[Tech Start Date]]&lt;1/1/1990,"",IF(Main[[#This Row],[Class]]="C",WORKDAY(Main[[#This Row],[Tech Start Date]],19),IF(Main[[#This Row],[Class]]="B", WORKDAY(Main[[#This Row],[Tech Start Date]],12),IF(Main[[#This Row],[Class]]="A",WORKDAY(Main[[#This Row],[Tech Start Date]],4),""))))</f>
        <v/>
      </c>
      <c r="O976" s="77" t="str">
        <f>IF(Main[[#This Row],[Tech Start Date]]&lt;1/1/1990,"",IF(Main[[#This Row],[Class]]="C",WORKDAY(Main[[#This Row],[Tech Start Date]],23),IF(Main[[#This Row],[Class]]="B", WORKDAY(Main[[#This Row],[Tech Start Date]],15),IF(Main[[#This Row],[Class]]="A",WORKDAY(Main[[#This Row],[Tech Start Date]],5),""))))</f>
        <v/>
      </c>
      <c r="P976" s="77" t="str">
        <f>IF(Main[[#This Row],[Tech Start Date]]&lt;1/1/1990,"",IF(Main[[#This Row],[Class]]="C",WORKDAY(Main[[#This Row],[Tech Start Date]],28),IF(Main[[#This Row],[Class]]="B", WORKDAY(Main[[#This Row],[Tech Start Date]],19),IF(Main[[#This Row],[Class]]="A",WORKDAY(Main[[#This Row],[Tech Start Date]],9),""))))</f>
        <v/>
      </c>
      <c r="Q976" s="74"/>
      <c r="R976" s="74"/>
      <c r="S976" s="72" t="s">
        <v>6</v>
      </c>
      <c r="T976" s="80" t="s">
        <v>4</v>
      </c>
      <c r="U976" s="72" t="s">
        <v>29</v>
      </c>
      <c r="V976" s="72" t="s">
        <v>1920</v>
      </c>
      <c r="W976" s="72" t="s">
        <v>1921</v>
      </c>
      <c r="X976" s="72" t="s">
        <v>2893</v>
      </c>
      <c r="Y976" s="72" t="s">
        <v>3049</v>
      </c>
      <c r="Z976" s="72" t="s">
        <v>30</v>
      </c>
      <c r="AA976" s="146" t="s">
        <v>2893</v>
      </c>
    </row>
    <row r="977" spans="1:27" ht="18.600000000000001" customHeight="1">
      <c r="A977" s="139" t="str">
        <f>IF(priority(Main[[#This Row],[Comments]])&lt;&gt;0, priority(Main[[#This Row],[Comments]]),"")</f>
        <v/>
      </c>
      <c r="B977" s="89" t="s">
        <v>1777</v>
      </c>
      <c r="C977" s="72" t="s">
        <v>820</v>
      </c>
      <c r="D977" s="73" t="s">
        <v>821</v>
      </c>
      <c r="E977" s="74"/>
      <c r="F977" s="74">
        <v>40421</v>
      </c>
      <c r="G977" s="75" t="str">
        <f>IF(stdProdLT(Main[[#This Row],[Comments]])=0.1,"N/A",IF(stdProdLT(Main[[#This Row],[Comments]])=0,"",stdProdLT(Main[[#This Row],[Comments]])))</f>
        <v/>
      </c>
      <c r="H977" s="76" t="str">
        <f>IF(AND(Main[[#This Row],[In Stock Date]]&lt;&gt;"",Main[[#This Row],[Revised Due Date]]&lt;&gt;""),Main[[#This Row],[In Stock Date]]-Main[[#This Row],[Revised Due Date]],"")</f>
        <v/>
      </c>
      <c r="I977" s="72" t="s">
        <v>4</v>
      </c>
      <c r="J977" s="72" t="s">
        <v>4</v>
      </c>
      <c r="K977" s="72" t="s">
        <v>4</v>
      </c>
      <c r="L977" s="74"/>
      <c r="M977" s="77" t="str">
        <f>IF(Main[[#This Row],[Tech Start Date]]&lt;1/1/1990,"",IF(Main[[#This Row],[Class]]="C",WORKDAY(Main[[#This Row],[Tech Start Date]],9),IF(Main[[#This Row],[Class]]="B", WORKDAY(Main[[#This Row],[Tech Start Date]],6),IF(Main[[#This Row],[Class]]="A",WORKDAY(Main[[#This Row],[Tech Start Date]],2),""))))</f>
        <v/>
      </c>
      <c r="N977" s="77" t="str">
        <f>IF(Main[[#This Row],[Tech Start Date]]&lt;1/1/1990,"",IF(Main[[#This Row],[Class]]="C",WORKDAY(Main[[#This Row],[Tech Start Date]],19),IF(Main[[#This Row],[Class]]="B", WORKDAY(Main[[#This Row],[Tech Start Date]],12),IF(Main[[#This Row],[Class]]="A",WORKDAY(Main[[#This Row],[Tech Start Date]],4),""))))</f>
        <v/>
      </c>
      <c r="O977" s="77" t="str">
        <f>IF(Main[[#This Row],[Tech Start Date]]&lt;1/1/1990,"",IF(Main[[#This Row],[Class]]="C",WORKDAY(Main[[#This Row],[Tech Start Date]],23),IF(Main[[#This Row],[Class]]="B", WORKDAY(Main[[#This Row],[Tech Start Date]],15),IF(Main[[#This Row],[Class]]="A",WORKDAY(Main[[#This Row],[Tech Start Date]],5),""))))</f>
        <v/>
      </c>
      <c r="P977" s="77" t="str">
        <f>IF(Main[[#This Row],[Tech Start Date]]&lt;1/1/1990,"",IF(Main[[#This Row],[Class]]="C",WORKDAY(Main[[#This Row],[Tech Start Date]],28),IF(Main[[#This Row],[Class]]="B", WORKDAY(Main[[#This Row],[Tech Start Date]],19),IF(Main[[#This Row],[Class]]="A",WORKDAY(Main[[#This Row],[Tech Start Date]],9),""))))</f>
        <v/>
      </c>
      <c r="Q977" s="74"/>
      <c r="R977" s="74"/>
      <c r="S977" s="72" t="s">
        <v>11</v>
      </c>
      <c r="T977" s="80" t="s">
        <v>4</v>
      </c>
      <c r="U977" s="72" t="s">
        <v>12</v>
      </c>
      <c r="V977" s="72" t="s">
        <v>1927</v>
      </c>
      <c r="W977" s="72" t="s">
        <v>1923</v>
      </c>
      <c r="X977" s="72" t="s">
        <v>2878</v>
      </c>
      <c r="Y977" s="72" t="s">
        <v>3002</v>
      </c>
      <c r="Z977" s="72" t="s">
        <v>4</v>
      </c>
      <c r="AA977" s="146" t="s">
        <v>2878</v>
      </c>
    </row>
    <row r="978" spans="1:27" ht="18.600000000000001" customHeight="1">
      <c r="A978" s="139" t="str">
        <f>IF(priority(Main[[#This Row],[Comments]])&lt;&gt;0, priority(Main[[#This Row],[Comments]]),"")</f>
        <v/>
      </c>
      <c r="B978" s="89" t="s">
        <v>1778</v>
      </c>
      <c r="C978" s="72" t="s">
        <v>4</v>
      </c>
      <c r="D978" s="73" t="s">
        <v>822</v>
      </c>
      <c r="E978" s="74"/>
      <c r="F978" s="74"/>
      <c r="G978" s="75" t="str">
        <f>IF(stdProdLT(Main[[#This Row],[Comments]])=0.1,"N/A",IF(stdProdLT(Main[[#This Row],[Comments]])=0,"",stdProdLT(Main[[#This Row],[Comments]])))</f>
        <v/>
      </c>
      <c r="H978" s="76" t="str">
        <f>IF(AND(Main[[#This Row],[In Stock Date]]&lt;&gt;"",Main[[#This Row],[Revised Due Date]]&lt;&gt;""),Main[[#This Row],[In Stock Date]]-Main[[#This Row],[Revised Due Date]],"")</f>
        <v/>
      </c>
      <c r="I978" s="72" t="s">
        <v>417</v>
      </c>
      <c r="J978" s="72" t="s">
        <v>75</v>
      </c>
      <c r="K978" s="72" t="s">
        <v>1924</v>
      </c>
      <c r="L978" s="74"/>
      <c r="M978" s="77" t="str">
        <f>IF(Main[[#This Row],[Tech Start Date]]&lt;1/1/1990,"",IF(Main[[#This Row],[Class]]="C",WORKDAY(Main[[#This Row],[Tech Start Date]],9),IF(Main[[#This Row],[Class]]="B", WORKDAY(Main[[#This Row],[Tech Start Date]],6),IF(Main[[#This Row],[Class]]="A",WORKDAY(Main[[#This Row],[Tech Start Date]],2),""))))</f>
        <v/>
      </c>
      <c r="N978" s="77" t="str">
        <f>IF(Main[[#This Row],[Tech Start Date]]&lt;1/1/1990,"",IF(Main[[#This Row],[Class]]="C",WORKDAY(Main[[#This Row],[Tech Start Date]],19),IF(Main[[#This Row],[Class]]="B", WORKDAY(Main[[#This Row],[Tech Start Date]],12),IF(Main[[#This Row],[Class]]="A",WORKDAY(Main[[#This Row],[Tech Start Date]],4),""))))</f>
        <v/>
      </c>
      <c r="O978" s="77" t="str">
        <f>IF(Main[[#This Row],[Tech Start Date]]&lt;1/1/1990,"",IF(Main[[#This Row],[Class]]="C",WORKDAY(Main[[#This Row],[Tech Start Date]],23),IF(Main[[#This Row],[Class]]="B", WORKDAY(Main[[#This Row],[Tech Start Date]],15),IF(Main[[#This Row],[Class]]="A",WORKDAY(Main[[#This Row],[Tech Start Date]],5),""))))</f>
        <v/>
      </c>
      <c r="P978" s="77" t="str">
        <f>IF(Main[[#This Row],[Tech Start Date]]&lt;1/1/1990,"",IF(Main[[#This Row],[Class]]="C",WORKDAY(Main[[#This Row],[Tech Start Date]],28),IF(Main[[#This Row],[Class]]="B", WORKDAY(Main[[#This Row],[Tech Start Date]],19),IF(Main[[#This Row],[Class]]="A",WORKDAY(Main[[#This Row],[Tech Start Date]],9),""))))</f>
        <v/>
      </c>
      <c r="Q978" s="74">
        <v>40529</v>
      </c>
      <c r="R978" s="74"/>
      <c r="S978" s="72" t="s">
        <v>6</v>
      </c>
      <c r="T978" s="80" t="s">
        <v>4</v>
      </c>
      <c r="U978" s="72" t="s">
        <v>14</v>
      </c>
      <c r="V978" s="72" t="s">
        <v>1920</v>
      </c>
      <c r="W978" s="72" t="s">
        <v>1928</v>
      </c>
      <c r="X978" s="72" t="s">
        <v>885</v>
      </c>
      <c r="Y978" s="72" t="s">
        <v>2969</v>
      </c>
      <c r="Z978" s="72" t="s">
        <v>306</v>
      </c>
      <c r="AA978" s="146" t="s">
        <v>885</v>
      </c>
    </row>
    <row r="979" spans="1:27" ht="18.600000000000001" customHeight="1">
      <c r="A979" s="139" t="str">
        <f>IF(priority(Main[[#This Row],[Comments]])&lt;&gt;0, priority(Main[[#This Row],[Comments]]),"")</f>
        <v/>
      </c>
      <c r="B979" s="89" t="s">
        <v>1779</v>
      </c>
      <c r="C979" s="72" t="s">
        <v>4</v>
      </c>
      <c r="D979" s="73" t="s">
        <v>823</v>
      </c>
      <c r="E979" s="74"/>
      <c r="F979" s="74">
        <v>40602</v>
      </c>
      <c r="G979" s="75" t="str">
        <f>IF(stdProdLT(Main[[#This Row],[Comments]])=0.1,"N/A",IF(stdProdLT(Main[[#This Row],[Comments]])=0,"",stdProdLT(Main[[#This Row],[Comments]])))</f>
        <v/>
      </c>
      <c r="H979" s="76" t="str">
        <f>IF(AND(Main[[#This Row],[In Stock Date]]&lt;&gt;"",Main[[#This Row],[Revised Due Date]]&lt;&gt;""),Main[[#This Row],[In Stock Date]]-Main[[#This Row],[Revised Due Date]],"")</f>
        <v/>
      </c>
      <c r="I979" s="72" t="s">
        <v>4</v>
      </c>
      <c r="J979" s="72" t="s">
        <v>28</v>
      </c>
      <c r="K979" s="72" t="s">
        <v>4</v>
      </c>
      <c r="L979" s="74"/>
      <c r="M979" s="77" t="str">
        <f>IF(Main[[#This Row],[Tech Start Date]]&lt;1/1/1990,"",IF(Main[[#This Row],[Class]]="C",WORKDAY(Main[[#This Row],[Tech Start Date]],9),IF(Main[[#This Row],[Class]]="B", WORKDAY(Main[[#This Row],[Tech Start Date]],6),IF(Main[[#This Row],[Class]]="A",WORKDAY(Main[[#This Row],[Tech Start Date]],2),""))))</f>
        <v/>
      </c>
      <c r="N979" s="77" t="str">
        <f>IF(Main[[#This Row],[Tech Start Date]]&lt;1/1/1990,"",IF(Main[[#This Row],[Class]]="C",WORKDAY(Main[[#This Row],[Tech Start Date]],19),IF(Main[[#This Row],[Class]]="B", WORKDAY(Main[[#This Row],[Tech Start Date]],12),IF(Main[[#This Row],[Class]]="A",WORKDAY(Main[[#This Row],[Tech Start Date]],4),""))))</f>
        <v/>
      </c>
      <c r="O979" s="77" t="str">
        <f>IF(Main[[#This Row],[Tech Start Date]]&lt;1/1/1990,"",IF(Main[[#This Row],[Class]]="C",WORKDAY(Main[[#This Row],[Tech Start Date]],23),IF(Main[[#This Row],[Class]]="B", WORKDAY(Main[[#This Row],[Tech Start Date]],15),IF(Main[[#This Row],[Class]]="A",WORKDAY(Main[[#This Row],[Tech Start Date]],5),""))))</f>
        <v/>
      </c>
      <c r="P979" s="77" t="str">
        <f>IF(Main[[#This Row],[Tech Start Date]]&lt;1/1/1990,"",IF(Main[[#This Row],[Class]]="C",WORKDAY(Main[[#This Row],[Tech Start Date]],28),IF(Main[[#This Row],[Class]]="B", WORKDAY(Main[[#This Row],[Tech Start Date]],19),IF(Main[[#This Row],[Class]]="A",WORKDAY(Main[[#This Row],[Tech Start Date]],9),""))))</f>
        <v/>
      </c>
      <c r="Q979" s="74">
        <v>40612</v>
      </c>
      <c r="R979" s="74"/>
      <c r="S979" s="72" t="s">
        <v>6</v>
      </c>
      <c r="T979" s="80" t="s">
        <v>4</v>
      </c>
      <c r="U979" s="72" t="s">
        <v>14</v>
      </c>
      <c r="V979" s="72" t="s">
        <v>1927</v>
      </c>
      <c r="W979" s="72" t="s">
        <v>1921</v>
      </c>
      <c r="X979" s="72" t="s">
        <v>50</v>
      </c>
      <c r="Y979" s="72" t="s">
        <v>3114</v>
      </c>
      <c r="Z979" s="72" t="s">
        <v>30</v>
      </c>
      <c r="AA979" s="146" t="s">
        <v>3386</v>
      </c>
    </row>
    <row r="980" spans="1:27" ht="18.600000000000001" customHeight="1">
      <c r="A980" s="139" t="str">
        <f>IF(priority(Main[[#This Row],[Comments]])&lt;&gt;0, priority(Main[[#This Row],[Comments]]),"")</f>
        <v/>
      </c>
      <c r="B980" s="89" t="s">
        <v>2448</v>
      </c>
      <c r="C980" s="72" t="s">
        <v>4</v>
      </c>
      <c r="D980" s="73" t="s">
        <v>3227</v>
      </c>
      <c r="E980" s="74">
        <v>40820.793587962966</v>
      </c>
      <c r="F980" s="74"/>
      <c r="G980" s="75" t="str">
        <f>IF(stdProdLT(Main[[#This Row],[Comments]])=0.1,"N/A",IF(stdProdLT(Main[[#This Row],[Comments]])=0,"",stdProdLT(Main[[#This Row],[Comments]])))</f>
        <v/>
      </c>
      <c r="H980" s="76" t="str">
        <f>IF(AND(Main[[#This Row],[In Stock Date]]&lt;&gt;"",Main[[#This Row],[Revised Due Date]]&lt;&gt;""),Main[[#This Row],[In Stock Date]]-Main[[#This Row],[Revised Due Date]],"")</f>
        <v/>
      </c>
      <c r="I980" s="72" t="s">
        <v>2054</v>
      </c>
      <c r="J980" s="72" t="s">
        <v>28</v>
      </c>
      <c r="K980" s="72" t="s">
        <v>1926</v>
      </c>
      <c r="L980" s="74"/>
      <c r="M980" s="77" t="str">
        <f>IF(Main[[#This Row],[Tech Start Date]]&lt;1/1/1990,"",IF(Main[[#This Row],[Class]]="C",WORKDAY(Main[[#This Row],[Tech Start Date]],9),IF(Main[[#This Row],[Class]]="B", WORKDAY(Main[[#This Row],[Tech Start Date]],6),IF(Main[[#This Row],[Class]]="A",WORKDAY(Main[[#This Row],[Tech Start Date]],2),""))))</f>
        <v/>
      </c>
      <c r="N980" s="77" t="str">
        <f>IF(Main[[#This Row],[Tech Start Date]]&lt;1/1/1990,"",IF(Main[[#This Row],[Class]]="C",WORKDAY(Main[[#This Row],[Tech Start Date]],19),IF(Main[[#This Row],[Class]]="B", WORKDAY(Main[[#This Row],[Tech Start Date]],12),IF(Main[[#This Row],[Class]]="A",WORKDAY(Main[[#This Row],[Tech Start Date]],4),""))))</f>
        <v/>
      </c>
      <c r="O980" s="77" t="str">
        <f>IF(Main[[#This Row],[Tech Start Date]]&lt;1/1/1990,"",IF(Main[[#This Row],[Class]]="C",WORKDAY(Main[[#This Row],[Tech Start Date]],23),IF(Main[[#This Row],[Class]]="B", WORKDAY(Main[[#This Row],[Tech Start Date]],15),IF(Main[[#This Row],[Class]]="A",WORKDAY(Main[[#This Row],[Tech Start Date]],5),""))))</f>
        <v/>
      </c>
      <c r="P980" s="77" t="str">
        <f>IF(Main[[#This Row],[Tech Start Date]]&lt;1/1/1990,"",IF(Main[[#This Row],[Class]]="C",WORKDAY(Main[[#This Row],[Tech Start Date]],28),IF(Main[[#This Row],[Class]]="B", WORKDAY(Main[[#This Row],[Tech Start Date]],19),IF(Main[[#This Row],[Class]]="A",WORKDAY(Main[[#This Row],[Tech Start Date]],9),""))))</f>
        <v/>
      </c>
      <c r="Q980" s="74">
        <v>40847</v>
      </c>
      <c r="R980" s="74"/>
      <c r="S980" s="72" t="s">
        <v>6</v>
      </c>
      <c r="T980" s="80" t="s">
        <v>4</v>
      </c>
      <c r="U980" s="72" t="s">
        <v>29</v>
      </c>
      <c r="V980" s="72" t="s">
        <v>1920</v>
      </c>
      <c r="W980" s="72" t="s">
        <v>1921</v>
      </c>
      <c r="X980" s="72" t="s">
        <v>30</v>
      </c>
      <c r="Y980" s="72" t="s">
        <v>3138</v>
      </c>
      <c r="Z980" s="72" t="s">
        <v>30</v>
      </c>
      <c r="AA980" s="146" t="s">
        <v>3452</v>
      </c>
    </row>
    <row r="981" spans="1:27" ht="18.600000000000001" customHeight="1">
      <c r="A981" s="139" t="str">
        <f>IF(priority(Main[[#This Row],[Comments]])&lt;&gt;0, priority(Main[[#This Row],[Comments]]),"")</f>
        <v/>
      </c>
      <c r="B981" s="89" t="s">
        <v>1804</v>
      </c>
      <c r="C981" s="72" t="s">
        <v>351</v>
      </c>
      <c r="D981" s="73" t="s">
        <v>824</v>
      </c>
      <c r="E981" s="74"/>
      <c r="F981" s="74">
        <v>40360</v>
      </c>
      <c r="G981" s="75" t="str">
        <f>IF(stdProdLT(Main[[#This Row],[Comments]])=0.1,"N/A",IF(stdProdLT(Main[[#This Row],[Comments]])=0,"",stdProdLT(Main[[#This Row],[Comments]])))</f>
        <v/>
      </c>
      <c r="H981" s="76" t="str">
        <f>IF(AND(Main[[#This Row],[In Stock Date]]&lt;&gt;"",Main[[#This Row],[Revised Due Date]]&lt;&gt;""),Main[[#This Row],[In Stock Date]]-Main[[#This Row],[Revised Due Date]],"")</f>
        <v/>
      </c>
      <c r="I981" s="72" t="s">
        <v>4</v>
      </c>
      <c r="J981" s="72" t="s">
        <v>4</v>
      </c>
      <c r="K981" s="72" t="s">
        <v>4</v>
      </c>
      <c r="L981" s="74"/>
      <c r="M981" s="77" t="str">
        <f>IF(Main[[#This Row],[Tech Start Date]]&lt;1/1/1990,"",IF(Main[[#This Row],[Class]]="C",WORKDAY(Main[[#This Row],[Tech Start Date]],9),IF(Main[[#This Row],[Class]]="B", WORKDAY(Main[[#This Row],[Tech Start Date]],6),IF(Main[[#This Row],[Class]]="A",WORKDAY(Main[[#This Row],[Tech Start Date]],2),""))))</f>
        <v/>
      </c>
      <c r="N981" s="77" t="str">
        <f>IF(Main[[#This Row],[Tech Start Date]]&lt;1/1/1990,"",IF(Main[[#This Row],[Class]]="C",WORKDAY(Main[[#This Row],[Tech Start Date]],19),IF(Main[[#This Row],[Class]]="B", WORKDAY(Main[[#This Row],[Tech Start Date]],12),IF(Main[[#This Row],[Class]]="A",WORKDAY(Main[[#This Row],[Tech Start Date]],4),""))))</f>
        <v/>
      </c>
      <c r="O981" s="77" t="str">
        <f>IF(Main[[#This Row],[Tech Start Date]]&lt;1/1/1990,"",IF(Main[[#This Row],[Class]]="C",WORKDAY(Main[[#This Row],[Tech Start Date]],23),IF(Main[[#This Row],[Class]]="B", WORKDAY(Main[[#This Row],[Tech Start Date]],15),IF(Main[[#This Row],[Class]]="A",WORKDAY(Main[[#This Row],[Tech Start Date]],5),""))))</f>
        <v/>
      </c>
      <c r="P981" s="77" t="str">
        <f>IF(Main[[#This Row],[Tech Start Date]]&lt;1/1/1990,"",IF(Main[[#This Row],[Class]]="C",WORKDAY(Main[[#This Row],[Tech Start Date]],28),IF(Main[[#This Row],[Class]]="B", WORKDAY(Main[[#This Row],[Tech Start Date]],19),IF(Main[[#This Row],[Class]]="A",WORKDAY(Main[[#This Row],[Tech Start Date]],9),""))))</f>
        <v/>
      </c>
      <c r="Q981" s="74">
        <v>40329</v>
      </c>
      <c r="R981" s="74"/>
      <c r="S981" s="72" t="s">
        <v>11</v>
      </c>
      <c r="T981" s="80" t="s">
        <v>4</v>
      </c>
      <c r="U981" s="72" t="s">
        <v>12</v>
      </c>
      <c r="V981" s="72" t="s">
        <v>1927</v>
      </c>
      <c r="W981" s="72" t="s">
        <v>1923</v>
      </c>
      <c r="X981" s="72" t="s">
        <v>2878</v>
      </c>
      <c r="Y981" s="72" t="s">
        <v>3002</v>
      </c>
      <c r="Z981" s="72" t="s">
        <v>4</v>
      </c>
      <c r="AA981" s="146" t="s">
        <v>2878</v>
      </c>
    </row>
    <row r="982" spans="1:27" ht="18.600000000000001" customHeight="1">
      <c r="A982" s="139" t="str">
        <f>IF(priority(Main[[#This Row],[Comments]])&lt;&gt;0, priority(Main[[#This Row],[Comments]]),"")</f>
        <v/>
      </c>
      <c r="B982" s="89" t="s">
        <v>1781</v>
      </c>
      <c r="C982" s="72" t="s">
        <v>4</v>
      </c>
      <c r="D982" s="73" t="s">
        <v>848</v>
      </c>
      <c r="E982" s="74"/>
      <c r="F982" s="74"/>
      <c r="G982" s="75" t="str">
        <f>IF(stdProdLT(Main[[#This Row],[Comments]])=0.1,"N/A",IF(stdProdLT(Main[[#This Row],[Comments]])=0,"",stdProdLT(Main[[#This Row],[Comments]])))</f>
        <v/>
      </c>
      <c r="H982" s="76" t="str">
        <f>IF(AND(Main[[#This Row],[In Stock Date]]&lt;&gt;"",Main[[#This Row],[Revised Due Date]]&lt;&gt;""),Main[[#This Row],[In Stock Date]]-Main[[#This Row],[Revised Due Date]],"")</f>
        <v/>
      </c>
      <c r="I982" s="72" t="s">
        <v>4</v>
      </c>
      <c r="J982" s="72" t="s">
        <v>4</v>
      </c>
      <c r="K982" s="72" t="s">
        <v>4</v>
      </c>
      <c r="L982" s="74"/>
      <c r="M982" s="77" t="str">
        <f>IF(Main[[#This Row],[Tech Start Date]]&lt;1/1/1990,"",IF(Main[[#This Row],[Class]]="C",WORKDAY(Main[[#This Row],[Tech Start Date]],9),IF(Main[[#This Row],[Class]]="B", WORKDAY(Main[[#This Row],[Tech Start Date]],6),IF(Main[[#This Row],[Class]]="A",WORKDAY(Main[[#This Row],[Tech Start Date]],2),""))))</f>
        <v/>
      </c>
      <c r="N982" s="77" t="str">
        <f>IF(Main[[#This Row],[Tech Start Date]]&lt;1/1/1990,"",IF(Main[[#This Row],[Class]]="C",WORKDAY(Main[[#This Row],[Tech Start Date]],19),IF(Main[[#This Row],[Class]]="B", WORKDAY(Main[[#This Row],[Tech Start Date]],12),IF(Main[[#This Row],[Class]]="A",WORKDAY(Main[[#This Row],[Tech Start Date]],4),""))))</f>
        <v/>
      </c>
      <c r="O982" s="77" t="str">
        <f>IF(Main[[#This Row],[Tech Start Date]]&lt;1/1/1990,"",IF(Main[[#This Row],[Class]]="C",WORKDAY(Main[[#This Row],[Tech Start Date]],23),IF(Main[[#This Row],[Class]]="B", WORKDAY(Main[[#This Row],[Tech Start Date]],15),IF(Main[[#This Row],[Class]]="A",WORKDAY(Main[[#This Row],[Tech Start Date]],5),""))))</f>
        <v/>
      </c>
      <c r="P982" s="77" t="str">
        <f>IF(Main[[#This Row],[Tech Start Date]]&lt;1/1/1990,"",IF(Main[[#This Row],[Class]]="C",WORKDAY(Main[[#This Row],[Tech Start Date]],28),IF(Main[[#This Row],[Class]]="B", WORKDAY(Main[[#This Row],[Tech Start Date]],19),IF(Main[[#This Row],[Class]]="A",WORKDAY(Main[[#This Row],[Tech Start Date]],9),""))))</f>
        <v/>
      </c>
      <c r="Q982" s="74"/>
      <c r="R982" s="74"/>
      <c r="S982" s="72" t="s">
        <v>49</v>
      </c>
      <c r="T982" s="80" t="s">
        <v>4</v>
      </c>
      <c r="U982" s="72" t="s">
        <v>14</v>
      </c>
      <c r="V982" s="72" t="s">
        <v>1920</v>
      </c>
      <c r="W982" s="72" t="s">
        <v>1921</v>
      </c>
      <c r="X982" s="72" t="s">
        <v>306</v>
      </c>
      <c r="Y982" s="72" t="s">
        <v>4</v>
      </c>
      <c r="Z982" s="72" t="s">
        <v>4</v>
      </c>
      <c r="AA982" s="146" t="s">
        <v>4</v>
      </c>
    </row>
    <row r="983" spans="1:27" ht="18.600000000000001" customHeight="1">
      <c r="A983" s="139" t="str">
        <f>IF(priority(Main[[#This Row],[Comments]])&lt;&gt;0, priority(Main[[#This Row],[Comments]]),"")</f>
        <v/>
      </c>
      <c r="B983" s="89" t="s">
        <v>1782</v>
      </c>
      <c r="C983" s="72" t="s">
        <v>4</v>
      </c>
      <c r="D983" s="73" t="s">
        <v>849</v>
      </c>
      <c r="E983" s="74"/>
      <c r="F983" s="74"/>
      <c r="G983" s="75" t="str">
        <f>IF(stdProdLT(Main[[#This Row],[Comments]])=0.1,"N/A",IF(stdProdLT(Main[[#This Row],[Comments]])=0,"",stdProdLT(Main[[#This Row],[Comments]])))</f>
        <v/>
      </c>
      <c r="H983" s="76" t="str">
        <f>IF(AND(Main[[#This Row],[In Stock Date]]&lt;&gt;"",Main[[#This Row],[Revised Due Date]]&lt;&gt;""),Main[[#This Row],[In Stock Date]]-Main[[#This Row],[Revised Due Date]],"")</f>
        <v/>
      </c>
      <c r="I983" s="72" t="s">
        <v>4</v>
      </c>
      <c r="J983" s="72" t="s">
        <v>4</v>
      </c>
      <c r="K983" s="72" t="s">
        <v>4</v>
      </c>
      <c r="L983" s="74"/>
      <c r="M983" s="77" t="str">
        <f>IF(Main[[#This Row],[Tech Start Date]]&lt;1/1/1990,"",IF(Main[[#This Row],[Class]]="C",WORKDAY(Main[[#This Row],[Tech Start Date]],9),IF(Main[[#This Row],[Class]]="B", WORKDAY(Main[[#This Row],[Tech Start Date]],6),IF(Main[[#This Row],[Class]]="A",WORKDAY(Main[[#This Row],[Tech Start Date]],2),""))))</f>
        <v/>
      </c>
      <c r="N983" s="77" t="str">
        <f>IF(Main[[#This Row],[Tech Start Date]]&lt;1/1/1990,"",IF(Main[[#This Row],[Class]]="C",WORKDAY(Main[[#This Row],[Tech Start Date]],19),IF(Main[[#This Row],[Class]]="B", WORKDAY(Main[[#This Row],[Tech Start Date]],12),IF(Main[[#This Row],[Class]]="A",WORKDAY(Main[[#This Row],[Tech Start Date]],4),""))))</f>
        <v/>
      </c>
      <c r="O983" s="77" t="str">
        <f>IF(Main[[#This Row],[Tech Start Date]]&lt;1/1/1990,"",IF(Main[[#This Row],[Class]]="C",WORKDAY(Main[[#This Row],[Tech Start Date]],23),IF(Main[[#This Row],[Class]]="B", WORKDAY(Main[[#This Row],[Tech Start Date]],15),IF(Main[[#This Row],[Class]]="A",WORKDAY(Main[[#This Row],[Tech Start Date]],5),""))))</f>
        <v/>
      </c>
      <c r="P983" s="77" t="str">
        <f>IF(Main[[#This Row],[Tech Start Date]]&lt;1/1/1990,"",IF(Main[[#This Row],[Class]]="C",WORKDAY(Main[[#This Row],[Tech Start Date]],28),IF(Main[[#This Row],[Class]]="B", WORKDAY(Main[[#This Row],[Tech Start Date]],19),IF(Main[[#This Row],[Class]]="A",WORKDAY(Main[[#This Row],[Tech Start Date]],9),""))))</f>
        <v/>
      </c>
      <c r="Q983" s="74"/>
      <c r="R983" s="74"/>
      <c r="S983" s="72" t="s">
        <v>23</v>
      </c>
      <c r="T983" s="80" t="s">
        <v>4</v>
      </c>
      <c r="U983" s="72" t="s">
        <v>14</v>
      </c>
      <c r="V983" s="72" t="s">
        <v>1920</v>
      </c>
      <c r="W983" s="72" t="s">
        <v>1921</v>
      </c>
      <c r="X983" s="72" t="s">
        <v>399</v>
      </c>
      <c r="Y983" s="72" t="s">
        <v>4</v>
      </c>
      <c r="Z983" s="72" t="s">
        <v>767</v>
      </c>
      <c r="AA983" s="146" t="s">
        <v>3402</v>
      </c>
    </row>
    <row r="984" spans="1:27" ht="18.600000000000001" customHeight="1">
      <c r="A984" s="139" t="str">
        <f>IF(priority(Main[[#This Row],[Comments]])&lt;&gt;0, priority(Main[[#This Row],[Comments]]),"")</f>
        <v/>
      </c>
      <c r="B984" s="89" t="s">
        <v>1789</v>
      </c>
      <c r="C984" s="72" t="s">
        <v>832</v>
      </c>
      <c r="D984" s="73" t="s">
        <v>833</v>
      </c>
      <c r="E984" s="74"/>
      <c r="F984" s="74"/>
      <c r="G984" s="75" t="str">
        <f>IF(stdProdLT(Main[[#This Row],[Comments]])=0.1,"N/A",IF(stdProdLT(Main[[#This Row],[Comments]])=0,"",stdProdLT(Main[[#This Row],[Comments]])))</f>
        <v/>
      </c>
      <c r="H984" s="76" t="str">
        <f>IF(AND(Main[[#This Row],[In Stock Date]]&lt;&gt;"",Main[[#This Row],[Revised Due Date]]&lt;&gt;""),Main[[#This Row],[In Stock Date]]-Main[[#This Row],[Revised Due Date]],"")</f>
        <v/>
      </c>
      <c r="I984" s="72" t="s">
        <v>4</v>
      </c>
      <c r="J984" s="72" t="s">
        <v>4</v>
      </c>
      <c r="K984" s="81" t="s">
        <v>4</v>
      </c>
      <c r="L984" s="74"/>
      <c r="M984" s="77" t="str">
        <f>IF(Main[[#This Row],[Tech Start Date]]&lt;1/1/1990,"",IF(Main[[#This Row],[Class]]="C",WORKDAY(Main[[#This Row],[Tech Start Date]],9),IF(Main[[#This Row],[Class]]="B", WORKDAY(Main[[#This Row],[Tech Start Date]],6),IF(Main[[#This Row],[Class]]="A",WORKDAY(Main[[#This Row],[Tech Start Date]],2),""))))</f>
        <v/>
      </c>
      <c r="N984" s="77" t="str">
        <f>IF(Main[[#This Row],[Tech Start Date]]&lt;1/1/1990,"",IF(Main[[#This Row],[Class]]="C",WORKDAY(Main[[#This Row],[Tech Start Date]],19),IF(Main[[#This Row],[Class]]="B", WORKDAY(Main[[#This Row],[Tech Start Date]],12),IF(Main[[#This Row],[Class]]="A",WORKDAY(Main[[#This Row],[Tech Start Date]],4),""))))</f>
        <v/>
      </c>
      <c r="O984" s="77" t="str">
        <f>IF(Main[[#This Row],[Tech Start Date]]&lt;1/1/1990,"",IF(Main[[#This Row],[Class]]="C",WORKDAY(Main[[#This Row],[Tech Start Date]],23),IF(Main[[#This Row],[Class]]="B", WORKDAY(Main[[#This Row],[Tech Start Date]],15),IF(Main[[#This Row],[Class]]="A",WORKDAY(Main[[#This Row],[Tech Start Date]],5),""))))</f>
        <v/>
      </c>
      <c r="P984" s="77" t="str">
        <f>IF(Main[[#This Row],[Tech Start Date]]&lt;1/1/1990,"",IF(Main[[#This Row],[Class]]="C",WORKDAY(Main[[#This Row],[Tech Start Date]],28),IF(Main[[#This Row],[Class]]="B", WORKDAY(Main[[#This Row],[Tech Start Date]],19),IF(Main[[#This Row],[Class]]="A",WORKDAY(Main[[#This Row],[Tech Start Date]],9),""))))</f>
        <v/>
      </c>
      <c r="Q984" s="74"/>
      <c r="R984" s="74"/>
      <c r="S984" s="72" t="s">
        <v>11</v>
      </c>
      <c r="T984" s="80" t="s">
        <v>4</v>
      </c>
      <c r="U984" s="72" t="s">
        <v>14</v>
      </c>
      <c r="V984" s="72" t="s">
        <v>1918</v>
      </c>
      <c r="W984" s="72" t="s">
        <v>1925</v>
      </c>
      <c r="X984" s="72" t="s">
        <v>2853</v>
      </c>
      <c r="Y984" s="72" t="s">
        <v>2984</v>
      </c>
      <c r="Z984" s="72" t="s">
        <v>4</v>
      </c>
      <c r="AA984" s="146" t="s">
        <v>2853</v>
      </c>
    </row>
    <row r="985" spans="1:27" ht="18.600000000000001" customHeight="1">
      <c r="A985" s="140" t="str">
        <f>IF(priority(Main[[#This Row],[Comments]])&lt;&gt;0, priority(Main[[#This Row],[Comments]]),"")</f>
        <v/>
      </c>
      <c r="B985" s="89" t="s">
        <v>1790</v>
      </c>
      <c r="C985" s="82" t="s">
        <v>93</v>
      </c>
      <c r="D985" s="83" t="s">
        <v>834</v>
      </c>
      <c r="E985" s="84"/>
      <c r="F985" s="84">
        <v>40299</v>
      </c>
      <c r="G985" s="82" t="str">
        <f>IF(stdProdLT(Main[[#This Row],[Comments]])=0.1,"N/A",IF(stdProdLT(Main[[#This Row],[Comments]])=0,"",stdProdLT(Main[[#This Row],[Comments]])))</f>
        <v/>
      </c>
      <c r="H985" s="85" t="str">
        <f>IF(AND(Main[[#This Row],[In Stock Date]]&lt;&gt;"",Main[[#This Row],[Revised Due Date]]&lt;&gt;""),Main[[#This Row],[In Stock Date]]-Main[[#This Row],[Revised Due Date]],"")</f>
        <v/>
      </c>
      <c r="I985" s="82" t="s">
        <v>4</v>
      </c>
      <c r="J985" s="82" t="s">
        <v>4</v>
      </c>
      <c r="K985" s="82" t="s">
        <v>4</v>
      </c>
      <c r="L985" s="84"/>
      <c r="M985" s="86" t="str">
        <f>IF(Main[[#This Row],[Tech Start Date]]&lt;1/1/1990,"",IF(Main[[#This Row],[Class]]="C",WORKDAY(Main[[#This Row],[Tech Start Date]],9),IF(Main[[#This Row],[Class]]="B", WORKDAY(Main[[#This Row],[Tech Start Date]],6),IF(Main[[#This Row],[Class]]="A",WORKDAY(Main[[#This Row],[Tech Start Date]],2),""))))</f>
        <v/>
      </c>
      <c r="N985" s="86" t="str">
        <f>IF(Main[[#This Row],[Tech Start Date]]&lt;1/1/1990,"",IF(Main[[#This Row],[Class]]="C",WORKDAY(Main[[#This Row],[Tech Start Date]],19),IF(Main[[#This Row],[Class]]="B", WORKDAY(Main[[#This Row],[Tech Start Date]],12),IF(Main[[#This Row],[Class]]="A",WORKDAY(Main[[#This Row],[Tech Start Date]],4),""))))</f>
        <v/>
      </c>
      <c r="O985" s="86" t="str">
        <f>IF(Main[[#This Row],[Tech Start Date]]&lt;1/1/1990,"",IF(Main[[#This Row],[Class]]="C",WORKDAY(Main[[#This Row],[Tech Start Date]],23),IF(Main[[#This Row],[Class]]="B", WORKDAY(Main[[#This Row],[Tech Start Date]],15),IF(Main[[#This Row],[Class]]="A",WORKDAY(Main[[#This Row],[Tech Start Date]],5),""))))</f>
        <v/>
      </c>
      <c r="P985" s="86" t="str">
        <f>IF(Main[[#This Row],[Tech Start Date]]&lt;1/1/1990,"",IF(Main[[#This Row],[Class]]="C",WORKDAY(Main[[#This Row],[Tech Start Date]],28),IF(Main[[#This Row],[Class]]="B", WORKDAY(Main[[#This Row],[Tech Start Date]],19),IF(Main[[#This Row],[Class]]="A",WORKDAY(Main[[#This Row],[Tech Start Date]],9),""))))</f>
        <v/>
      </c>
      <c r="Q985" s="84">
        <v>40171</v>
      </c>
      <c r="R985" s="84"/>
      <c r="S985" s="82" t="s">
        <v>11</v>
      </c>
      <c r="T985" s="87" t="s">
        <v>4</v>
      </c>
      <c r="U985" s="82" t="s">
        <v>14</v>
      </c>
      <c r="V985" s="82" t="s">
        <v>1920</v>
      </c>
      <c r="W985" s="82" t="s">
        <v>1923</v>
      </c>
      <c r="X985" s="82" t="s">
        <v>530</v>
      </c>
      <c r="Y985" s="82" t="s">
        <v>3059</v>
      </c>
      <c r="Z985" s="82" t="s">
        <v>4</v>
      </c>
      <c r="AA985" s="146" t="s">
        <v>3428</v>
      </c>
    </row>
    <row r="986" spans="1:27" ht="18.600000000000001" customHeight="1">
      <c r="A986" s="140" t="str">
        <f>IF(priority(Main[[#This Row],[Comments]])&lt;&gt;0, priority(Main[[#This Row],[Comments]]),"")</f>
        <v/>
      </c>
      <c r="B986" s="89" t="s">
        <v>1791</v>
      </c>
      <c r="C986" s="82" t="s">
        <v>4</v>
      </c>
      <c r="D986" s="83" t="s">
        <v>835</v>
      </c>
      <c r="E986" s="84">
        <v>40682.311319444445</v>
      </c>
      <c r="F986" s="84"/>
      <c r="G986" s="82" t="str">
        <f>IF(stdProdLT(Main[[#This Row],[Comments]])=0.1,"N/A",IF(stdProdLT(Main[[#This Row],[Comments]])=0,"",stdProdLT(Main[[#This Row],[Comments]])))</f>
        <v/>
      </c>
      <c r="H986" s="85" t="str">
        <f>IF(AND(Main[[#This Row],[In Stock Date]]&lt;&gt;"",Main[[#This Row],[Revised Due Date]]&lt;&gt;""),Main[[#This Row],[In Stock Date]]-Main[[#This Row],[Revised Due Date]],"")</f>
        <v/>
      </c>
      <c r="I986" s="82" t="s">
        <v>4</v>
      </c>
      <c r="J986" s="82" t="s">
        <v>4</v>
      </c>
      <c r="K986" s="82" t="s">
        <v>4</v>
      </c>
      <c r="L986" s="84"/>
      <c r="M986" s="86" t="str">
        <f>IF(Main[[#This Row],[Tech Start Date]]&lt;1/1/1990,"",IF(Main[[#This Row],[Class]]="C",WORKDAY(Main[[#This Row],[Tech Start Date]],9),IF(Main[[#This Row],[Class]]="B", WORKDAY(Main[[#This Row],[Tech Start Date]],6),IF(Main[[#This Row],[Class]]="A",WORKDAY(Main[[#This Row],[Tech Start Date]],2),""))))</f>
        <v/>
      </c>
      <c r="N986" s="86" t="str">
        <f>IF(Main[[#This Row],[Tech Start Date]]&lt;1/1/1990,"",IF(Main[[#This Row],[Class]]="C",WORKDAY(Main[[#This Row],[Tech Start Date]],19),IF(Main[[#This Row],[Class]]="B", WORKDAY(Main[[#This Row],[Tech Start Date]],12),IF(Main[[#This Row],[Class]]="A",WORKDAY(Main[[#This Row],[Tech Start Date]],4),""))))</f>
        <v/>
      </c>
      <c r="O986" s="86" t="str">
        <f>IF(Main[[#This Row],[Tech Start Date]]&lt;1/1/1990,"",IF(Main[[#This Row],[Class]]="C",WORKDAY(Main[[#This Row],[Tech Start Date]],23),IF(Main[[#This Row],[Class]]="B", WORKDAY(Main[[#This Row],[Tech Start Date]],15),IF(Main[[#This Row],[Class]]="A",WORKDAY(Main[[#This Row],[Tech Start Date]],5),""))))</f>
        <v/>
      </c>
      <c r="P986" s="86" t="str">
        <f>IF(Main[[#This Row],[Tech Start Date]]&lt;1/1/1990,"",IF(Main[[#This Row],[Class]]="C",WORKDAY(Main[[#This Row],[Tech Start Date]],28),IF(Main[[#This Row],[Class]]="B", WORKDAY(Main[[#This Row],[Tech Start Date]],19),IF(Main[[#This Row],[Class]]="A",WORKDAY(Main[[#This Row],[Tech Start Date]],9),""))))</f>
        <v/>
      </c>
      <c r="Q986" s="84">
        <v>40724</v>
      </c>
      <c r="R986" s="84"/>
      <c r="S986" s="82" t="s">
        <v>6</v>
      </c>
      <c r="T986" s="87" t="s">
        <v>4</v>
      </c>
      <c r="U986" s="82" t="s">
        <v>7</v>
      </c>
      <c r="V986" s="82" t="s">
        <v>1917</v>
      </c>
      <c r="W986" s="82" t="s">
        <v>4</v>
      </c>
      <c r="X986" s="82" t="s">
        <v>2828</v>
      </c>
      <c r="Y986" s="82" t="s">
        <v>2944</v>
      </c>
      <c r="Z986" s="82" t="s">
        <v>4</v>
      </c>
      <c r="AA986" s="146" t="s">
        <v>2828</v>
      </c>
    </row>
    <row r="987" spans="1:27" ht="18.600000000000001" customHeight="1">
      <c r="A987" s="140" t="str">
        <f>IF(priority(Main[[#This Row],[Comments]])&lt;&gt;0, priority(Main[[#This Row],[Comments]]),"")</f>
        <v/>
      </c>
      <c r="B987" s="89" t="s">
        <v>1792</v>
      </c>
      <c r="C987" s="82" t="s">
        <v>4</v>
      </c>
      <c r="D987" s="83" t="s">
        <v>836</v>
      </c>
      <c r="E987" s="84"/>
      <c r="F987" s="84"/>
      <c r="G987" s="82" t="str">
        <f>IF(stdProdLT(Main[[#This Row],[Comments]])=0.1,"N/A",IF(stdProdLT(Main[[#This Row],[Comments]])=0,"",stdProdLT(Main[[#This Row],[Comments]])))</f>
        <v/>
      </c>
      <c r="H987" s="85" t="str">
        <f>IF(AND(Main[[#This Row],[In Stock Date]]&lt;&gt;"",Main[[#This Row],[Revised Due Date]]&lt;&gt;""),Main[[#This Row],[In Stock Date]]-Main[[#This Row],[Revised Due Date]],"")</f>
        <v/>
      </c>
      <c r="I987" s="82" t="s">
        <v>4</v>
      </c>
      <c r="J987" s="82" t="s">
        <v>4</v>
      </c>
      <c r="K987" s="82" t="s">
        <v>4</v>
      </c>
      <c r="L987" s="84"/>
      <c r="M987" s="86" t="str">
        <f>IF(Main[[#This Row],[Tech Start Date]]&lt;1/1/1990,"",IF(Main[[#This Row],[Class]]="C",WORKDAY(Main[[#This Row],[Tech Start Date]],9),IF(Main[[#This Row],[Class]]="B", WORKDAY(Main[[#This Row],[Tech Start Date]],6),IF(Main[[#This Row],[Class]]="A",WORKDAY(Main[[#This Row],[Tech Start Date]],2),""))))</f>
        <v/>
      </c>
      <c r="N987" s="86" t="str">
        <f>IF(Main[[#This Row],[Tech Start Date]]&lt;1/1/1990,"",IF(Main[[#This Row],[Class]]="C",WORKDAY(Main[[#This Row],[Tech Start Date]],19),IF(Main[[#This Row],[Class]]="B", WORKDAY(Main[[#This Row],[Tech Start Date]],12),IF(Main[[#This Row],[Class]]="A",WORKDAY(Main[[#This Row],[Tech Start Date]],4),""))))</f>
        <v/>
      </c>
      <c r="O987" s="86" t="str">
        <f>IF(Main[[#This Row],[Tech Start Date]]&lt;1/1/1990,"",IF(Main[[#This Row],[Class]]="C",WORKDAY(Main[[#This Row],[Tech Start Date]],23),IF(Main[[#This Row],[Class]]="B", WORKDAY(Main[[#This Row],[Tech Start Date]],15),IF(Main[[#This Row],[Class]]="A",WORKDAY(Main[[#This Row],[Tech Start Date]],5),""))))</f>
        <v/>
      </c>
      <c r="P987" s="86" t="str">
        <f>IF(Main[[#This Row],[Tech Start Date]]&lt;1/1/1990,"",IF(Main[[#This Row],[Class]]="C",WORKDAY(Main[[#This Row],[Tech Start Date]],28),IF(Main[[#This Row],[Class]]="B", WORKDAY(Main[[#This Row],[Tech Start Date]],19),IF(Main[[#This Row],[Class]]="A",WORKDAY(Main[[#This Row],[Tech Start Date]],9),""))))</f>
        <v/>
      </c>
      <c r="Q987" s="84"/>
      <c r="R987" s="84"/>
      <c r="S987" s="82" t="s">
        <v>6</v>
      </c>
      <c r="T987" s="87" t="s">
        <v>4</v>
      </c>
      <c r="U987" s="82" t="s">
        <v>14</v>
      </c>
      <c r="V987" s="82" t="s">
        <v>1920</v>
      </c>
      <c r="W987" s="82" t="s">
        <v>1921</v>
      </c>
      <c r="X987" s="82" t="s">
        <v>50</v>
      </c>
      <c r="Y987" s="82" t="s">
        <v>4</v>
      </c>
      <c r="Z987" s="82" t="s">
        <v>4</v>
      </c>
      <c r="AA987" s="146" t="s">
        <v>4</v>
      </c>
    </row>
    <row r="988" spans="1:27" ht="18.600000000000001" customHeight="1">
      <c r="A988" s="140" t="str">
        <f>IF(priority(Main[[#This Row],[Comments]])&lt;&gt;0, priority(Main[[#This Row],[Comments]]),"")</f>
        <v/>
      </c>
      <c r="B988" s="89" t="s">
        <v>1793</v>
      </c>
      <c r="C988" s="82" t="s">
        <v>4</v>
      </c>
      <c r="D988" s="83" t="s">
        <v>837</v>
      </c>
      <c r="E988" s="84">
        <v>40686.396180555559</v>
      </c>
      <c r="F988" s="84"/>
      <c r="G988" s="82" t="str">
        <f>IF(stdProdLT(Main[[#This Row],[Comments]])=0.1,"N/A",IF(stdProdLT(Main[[#This Row],[Comments]])=0,"",stdProdLT(Main[[#This Row],[Comments]])))</f>
        <v/>
      </c>
      <c r="H988" s="85" t="str">
        <f>IF(AND(Main[[#This Row],[In Stock Date]]&lt;&gt;"",Main[[#This Row],[Revised Due Date]]&lt;&gt;""),Main[[#This Row],[In Stock Date]]-Main[[#This Row],[Revised Due Date]],"")</f>
        <v/>
      </c>
      <c r="I988" s="82" t="s">
        <v>4</v>
      </c>
      <c r="J988" s="82" t="s">
        <v>4</v>
      </c>
      <c r="K988" s="82" t="s">
        <v>4</v>
      </c>
      <c r="L988" s="84"/>
      <c r="M988" s="86" t="str">
        <f>IF(Main[[#This Row],[Tech Start Date]]&lt;1/1/1990,"",IF(Main[[#This Row],[Class]]="C",WORKDAY(Main[[#This Row],[Tech Start Date]],9),IF(Main[[#This Row],[Class]]="B", WORKDAY(Main[[#This Row],[Tech Start Date]],6),IF(Main[[#This Row],[Class]]="A",WORKDAY(Main[[#This Row],[Tech Start Date]],2),""))))</f>
        <v/>
      </c>
      <c r="N988" s="86" t="str">
        <f>IF(Main[[#This Row],[Tech Start Date]]&lt;1/1/1990,"",IF(Main[[#This Row],[Class]]="C",WORKDAY(Main[[#This Row],[Tech Start Date]],19),IF(Main[[#This Row],[Class]]="B", WORKDAY(Main[[#This Row],[Tech Start Date]],12),IF(Main[[#This Row],[Class]]="A",WORKDAY(Main[[#This Row],[Tech Start Date]],4),""))))</f>
        <v/>
      </c>
      <c r="O988" s="86" t="str">
        <f>IF(Main[[#This Row],[Tech Start Date]]&lt;1/1/1990,"",IF(Main[[#This Row],[Class]]="C",WORKDAY(Main[[#This Row],[Tech Start Date]],23),IF(Main[[#This Row],[Class]]="B", WORKDAY(Main[[#This Row],[Tech Start Date]],15),IF(Main[[#This Row],[Class]]="A",WORKDAY(Main[[#This Row],[Tech Start Date]],5),""))))</f>
        <v/>
      </c>
      <c r="P988" s="86" t="str">
        <f>IF(Main[[#This Row],[Tech Start Date]]&lt;1/1/1990,"",IF(Main[[#This Row],[Class]]="C",WORKDAY(Main[[#This Row],[Tech Start Date]],28),IF(Main[[#This Row],[Class]]="B", WORKDAY(Main[[#This Row],[Tech Start Date]],19),IF(Main[[#This Row],[Class]]="A",WORKDAY(Main[[#This Row],[Tech Start Date]],9),""))))</f>
        <v/>
      </c>
      <c r="Q988" s="84">
        <v>40704</v>
      </c>
      <c r="R988" s="84"/>
      <c r="S988" s="82" t="s">
        <v>6</v>
      </c>
      <c r="T988" s="87" t="s">
        <v>4</v>
      </c>
      <c r="U988" s="82" t="s">
        <v>7</v>
      </c>
      <c r="V988" s="82" t="s">
        <v>1917</v>
      </c>
      <c r="W988" s="82" t="s">
        <v>1921</v>
      </c>
      <c r="X988" s="82" t="s">
        <v>2872</v>
      </c>
      <c r="Y988" s="82" t="s">
        <v>3006</v>
      </c>
      <c r="Z988" s="82" t="s">
        <v>4</v>
      </c>
      <c r="AA988" s="146" t="s">
        <v>2872</v>
      </c>
    </row>
    <row r="989" spans="1:27" ht="18.600000000000001" customHeight="1">
      <c r="A989" s="140" t="str">
        <f>IF(priority(Main[[#This Row],[Comments]])&lt;&gt;0, priority(Main[[#This Row],[Comments]]),"")</f>
        <v/>
      </c>
      <c r="B989" s="89" t="s">
        <v>1154</v>
      </c>
      <c r="C989" s="92" t="s">
        <v>4</v>
      </c>
      <c r="D989" s="83" t="s">
        <v>97</v>
      </c>
      <c r="E989" s="93">
        <v>40667.587465277778</v>
      </c>
      <c r="F989" s="93"/>
      <c r="G989" s="92" t="str">
        <f>IF(stdProdLT(Main[[#This Row],[Comments]])=0.1,"N/A",IF(stdProdLT(Main[[#This Row],[Comments]])=0,"",stdProdLT(Main[[#This Row],[Comments]])))</f>
        <v/>
      </c>
      <c r="H989" s="94" t="str">
        <f>IF(AND(Main[[#This Row],[In Stock Date]]&lt;&gt;"",Main[[#This Row],[Revised Due Date]]&lt;&gt;""),Main[[#This Row],[In Stock Date]]-Main[[#This Row],[Revised Due Date]],"")</f>
        <v/>
      </c>
      <c r="I989" s="92" t="s">
        <v>4</v>
      </c>
      <c r="J989" s="92" t="s">
        <v>4</v>
      </c>
      <c r="K989" s="92" t="s">
        <v>4</v>
      </c>
      <c r="L989" s="93"/>
      <c r="M989" s="95" t="str">
        <f>IF(Main[[#This Row],[Tech Start Date]]&lt;1/1/1990,"",IF(Main[[#This Row],[Class]]="C",WORKDAY(Main[[#This Row],[Tech Start Date]],9),IF(Main[[#This Row],[Class]]="B", WORKDAY(Main[[#This Row],[Tech Start Date]],6),IF(Main[[#This Row],[Class]]="A",WORKDAY(Main[[#This Row],[Tech Start Date]],2),""))))</f>
        <v/>
      </c>
      <c r="N989" s="95" t="str">
        <f>IF(Main[[#This Row],[Tech Start Date]]&lt;1/1/1990,"",IF(Main[[#This Row],[Class]]="C",WORKDAY(Main[[#This Row],[Tech Start Date]],19),IF(Main[[#This Row],[Class]]="B", WORKDAY(Main[[#This Row],[Tech Start Date]],12),IF(Main[[#This Row],[Class]]="A",WORKDAY(Main[[#This Row],[Tech Start Date]],4),""))))</f>
        <v/>
      </c>
      <c r="O989" s="95" t="str">
        <f>IF(Main[[#This Row],[Tech Start Date]]&lt;1/1/1990,"",IF(Main[[#This Row],[Class]]="C",WORKDAY(Main[[#This Row],[Tech Start Date]],23),IF(Main[[#This Row],[Class]]="B", WORKDAY(Main[[#This Row],[Tech Start Date]],15),IF(Main[[#This Row],[Class]]="A",WORKDAY(Main[[#This Row],[Tech Start Date]],5),""))))</f>
        <v/>
      </c>
      <c r="P989" s="95" t="str">
        <f>IF(Main[[#This Row],[Tech Start Date]]&lt;1/1/1990,"",IF(Main[[#This Row],[Class]]="C",WORKDAY(Main[[#This Row],[Tech Start Date]],28),IF(Main[[#This Row],[Class]]="B", WORKDAY(Main[[#This Row],[Tech Start Date]],19),IF(Main[[#This Row],[Class]]="A",WORKDAY(Main[[#This Row],[Tech Start Date]],9),""))))</f>
        <v/>
      </c>
      <c r="Q989" s="93">
        <v>40858</v>
      </c>
      <c r="R989" s="93"/>
      <c r="S989" s="92" t="s">
        <v>17</v>
      </c>
      <c r="T989" s="96" t="s">
        <v>4</v>
      </c>
      <c r="U989" s="92" t="s">
        <v>7</v>
      </c>
      <c r="V989" s="92" t="s">
        <v>1917</v>
      </c>
      <c r="W989" s="92" t="s">
        <v>1922</v>
      </c>
      <c r="X989" s="82" t="s">
        <v>50</v>
      </c>
      <c r="Y989" s="82" t="s">
        <v>2965</v>
      </c>
      <c r="Z989" s="82" t="s">
        <v>4</v>
      </c>
      <c r="AA989" s="146" t="s">
        <v>2834</v>
      </c>
    </row>
    <row r="990" spans="1:27" ht="18.600000000000001" customHeight="1">
      <c r="A990" s="139" t="str">
        <f>IF(priority(Main[[#This Row],[Comments]])&lt;&gt;0, priority(Main[[#This Row],[Comments]]),"")</f>
        <v/>
      </c>
      <c r="B990" s="89" t="s">
        <v>1794</v>
      </c>
      <c r="C990" s="72" t="s">
        <v>4</v>
      </c>
      <c r="D990" s="73" t="s">
        <v>97</v>
      </c>
      <c r="E990" s="74"/>
      <c r="F990" s="74"/>
      <c r="G990" s="75" t="str">
        <f>IF(stdProdLT(Main[[#This Row],[Comments]])=0.1,"N/A",IF(stdProdLT(Main[[#This Row],[Comments]])=0,"",stdProdLT(Main[[#This Row],[Comments]])))</f>
        <v/>
      </c>
      <c r="H990" s="76" t="str">
        <f>IF(AND(Main[[#This Row],[In Stock Date]]&lt;&gt;"",Main[[#This Row],[Revised Due Date]]&lt;&gt;""),Main[[#This Row],[In Stock Date]]-Main[[#This Row],[Revised Due Date]],"")</f>
        <v/>
      </c>
      <c r="I990" s="72" t="s">
        <v>4</v>
      </c>
      <c r="J990" s="72" t="s">
        <v>4</v>
      </c>
      <c r="K990" s="72" t="s">
        <v>4</v>
      </c>
      <c r="L990" s="74"/>
      <c r="M990" s="77" t="str">
        <f>IF(Main[[#This Row],[Tech Start Date]]&lt;1/1/1990,"",IF(Main[[#This Row],[Class]]="C",WORKDAY(Main[[#This Row],[Tech Start Date]],9),IF(Main[[#This Row],[Class]]="B", WORKDAY(Main[[#This Row],[Tech Start Date]],6),IF(Main[[#This Row],[Class]]="A",WORKDAY(Main[[#This Row],[Tech Start Date]],2),""))))</f>
        <v/>
      </c>
      <c r="N990" s="77" t="str">
        <f>IF(Main[[#This Row],[Tech Start Date]]&lt;1/1/1990,"",IF(Main[[#This Row],[Class]]="C",WORKDAY(Main[[#This Row],[Tech Start Date]],19),IF(Main[[#This Row],[Class]]="B", WORKDAY(Main[[#This Row],[Tech Start Date]],12),IF(Main[[#This Row],[Class]]="A",WORKDAY(Main[[#This Row],[Tech Start Date]],4),""))))</f>
        <v/>
      </c>
      <c r="O990" s="77" t="str">
        <f>IF(Main[[#This Row],[Tech Start Date]]&lt;1/1/1990,"",IF(Main[[#This Row],[Class]]="C",WORKDAY(Main[[#This Row],[Tech Start Date]],23),IF(Main[[#This Row],[Class]]="B", WORKDAY(Main[[#This Row],[Tech Start Date]],15),IF(Main[[#This Row],[Class]]="A",WORKDAY(Main[[#This Row],[Tech Start Date]],5),""))))</f>
        <v/>
      </c>
      <c r="P990" s="77" t="str">
        <f>IF(Main[[#This Row],[Tech Start Date]]&lt;1/1/1990,"",IF(Main[[#This Row],[Class]]="C",WORKDAY(Main[[#This Row],[Tech Start Date]],28),IF(Main[[#This Row],[Class]]="B", WORKDAY(Main[[#This Row],[Tech Start Date]],19),IF(Main[[#This Row],[Class]]="A",WORKDAY(Main[[#This Row],[Tech Start Date]],9),""))))</f>
        <v/>
      </c>
      <c r="Q990" s="74">
        <v>40858</v>
      </c>
      <c r="R990" s="74"/>
      <c r="S990" s="72" t="s">
        <v>17</v>
      </c>
      <c r="T990" s="80" t="s">
        <v>4</v>
      </c>
      <c r="U990" s="72" t="s">
        <v>14</v>
      </c>
      <c r="V990" s="72" t="s">
        <v>1917</v>
      </c>
      <c r="W990" s="72" t="s">
        <v>1922</v>
      </c>
      <c r="X990" s="72" t="s">
        <v>50</v>
      </c>
      <c r="Y990" s="72" t="s">
        <v>2965</v>
      </c>
      <c r="Z990" s="72" t="s">
        <v>4</v>
      </c>
      <c r="AA990" s="146" t="s">
        <v>2834</v>
      </c>
    </row>
    <row r="991" spans="1:27" ht="18.600000000000001" customHeight="1">
      <c r="A991" s="139" t="str">
        <f>IF(priority(Main[[#This Row],[Comments]])&lt;&gt;0, priority(Main[[#This Row],[Comments]]),"")</f>
        <v/>
      </c>
      <c r="B991" s="89" t="s">
        <v>1795</v>
      </c>
      <c r="C991" s="72" t="s">
        <v>4</v>
      </c>
      <c r="D991" s="73" t="s">
        <v>838</v>
      </c>
      <c r="E991" s="74"/>
      <c r="F991" s="74">
        <v>40574</v>
      </c>
      <c r="G991" s="75" t="str">
        <f>IF(stdProdLT(Main[[#This Row],[Comments]])=0.1,"N/A",IF(stdProdLT(Main[[#This Row],[Comments]])=0,"",stdProdLT(Main[[#This Row],[Comments]])))</f>
        <v/>
      </c>
      <c r="H991" s="76" t="str">
        <f>IF(AND(Main[[#This Row],[In Stock Date]]&lt;&gt;"",Main[[#This Row],[Revised Due Date]]&lt;&gt;""),Main[[#This Row],[In Stock Date]]-Main[[#This Row],[Revised Due Date]],"")</f>
        <v/>
      </c>
      <c r="I991" s="72" t="s">
        <v>4</v>
      </c>
      <c r="J991" s="72" t="s">
        <v>4</v>
      </c>
      <c r="K991" s="72" t="s">
        <v>4</v>
      </c>
      <c r="L991" s="74"/>
      <c r="M991" s="77" t="str">
        <f>IF(Main[[#This Row],[Tech Start Date]]&lt;1/1/1990,"",IF(Main[[#This Row],[Class]]="C",WORKDAY(Main[[#This Row],[Tech Start Date]],9),IF(Main[[#This Row],[Class]]="B", WORKDAY(Main[[#This Row],[Tech Start Date]],6),IF(Main[[#This Row],[Class]]="A",WORKDAY(Main[[#This Row],[Tech Start Date]],2),""))))</f>
        <v/>
      </c>
      <c r="N991" s="77" t="str">
        <f>IF(Main[[#This Row],[Tech Start Date]]&lt;1/1/1990,"",IF(Main[[#This Row],[Class]]="C",WORKDAY(Main[[#This Row],[Tech Start Date]],19),IF(Main[[#This Row],[Class]]="B", WORKDAY(Main[[#This Row],[Tech Start Date]],12),IF(Main[[#This Row],[Class]]="A",WORKDAY(Main[[#This Row],[Tech Start Date]],4),""))))</f>
        <v/>
      </c>
      <c r="O991" s="77" t="str">
        <f>IF(Main[[#This Row],[Tech Start Date]]&lt;1/1/1990,"",IF(Main[[#This Row],[Class]]="C",WORKDAY(Main[[#This Row],[Tech Start Date]],23),IF(Main[[#This Row],[Class]]="B", WORKDAY(Main[[#This Row],[Tech Start Date]],15),IF(Main[[#This Row],[Class]]="A",WORKDAY(Main[[#This Row],[Tech Start Date]],5),""))))</f>
        <v/>
      </c>
      <c r="P991" s="77" t="str">
        <f>IF(Main[[#This Row],[Tech Start Date]]&lt;1/1/1990,"",IF(Main[[#This Row],[Class]]="C",WORKDAY(Main[[#This Row],[Tech Start Date]],28),IF(Main[[#This Row],[Class]]="B", WORKDAY(Main[[#This Row],[Tech Start Date]],19),IF(Main[[#This Row],[Class]]="A",WORKDAY(Main[[#This Row],[Tech Start Date]],9),""))))</f>
        <v/>
      </c>
      <c r="Q991" s="74"/>
      <c r="R991" s="74"/>
      <c r="S991" s="72" t="s">
        <v>17</v>
      </c>
      <c r="T991" s="80" t="s">
        <v>4</v>
      </c>
      <c r="U991" s="72" t="s">
        <v>14</v>
      </c>
      <c r="V991" s="72" t="s">
        <v>1920</v>
      </c>
      <c r="W991" s="72" t="s">
        <v>1922</v>
      </c>
      <c r="X991" s="72" t="s">
        <v>50</v>
      </c>
      <c r="Y991" s="72" t="s">
        <v>2991</v>
      </c>
      <c r="Z991" s="72" t="s">
        <v>4</v>
      </c>
      <c r="AA991" s="146" t="s">
        <v>65</v>
      </c>
    </row>
    <row r="992" spans="1:27" ht="18.600000000000001" customHeight="1">
      <c r="A992" s="139" t="str">
        <f>IF(priority(Main[[#This Row],[Comments]])&lt;&gt;0, priority(Main[[#This Row],[Comments]]),"")</f>
        <v/>
      </c>
      <c r="B992" s="89" t="s">
        <v>1796</v>
      </c>
      <c r="C992" s="72" t="s">
        <v>93</v>
      </c>
      <c r="D992" s="73" t="s">
        <v>839</v>
      </c>
      <c r="E992" s="74"/>
      <c r="F992" s="74">
        <v>40132</v>
      </c>
      <c r="G992" s="75" t="str">
        <f>IF(stdProdLT(Main[[#This Row],[Comments]])=0.1,"N/A",IF(stdProdLT(Main[[#This Row],[Comments]])=0,"",stdProdLT(Main[[#This Row],[Comments]])))</f>
        <v/>
      </c>
      <c r="H992" s="76" t="str">
        <f>IF(AND(Main[[#This Row],[In Stock Date]]&lt;&gt;"",Main[[#This Row],[Revised Due Date]]&lt;&gt;""),Main[[#This Row],[In Stock Date]]-Main[[#This Row],[Revised Due Date]],"")</f>
        <v/>
      </c>
      <c r="I992" s="72" t="s">
        <v>4</v>
      </c>
      <c r="J992" s="72" t="s">
        <v>4</v>
      </c>
      <c r="K992" s="72" t="s">
        <v>4</v>
      </c>
      <c r="L992" s="74"/>
      <c r="M992" s="77" t="str">
        <f>IF(Main[[#This Row],[Tech Start Date]]&lt;1/1/1990,"",IF(Main[[#This Row],[Class]]="C",WORKDAY(Main[[#This Row],[Tech Start Date]],9),IF(Main[[#This Row],[Class]]="B", WORKDAY(Main[[#This Row],[Tech Start Date]],6),IF(Main[[#This Row],[Class]]="A",WORKDAY(Main[[#This Row],[Tech Start Date]],2),""))))</f>
        <v/>
      </c>
      <c r="N992" s="77" t="str">
        <f>IF(Main[[#This Row],[Tech Start Date]]&lt;1/1/1990,"",IF(Main[[#This Row],[Class]]="C",WORKDAY(Main[[#This Row],[Tech Start Date]],19),IF(Main[[#This Row],[Class]]="B", WORKDAY(Main[[#This Row],[Tech Start Date]],12),IF(Main[[#This Row],[Class]]="A",WORKDAY(Main[[#This Row],[Tech Start Date]],4),""))))</f>
        <v/>
      </c>
      <c r="O992" s="77" t="str">
        <f>IF(Main[[#This Row],[Tech Start Date]]&lt;1/1/1990,"",IF(Main[[#This Row],[Class]]="C",WORKDAY(Main[[#This Row],[Tech Start Date]],23),IF(Main[[#This Row],[Class]]="B", WORKDAY(Main[[#This Row],[Tech Start Date]],15),IF(Main[[#This Row],[Class]]="A",WORKDAY(Main[[#This Row],[Tech Start Date]],5),""))))</f>
        <v/>
      </c>
      <c r="P992" s="77" t="str">
        <f>IF(Main[[#This Row],[Tech Start Date]]&lt;1/1/1990,"",IF(Main[[#This Row],[Class]]="C",WORKDAY(Main[[#This Row],[Tech Start Date]],28),IF(Main[[#This Row],[Class]]="B", WORKDAY(Main[[#This Row],[Tech Start Date]],19),IF(Main[[#This Row],[Class]]="A",WORKDAY(Main[[#This Row],[Tech Start Date]],9),""))))</f>
        <v/>
      </c>
      <c r="Q992" s="74">
        <v>40132</v>
      </c>
      <c r="R992" s="74"/>
      <c r="S992" s="72" t="s">
        <v>11</v>
      </c>
      <c r="T992" s="80" t="s">
        <v>4</v>
      </c>
      <c r="U992" s="72" t="s">
        <v>14</v>
      </c>
      <c r="V992" s="72" t="s">
        <v>1920</v>
      </c>
      <c r="W992" s="72" t="s">
        <v>1928</v>
      </c>
      <c r="X992" s="72" t="s">
        <v>2862</v>
      </c>
      <c r="Y992" s="72" t="s">
        <v>4</v>
      </c>
      <c r="Z992" s="72" t="s">
        <v>4</v>
      </c>
      <c r="AA992" s="146" t="s">
        <v>2862</v>
      </c>
    </row>
    <row r="993" spans="1:27" ht="18.600000000000001" customHeight="1">
      <c r="A993" s="139" t="str">
        <f>IF(priority(Main[[#This Row],[Comments]])&lt;&gt;0, priority(Main[[#This Row],[Comments]]),"")</f>
        <v/>
      </c>
      <c r="B993" s="89" t="s">
        <v>1797</v>
      </c>
      <c r="C993" s="72" t="s">
        <v>113</v>
      </c>
      <c r="D993" s="73" t="s">
        <v>840</v>
      </c>
      <c r="E993" s="74"/>
      <c r="F993" s="74"/>
      <c r="G993" s="75" t="str">
        <f>IF(stdProdLT(Main[[#This Row],[Comments]])=0.1,"N/A",IF(stdProdLT(Main[[#This Row],[Comments]])=0,"",stdProdLT(Main[[#This Row],[Comments]])))</f>
        <v/>
      </c>
      <c r="H993" s="76" t="str">
        <f>IF(AND(Main[[#This Row],[In Stock Date]]&lt;&gt;"",Main[[#This Row],[Revised Due Date]]&lt;&gt;""),Main[[#This Row],[In Stock Date]]-Main[[#This Row],[Revised Due Date]],"")</f>
        <v/>
      </c>
      <c r="I993" s="72" t="s">
        <v>4</v>
      </c>
      <c r="J993" s="72" t="s">
        <v>28</v>
      </c>
      <c r="K993" s="72" t="s">
        <v>1929</v>
      </c>
      <c r="L993" s="74"/>
      <c r="M993" s="77" t="str">
        <f>IF(Main[[#This Row],[Tech Start Date]]&lt;1/1/1990,"",IF(Main[[#This Row],[Class]]="C",WORKDAY(Main[[#This Row],[Tech Start Date]],9),IF(Main[[#This Row],[Class]]="B", WORKDAY(Main[[#This Row],[Tech Start Date]],6),IF(Main[[#This Row],[Class]]="A",WORKDAY(Main[[#This Row],[Tech Start Date]],2),""))))</f>
        <v/>
      </c>
      <c r="N993" s="77" t="str">
        <f>IF(Main[[#This Row],[Tech Start Date]]&lt;1/1/1990,"",IF(Main[[#This Row],[Class]]="C",WORKDAY(Main[[#This Row],[Tech Start Date]],19),IF(Main[[#This Row],[Class]]="B", WORKDAY(Main[[#This Row],[Tech Start Date]],12),IF(Main[[#This Row],[Class]]="A",WORKDAY(Main[[#This Row],[Tech Start Date]],4),""))))</f>
        <v/>
      </c>
      <c r="O993" s="77" t="str">
        <f>IF(Main[[#This Row],[Tech Start Date]]&lt;1/1/1990,"",IF(Main[[#This Row],[Class]]="C",WORKDAY(Main[[#This Row],[Tech Start Date]],23),IF(Main[[#This Row],[Class]]="B", WORKDAY(Main[[#This Row],[Tech Start Date]],15),IF(Main[[#This Row],[Class]]="A",WORKDAY(Main[[#This Row],[Tech Start Date]],5),""))))</f>
        <v/>
      </c>
      <c r="P993" s="77" t="str">
        <f>IF(Main[[#This Row],[Tech Start Date]]&lt;1/1/1990,"",IF(Main[[#This Row],[Class]]="C",WORKDAY(Main[[#This Row],[Tech Start Date]],28),IF(Main[[#This Row],[Class]]="B", WORKDAY(Main[[#This Row],[Tech Start Date]],19),IF(Main[[#This Row],[Class]]="A",WORKDAY(Main[[#This Row],[Tech Start Date]],9),""))))</f>
        <v/>
      </c>
      <c r="Q993" s="74"/>
      <c r="R993" s="74"/>
      <c r="S993" s="72" t="s">
        <v>17</v>
      </c>
      <c r="T993" s="80" t="s">
        <v>4</v>
      </c>
      <c r="U993" s="72" t="s">
        <v>14</v>
      </c>
      <c r="V993" s="72" t="s">
        <v>1918</v>
      </c>
      <c r="W993" s="72" t="s">
        <v>1925</v>
      </c>
      <c r="X993" s="72" t="s">
        <v>50</v>
      </c>
      <c r="Y993" s="72" t="s">
        <v>3115</v>
      </c>
      <c r="Z993" s="72" t="s">
        <v>977</v>
      </c>
      <c r="AA993" s="146" t="s">
        <v>50</v>
      </c>
    </row>
    <row r="994" spans="1:27" ht="18.600000000000001" customHeight="1">
      <c r="A994" s="139" t="str">
        <f>IF(priority(Main[[#This Row],[Comments]])&lt;&gt;0, priority(Main[[#This Row],[Comments]]),"")</f>
        <v/>
      </c>
      <c r="B994" s="89" t="s">
        <v>1799</v>
      </c>
      <c r="C994" s="72" t="s">
        <v>4</v>
      </c>
      <c r="D994" s="73" t="s">
        <v>842</v>
      </c>
      <c r="E994" s="74"/>
      <c r="F994" s="74">
        <v>40435</v>
      </c>
      <c r="G994" s="75" t="str">
        <f>IF(stdProdLT(Main[[#This Row],[Comments]])=0.1,"N/A",IF(stdProdLT(Main[[#This Row],[Comments]])=0,"",stdProdLT(Main[[#This Row],[Comments]])))</f>
        <v/>
      </c>
      <c r="H994" s="76" t="str">
        <f>IF(AND(Main[[#This Row],[In Stock Date]]&lt;&gt;"",Main[[#This Row],[Revised Due Date]]&lt;&gt;""),Main[[#This Row],[In Stock Date]]-Main[[#This Row],[Revised Due Date]],"")</f>
        <v/>
      </c>
      <c r="I994" s="72" t="s">
        <v>4</v>
      </c>
      <c r="J994" s="72" t="s">
        <v>28</v>
      </c>
      <c r="K994" s="81" t="s">
        <v>4</v>
      </c>
      <c r="L994" s="74"/>
      <c r="M994" s="77" t="str">
        <f>IF(Main[[#This Row],[Tech Start Date]]&lt;1/1/1990,"",IF(Main[[#This Row],[Class]]="C",WORKDAY(Main[[#This Row],[Tech Start Date]],9),IF(Main[[#This Row],[Class]]="B", WORKDAY(Main[[#This Row],[Tech Start Date]],6),IF(Main[[#This Row],[Class]]="A",WORKDAY(Main[[#This Row],[Tech Start Date]],2),""))))</f>
        <v/>
      </c>
      <c r="N994" s="77" t="str">
        <f>IF(Main[[#This Row],[Tech Start Date]]&lt;1/1/1990,"",IF(Main[[#This Row],[Class]]="C",WORKDAY(Main[[#This Row],[Tech Start Date]],19),IF(Main[[#This Row],[Class]]="B", WORKDAY(Main[[#This Row],[Tech Start Date]],12),IF(Main[[#This Row],[Class]]="A",WORKDAY(Main[[#This Row],[Tech Start Date]],4),""))))</f>
        <v/>
      </c>
      <c r="O994" s="77" t="str">
        <f>IF(Main[[#This Row],[Tech Start Date]]&lt;1/1/1990,"",IF(Main[[#This Row],[Class]]="C",WORKDAY(Main[[#This Row],[Tech Start Date]],23),IF(Main[[#This Row],[Class]]="B", WORKDAY(Main[[#This Row],[Tech Start Date]],15),IF(Main[[#This Row],[Class]]="A",WORKDAY(Main[[#This Row],[Tech Start Date]],5),""))))</f>
        <v/>
      </c>
      <c r="P994" s="77" t="str">
        <f>IF(Main[[#This Row],[Tech Start Date]]&lt;1/1/1990,"",IF(Main[[#This Row],[Class]]="C",WORKDAY(Main[[#This Row],[Tech Start Date]],28),IF(Main[[#This Row],[Class]]="B", WORKDAY(Main[[#This Row],[Tech Start Date]],19),IF(Main[[#This Row],[Class]]="A",WORKDAY(Main[[#This Row],[Tech Start Date]],9),""))))</f>
        <v/>
      </c>
      <c r="Q994" s="74"/>
      <c r="R994" s="74"/>
      <c r="S994" s="72" t="s">
        <v>11</v>
      </c>
      <c r="T994" s="80" t="s">
        <v>4</v>
      </c>
      <c r="U994" s="72" t="s">
        <v>14</v>
      </c>
      <c r="V994" s="72" t="s">
        <v>1920</v>
      </c>
      <c r="W994" s="72" t="s">
        <v>1922</v>
      </c>
      <c r="X994" s="72" t="s">
        <v>2843</v>
      </c>
      <c r="Y994" s="72" t="s">
        <v>2972</v>
      </c>
      <c r="Z994" s="72" t="s">
        <v>530</v>
      </c>
      <c r="AA994" s="146" t="s">
        <v>2840</v>
      </c>
    </row>
    <row r="995" spans="1:27" ht="18.600000000000001" customHeight="1">
      <c r="A995" s="139" t="str">
        <f>IF(priority(Main[[#This Row],[Comments]])&lt;&gt;0, priority(Main[[#This Row],[Comments]]),"")</f>
        <v/>
      </c>
      <c r="B995" s="89" t="s">
        <v>1800</v>
      </c>
      <c r="C995" s="72" t="s">
        <v>99</v>
      </c>
      <c r="D995" s="73" t="s">
        <v>843</v>
      </c>
      <c r="E995" s="74"/>
      <c r="F995" s="74">
        <v>40435</v>
      </c>
      <c r="G995" s="75" t="str">
        <f>IF(stdProdLT(Main[[#This Row],[Comments]])=0.1,"N/A",IF(stdProdLT(Main[[#This Row],[Comments]])=0,"",stdProdLT(Main[[#This Row],[Comments]])))</f>
        <v/>
      </c>
      <c r="H995" s="76" t="str">
        <f>IF(AND(Main[[#This Row],[In Stock Date]]&lt;&gt;"",Main[[#This Row],[Revised Due Date]]&lt;&gt;""),Main[[#This Row],[In Stock Date]]-Main[[#This Row],[Revised Due Date]],"")</f>
        <v/>
      </c>
      <c r="I995" s="72" t="s">
        <v>4</v>
      </c>
      <c r="J995" s="72" t="s">
        <v>28</v>
      </c>
      <c r="K995" s="72" t="s">
        <v>4</v>
      </c>
      <c r="L995" s="74"/>
      <c r="M995" s="77" t="str">
        <f>IF(Main[[#This Row],[Tech Start Date]]&lt;1/1/1990,"",IF(Main[[#This Row],[Class]]="C",WORKDAY(Main[[#This Row],[Tech Start Date]],9),IF(Main[[#This Row],[Class]]="B", WORKDAY(Main[[#This Row],[Tech Start Date]],6),IF(Main[[#This Row],[Class]]="A",WORKDAY(Main[[#This Row],[Tech Start Date]],2),""))))</f>
        <v/>
      </c>
      <c r="N995" s="77" t="str">
        <f>IF(Main[[#This Row],[Tech Start Date]]&lt;1/1/1990,"",IF(Main[[#This Row],[Class]]="C",WORKDAY(Main[[#This Row],[Tech Start Date]],19),IF(Main[[#This Row],[Class]]="B", WORKDAY(Main[[#This Row],[Tech Start Date]],12),IF(Main[[#This Row],[Class]]="A",WORKDAY(Main[[#This Row],[Tech Start Date]],4),""))))</f>
        <v/>
      </c>
      <c r="O995" s="77" t="str">
        <f>IF(Main[[#This Row],[Tech Start Date]]&lt;1/1/1990,"",IF(Main[[#This Row],[Class]]="C",WORKDAY(Main[[#This Row],[Tech Start Date]],23),IF(Main[[#This Row],[Class]]="B", WORKDAY(Main[[#This Row],[Tech Start Date]],15),IF(Main[[#This Row],[Class]]="A",WORKDAY(Main[[#This Row],[Tech Start Date]],5),""))))</f>
        <v/>
      </c>
      <c r="P995" s="77" t="str">
        <f>IF(Main[[#This Row],[Tech Start Date]]&lt;1/1/1990,"",IF(Main[[#This Row],[Class]]="C",WORKDAY(Main[[#This Row],[Tech Start Date]],28),IF(Main[[#This Row],[Class]]="B", WORKDAY(Main[[#This Row],[Tech Start Date]],19),IF(Main[[#This Row],[Class]]="A",WORKDAY(Main[[#This Row],[Tech Start Date]],9),""))))</f>
        <v/>
      </c>
      <c r="Q995" s="74">
        <v>40435</v>
      </c>
      <c r="R995" s="74"/>
      <c r="S995" s="72" t="s">
        <v>11</v>
      </c>
      <c r="T995" s="80" t="s">
        <v>4</v>
      </c>
      <c r="U995" s="72" t="s">
        <v>14</v>
      </c>
      <c r="V995" s="72" t="s">
        <v>1920</v>
      </c>
      <c r="W995" s="72" t="s">
        <v>1922</v>
      </c>
      <c r="X995" s="72" t="s">
        <v>2843</v>
      </c>
      <c r="Y995" s="72" t="s">
        <v>2972</v>
      </c>
      <c r="Z995" s="72" t="s">
        <v>530</v>
      </c>
      <c r="AA995" s="146" t="s">
        <v>3422</v>
      </c>
    </row>
    <row r="996" spans="1:27" ht="18.600000000000001" customHeight="1">
      <c r="A996" s="139" t="str">
        <f>IF(priority(Main[[#This Row],[Comments]])&lt;&gt;0, priority(Main[[#This Row],[Comments]]),"")</f>
        <v/>
      </c>
      <c r="B996" s="89" t="s">
        <v>1786</v>
      </c>
      <c r="C996" s="72" t="s">
        <v>828</v>
      </c>
      <c r="D996" s="73" t="s">
        <v>829</v>
      </c>
      <c r="E996" s="74"/>
      <c r="F996" s="74"/>
      <c r="G996" s="75" t="str">
        <f>IF(stdProdLT(Main[[#This Row],[Comments]])=0.1,"N/A",IF(stdProdLT(Main[[#This Row],[Comments]])=0,"",stdProdLT(Main[[#This Row],[Comments]])))</f>
        <v/>
      </c>
      <c r="H996" s="76" t="str">
        <f>IF(AND(Main[[#This Row],[In Stock Date]]&lt;&gt;"",Main[[#This Row],[Revised Due Date]]&lt;&gt;""),Main[[#This Row],[In Stock Date]]-Main[[#This Row],[Revised Due Date]],"")</f>
        <v/>
      </c>
      <c r="I996" s="72" t="s">
        <v>4</v>
      </c>
      <c r="J996" s="72" t="s">
        <v>4</v>
      </c>
      <c r="K996" s="72" t="s">
        <v>4</v>
      </c>
      <c r="L996" s="74"/>
      <c r="M996" s="77" t="str">
        <f>IF(Main[[#This Row],[Tech Start Date]]&lt;1/1/1990,"",IF(Main[[#This Row],[Class]]="C",WORKDAY(Main[[#This Row],[Tech Start Date]],9),IF(Main[[#This Row],[Class]]="B", WORKDAY(Main[[#This Row],[Tech Start Date]],6),IF(Main[[#This Row],[Class]]="A",WORKDAY(Main[[#This Row],[Tech Start Date]],2),""))))</f>
        <v/>
      </c>
      <c r="N996" s="77" t="str">
        <f>IF(Main[[#This Row],[Tech Start Date]]&lt;1/1/1990,"",IF(Main[[#This Row],[Class]]="C",WORKDAY(Main[[#This Row],[Tech Start Date]],19),IF(Main[[#This Row],[Class]]="B", WORKDAY(Main[[#This Row],[Tech Start Date]],12),IF(Main[[#This Row],[Class]]="A",WORKDAY(Main[[#This Row],[Tech Start Date]],4),""))))</f>
        <v/>
      </c>
      <c r="O996" s="77" t="str">
        <f>IF(Main[[#This Row],[Tech Start Date]]&lt;1/1/1990,"",IF(Main[[#This Row],[Class]]="C",WORKDAY(Main[[#This Row],[Tech Start Date]],23),IF(Main[[#This Row],[Class]]="B", WORKDAY(Main[[#This Row],[Tech Start Date]],15),IF(Main[[#This Row],[Class]]="A",WORKDAY(Main[[#This Row],[Tech Start Date]],5),""))))</f>
        <v/>
      </c>
      <c r="P996" s="77" t="str">
        <f>IF(Main[[#This Row],[Tech Start Date]]&lt;1/1/1990,"",IF(Main[[#This Row],[Class]]="C",WORKDAY(Main[[#This Row],[Tech Start Date]],28),IF(Main[[#This Row],[Class]]="B", WORKDAY(Main[[#This Row],[Tech Start Date]],19),IF(Main[[#This Row],[Class]]="A",WORKDAY(Main[[#This Row],[Tech Start Date]],9),""))))</f>
        <v/>
      </c>
      <c r="Q996" s="74"/>
      <c r="R996" s="74"/>
      <c r="S996" s="72" t="s">
        <v>11</v>
      </c>
      <c r="T996" s="80" t="s">
        <v>4</v>
      </c>
      <c r="U996" s="72" t="s">
        <v>14</v>
      </c>
      <c r="V996" s="72" t="s">
        <v>1918</v>
      </c>
      <c r="W996" s="72" t="s">
        <v>1922</v>
      </c>
      <c r="X996" s="72" t="s">
        <v>2895</v>
      </c>
      <c r="Y996" s="72" t="s">
        <v>4</v>
      </c>
      <c r="Z996" s="72" t="s">
        <v>4</v>
      </c>
      <c r="AA996" s="146" t="s">
        <v>3458</v>
      </c>
    </row>
    <row r="997" spans="1:27" ht="18.600000000000001" customHeight="1">
      <c r="A997" s="139" t="str">
        <f>IF(priority(Main[[#This Row],[Comments]])&lt;&gt;0, priority(Main[[#This Row],[Comments]]),"")</f>
        <v/>
      </c>
      <c r="B997" s="89" t="s">
        <v>2129</v>
      </c>
      <c r="C997" s="72" t="s">
        <v>4</v>
      </c>
      <c r="D997" s="73" t="s">
        <v>2130</v>
      </c>
      <c r="E997" s="74">
        <v>40760.662685185183</v>
      </c>
      <c r="F997" s="74"/>
      <c r="G997" s="75" t="str">
        <f>IF(stdProdLT(Main[[#This Row],[Comments]])=0.1,"N/A",IF(stdProdLT(Main[[#This Row],[Comments]])=0,"",stdProdLT(Main[[#This Row],[Comments]])))</f>
        <v/>
      </c>
      <c r="H997" s="76" t="str">
        <f>IF(AND(Main[[#This Row],[In Stock Date]]&lt;&gt;"",Main[[#This Row],[Revised Due Date]]&lt;&gt;""),Main[[#This Row],[In Stock Date]]-Main[[#This Row],[Revised Due Date]],"")</f>
        <v/>
      </c>
      <c r="I997" s="72" t="s">
        <v>4</v>
      </c>
      <c r="J997" s="72" t="s">
        <v>4</v>
      </c>
      <c r="K997" s="72" t="s">
        <v>4</v>
      </c>
      <c r="L997" s="74"/>
      <c r="M997" s="77" t="str">
        <f>IF(Main[[#This Row],[Tech Start Date]]&lt;1/1/1990,"",IF(Main[[#This Row],[Class]]="C",WORKDAY(Main[[#This Row],[Tech Start Date]],9),IF(Main[[#This Row],[Class]]="B", WORKDAY(Main[[#This Row],[Tech Start Date]],6),IF(Main[[#This Row],[Class]]="A",WORKDAY(Main[[#This Row],[Tech Start Date]],2),""))))</f>
        <v/>
      </c>
      <c r="N997" s="77" t="str">
        <f>IF(Main[[#This Row],[Tech Start Date]]&lt;1/1/1990,"",IF(Main[[#This Row],[Class]]="C",WORKDAY(Main[[#This Row],[Tech Start Date]],19),IF(Main[[#This Row],[Class]]="B", WORKDAY(Main[[#This Row],[Tech Start Date]],12),IF(Main[[#This Row],[Class]]="A",WORKDAY(Main[[#This Row],[Tech Start Date]],4),""))))</f>
        <v/>
      </c>
      <c r="O997" s="77" t="str">
        <f>IF(Main[[#This Row],[Tech Start Date]]&lt;1/1/1990,"",IF(Main[[#This Row],[Class]]="C",WORKDAY(Main[[#This Row],[Tech Start Date]],23),IF(Main[[#This Row],[Class]]="B", WORKDAY(Main[[#This Row],[Tech Start Date]],15),IF(Main[[#This Row],[Class]]="A",WORKDAY(Main[[#This Row],[Tech Start Date]],5),""))))</f>
        <v/>
      </c>
      <c r="P997" s="77" t="str">
        <f>IF(Main[[#This Row],[Tech Start Date]]&lt;1/1/1990,"",IF(Main[[#This Row],[Class]]="C",WORKDAY(Main[[#This Row],[Tech Start Date]],28),IF(Main[[#This Row],[Class]]="B", WORKDAY(Main[[#This Row],[Tech Start Date]],19),IF(Main[[#This Row],[Class]]="A",WORKDAY(Main[[#This Row],[Tech Start Date]],9),""))))</f>
        <v/>
      </c>
      <c r="Q997" s="74"/>
      <c r="R997" s="74"/>
      <c r="S997" s="72" t="s">
        <v>6</v>
      </c>
      <c r="T997" s="80" t="s">
        <v>4</v>
      </c>
      <c r="U997" s="72" t="s">
        <v>7</v>
      </c>
      <c r="V997" s="72" t="s">
        <v>1917</v>
      </c>
      <c r="W997" s="72" t="s">
        <v>4</v>
      </c>
      <c r="X997" s="72" t="s">
        <v>306</v>
      </c>
      <c r="Y997" s="72" t="s">
        <v>4</v>
      </c>
      <c r="Z997" s="72" t="s">
        <v>4</v>
      </c>
      <c r="AA997" s="146" t="s">
        <v>3402</v>
      </c>
    </row>
    <row r="998" spans="1:27" ht="18.600000000000001" customHeight="1">
      <c r="A998" s="139" t="str">
        <f>IF(priority(Main[[#This Row],[Comments]])&lt;&gt;0, priority(Main[[#This Row],[Comments]]),"")</f>
        <v/>
      </c>
      <c r="B998" s="89" t="s">
        <v>1801</v>
      </c>
      <c r="C998" s="72" t="s">
        <v>4</v>
      </c>
      <c r="D998" s="73" t="s">
        <v>844</v>
      </c>
      <c r="E998" s="74"/>
      <c r="F998" s="74"/>
      <c r="G998" s="75" t="str">
        <f>IF(stdProdLT(Main[[#This Row],[Comments]])=0.1,"N/A",IF(stdProdLT(Main[[#This Row],[Comments]])=0,"",stdProdLT(Main[[#This Row],[Comments]])))</f>
        <v/>
      </c>
      <c r="H998" s="76" t="str">
        <f>IF(AND(Main[[#This Row],[In Stock Date]]&lt;&gt;"",Main[[#This Row],[Revised Due Date]]&lt;&gt;""),Main[[#This Row],[In Stock Date]]-Main[[#This Row],[Revised Due Date]],"")</f>
        <v/>
      </c>
      <c r="I998" s="72" t="s">
        <v>50</v>
      </c>
      <c r="J998" s="72" t="s">
        <v>28</v>
      </c>
      <c r="K998" s="72" t="s">
        <v>1926</v>
      </c>
      <c r="L998" s="74"/>
      <c r="M998" s="77" t="str">
        <f>IF(Main[[#This Row],[Tech Start Date]]&lt;1/1/1990,"",IF(Main[[#This Row],[Class]]="C",WORKDAY(Main[[#This Row],[Tech Start Date]],9),IF(Main[[#This Row],[Class]]="B", WORKDAY(Main[[#This Row],[Tech Start Date]],6),IF(Main[[#This Row],[Class]]="A",WORKDAY(Main[[#This Row],[Tech Start Date]],2),""))))</f>
        <v/>
      </c>
      <c r="N998" s="77" t="str">
        <f>IF(Main[[#This Row],[Tech Start Date]]&lt;1/1/1990,"",IF(Main[[#This Row],[Class]]="C",WORKDAY(Main[[#This Row],[Tech Start Date]],19),IF(Main[[#This Row],[Class]]="B", WORKDAY(Main[[#This Row],[Tech Start Date]],12),IF(Main[[#This Row],[Class]]="A",WORKDAY(Main[[#This Row],[Tech Start Date]],4),""))))</f>
        <v/>
      </c>
      <c r="O998" s="77" t="str">
        <f>IF(Main[[#This Row],[Tech Start Date]]&lt;1/1/1990,"",IF(Main[[#This Row],[Class]]="C",WORKDAY(Main[[#This Row],[Tech Start Date]],23),IF(Main[[#This Row],[Class]]="B", WORKDAY(Main[[#This Row],[Tech Start Date]],15),IF(Main[[#This Row],[Class]]="A",WORKDAY(Main[[#This Row],[Tech Start Date]],5),""))))</f>
        <v/>
      </c>
      <c r="P998" s="77" t="str">
        <f>IF(Main[[#This Row],[Tech Start Date]]&lt;1/1/1990,"",IF(Main[[#This Row],[Class]]="C",WORKDAY(Main[[#This Row],[Tech Start Date]],28),IF(Main[[#This Row],[Class]]="B", WORKDAY(Main[[#This Row],[Tech Start Date]],19),IF(Main[[#This Row],[Class]]="A",WORKDAY(Main[[#This Row],[Tech Start Date]],9),""))))</f>
        <v/>
      </c>
      <c r="Q998" s="74"/>
      <c r="R998" s="74"/>
      <c r="S998" s="72" t="s">
        <v>6</v>
      </c>
      <c r="T998" s="80" t="s">
        <v>4</v>
      </c>
      <c r="U998" s="72" t="s">
        <v>14</v>
      </c>
      <c r="V998" s="72" t="s">
        <v>1920</v>
      </c>
      <c r="W998" s="72" t="s">
        <v>1921</v>
      </c>
      <c r="X998" s="72" t="s">
        <v>2872</v>
      </c>
      <c r="Y998" s="72" t="s">
        <v>3006</v>
      </c>
      <c r="Z998" s="72" t="s">
        <v>44</v>
      </c>
      <c r="AA998" s="146" t="s">
        <v>2872</v>
      </c>
    </row>
    <row r="999" spans="1:27" ht="18.600000000000001" customHeight="1">
      <c r="A999" s="139" t="str">
        <f>IF(priority(Main[[#This Row],[Comments]])&lt;&gt;0, priority(Main[[#This Row],[Comments]]),"")</f>
        <v/>
      </c>
      <c r="B999" s="89" t="s">
        <v>1802</v>
      </c>
      <c r="C999" s="72" t="s">
        <v>493</v>
      </c>
      <c r="D999" s="73" t="s">
        <v>845</v>
      </c>
      <c r="E999" s="74"/>
      <c r="F999" s="74"/>
      <c r="G999" s="75" t="str">
        <f>IF(stdProdLT(Main[[#This Row],[Comments]])=0.1,"N/A",IF(stdProdLT(Main[[#This Row],[Comments]])=0,"",stdProdLT(Main[[#This Row],[Comments]])))</f>
        <v/>
      </c>
      <c r="H999" s="76" t="str">
        <f>IF(AND(Main[[#This Row],[In Stock Date]]&lt;&gt;"",Main[[#This Row],[Revised Due Date]]&lt;&gt;""),Main[[#This Row],[In Stock Date]]-Main[[#This Row],[Revised Due Date]],"")</f>
        <v/>
      </c>
      <c r="I999" s="72" t="s">
        <v>4</v>
      </c>
      <c r="J999" s="72" t="s">
        <v>4</v>
      </c>
      <c r="K999" s="72" t="s">
        <v>4</v>
      </c>
      <c r="L999" s="74"/>
      <c r="M999" s="77" t="str">
        <f>IF(Main[[#This Row],[Tech Start Date]]&lt;1/1/1990,"",IF(Main[[#This Row],[Class]]="C",WORKDAY(Main[[#This Row],[Tech Start Date]],9),IF(Main[[#This Row],[Class]]="B", WORKDAY(Main[[#This Row],[Tech Start Date]],6),IF(Main[[#This Row],[Class]]="A",WORKDAY(Main[[#This Row],[Tech Start Date]],2),""))))</f>
        <v/>
      </c>
      <c r="N999" s="77" t="str">
        <f>IF(Main[[#This Row],[Tech Start Date]]&lt;1/1/1990,"",IF(Main[[#This Row],[Class]]="C",WORKDAY(Main[[#This Row],[Tech Start Date]],19),IF(Main[[#This Row],[Class]]="B", WORKDAY(Main[[#This Row],[Tech Start Date]],12),IF(Main[[#This Row],[Class]]="A",WORKDAY(Main[[#This Row],[Tech Start Date]],4),""))))</f>
        <v/>
      </c>
      <c r="O999" s="77" t="str">
        <f>IF(Main[[#This Row],[Tech Start Date]]&lt;1/1/1990,"",IF(Main[[#This Row],[Class]]="C",WORKDAY(Main[[#This Row],[Tech Start Date]],23),IF(Main[[#This Row],[Class]]="B", WORKDAY(Main[[#This Row],[Tech Start Date]],15),IF(Main[[#This Row],[Class]]="A",WORKDAY(Main[[#This Row],[Tech Start Date]],5),""))))</f>
        <v/>
      </c>
      <c r="P999" s="77" t="str">
        <f>IF(Main[[#This Row],[Tech Start Date]]&lt;1/1/1990,"",IF(Main[[#This Row],[Class]]="C",WORKDAY(Main[[#This Row],[Tech Start Date]],28),IF(Main[[#This Row],[Class]]="B", WORKDAY(Main[[#This Row],[Tech Start Date]],19),IF(Main[[#This Row],[Class]]="A",WORKDAY(Main[[#This Row],[Tech Start Date]],9),""))))</f>
        <v/>
      </c>
      <c r="Q999" s="74">
        <v>40239</v>
      </c>
      <c r="R999" s="74"/>
      <c r="S999" s="72" t="s">
        <v>11</v>
      </c>
      <c r="T999" s="80" t="s">
        <v>4</v>
      </c>
      <c r="U999" s="72" t="s">
        <v>14</v>
      </c>
      <c r="V999" s="72" t="s">
        <v>1920</v>
      </c>
      <c r="W999" s="72" t="s">
        <v>1919</v>
      </c>
      <c r="X999" s="72" t="s">
        <v>2902</v>
      </c>
      <c r="Y999" s="72" t="s">
        <v>4</v>
      </c>
      <c r="Z999" s="72" t="s">
        <v>4</v>
      </c>
      <c r="AA999" s="146" t="s">
        <v>2902</v>
      </c>
    </row>
    <row r="1000" spans="1:27" ht="18.600000000000001" customHeight="1">
      <c r="A1000" s="139" t="str">
        <f>IF(priority(Main[[#This Row],[Comments]])&lt;&gt;0, priority(Main[[#This Row],[Comments]]),"")</f>
        <v/>
      </c>
      <c r="B1000" s="89" t="s">
        <v>2558</v>
      </c>
      <c r="C1000" s="72" t="s">
        <v>4</v>
      </c>
      <c r="D1000" s="73" t="s">
        <v>2559</v>
      </c>
      <c r="E1000" s="74">
        <v>40861.17015046296</v>
      </c>
      <c r="F1000" s="74"/>
      <c r="G1000" s="75" t="str">
        <f>IF(stdProdLT(Main[[#This Row],[Comments]])=0.1,"N/A",IF(stdProdLT(Main[[#This Row],[Comments]])=0,"",stdProdLT(Main[[#This Row],[Comments]])))</f>
        <v/>
      </c>
      <c r="H1000" s="76" t="str">
        <f>IF(AND(Main[[#This Row],[In Stock Date]]&lt;&gt;"",Main[[#This Row],[Revised Due Date]]&lt;&gt;""),Main[[#This Row],[In Stock Date]]-Main[[#This Row],[Revised Due Date]],"")</f>
        <v/>
      </c>
      <c r="I1000" s="72" t="s">
        <v>69</v>
      </c>
      <c r="J1000" s="72" t="s">
        <v>70</v>
      </c>
      <c r="K1000" s="72" t="s">
        <v>1926</v>
      </c>
      <c r="L1000" s="74"/>
      <c r="M1000" s="77" t="str">
        <f>IF(Main[[#This Row],[Tech Start Date]]&lt;1/1/1990,"",IF(Main[[#This Row],[Class]]="C",WORKDAY(Main[[#This Row],[Tech Start Date]],9),IF(Main[[#This Row],[Class]]="B", WORKDAY(Main[[#This Row],[Tech Start Date]],6),IF(Main[[#This Row],[Class]]="A",WORKDAY(Main[[#This Row],[Tech Start Date]],2),""))))</f>
        <v/>
      </c>
      <c r="N1000" s="77" t="str">
        <f>IF(Main[[#This Row],[Tech Start Date]]&lt;1/1/1990,"",IF(Main[[#This Row],[Class]]="C",WORKDAY(Main[[#This Row],[Tech Start Date]],19),IF(Main[[#This Row],[Class]]="B", WORKDAY(Main[[#This Row],[Tech Start Date]],12),IF(Main[[#This Row],[Class]]="A",WORKDAY(Main[[#This Row],[Tech Start Date]],4),""))))</f>
        <v/>
      </c>
      <c r="O1000" s="77" t="str">
        <f>IF(Main[[#This Row],[Tech Start Date]]&lt;1/1/1990,"",IF(Main[[#This Row],[Class]]="C",WORKDAY(Main[[#This Row],[Tech Start Date]],23),IF(Main[[#This Row],[Class]]="B", WORKDAY(Main[[#This Row],[Tech Start Date]],15),IF(Main[[#This Row],[Class]]="A",WORKDAY(Main[[#This Row],[Tech Start Date]],5),""))))</f>
        <v/>
      </c>
      <c r="P1000" s="77" t="str">
        <f>IF(Main[[#This Row],[Tech Start Date]]&lt;1/1/1990,"",IF(Main[[#This Row],[Class]]="C",WORKDAY(Main[[#This Row],[Tech Start Date]],28),IF(Main[[#This Row],[Class]]="B", WORKDAY(Main[[#This Row],[Tech Start Date]],19),IF(Main[[#This Row],[Class]]="A",WORKDAY(Main[[#This Row],[Tech Start Date]],9),""))))</f>
        <v/>
      </c>
      <c r="Q1000" s="74">
        <v>40891</v>
      </c>
      <c r="R1000" s="74"/>
      <c r="S1000" s="72" t="s">
        <v>6</v>
      </c>
      <c r="T1000" s="80" t="s">
        <v>4</v>
      </c>
      <c r="U1000" s="72" t="s">
        <v>29</v>
      </c>
      <c r="V1000" s="72" t="s">
        <v>1920</v>
      </c>
      <c r="W1000" s="72" t="s">
        <v>1921</v>
      </c>
      <c r="X1000" s="72" t="s">
        <v>2828</v>
      </c>
      <c r="Y1000" s="72" t="s">
        <v>2944</v>
      </c>
      <c r="Z1000" s="72" t="s">
        <v>30</v>
      </c>
      <c r="AA1000" s="146" t="s">
        <v>2828</v>
      </c>
    </row>
    <row r="1001" spans="1:27" ht="18.600000000000001" customHeight="1">
      <c r="A1001" s="139" t="str">
        <f>IF(priority(Main[[#This Row],[Comments]])&lt;&gt;0, priority(Main[[#This Row],[Comments]]),"")</f>
        <v/>
      </c>
      <c r="B1001" s="89" t="s">
        <v>1803</v>
      </c>
      <c r="C1001" s="72" t="s">
        <v>4</v>
      </c>
      <c r="D1001" s="73" t="s">
        <v>846</v>
      </c>
      <c r="E1001" s="74"/>
      <c r="F1001" s="74"/>
      <c r="G1001" s="75" t="str">
        <f>IF(stdProdLT(Main[[#This Row],[Comments]])=0.1,"N/A",IF(stdProdLT(Main[[#This Row],[Comments]])=0,"",stdProdLT(Main[[#This Row],[Comments]])))</f>
        <v/>
      </c>
      <c r="H1001" s="76" t="str">
        <f>IF(AND(Main[[#This Row],[In Stock Date]]&lt;&gt;"",Main[[#This Row],[Revised Due Date]]&lt;&gt;""),Main[[#This Row],[In Stock Date]]-Main[[#This Row],[Revised Due Date]],"")</f>
        <v/>
      </c>
      <c r="I1001" s="72" t="s">
        <v>4</v>
      </c>
      <c r="J1001" s="72" t="s">
        <v>4</v>
      </c>
      <c r="K1001" s="72" t="s">
        <v>4</v>
      </c>
      <c r="L1001" s="74"/>
      <c r="M1001" s="77" t="str">
        <f>IF(Main[[#This Row],[Tech Start Date]]&lt;1/1/1990,"",IF(Main[[#This Row],[Class]]="C",WORKDAY(Main[[#This Row],[Tech Start Date]],9),IF(Main[[#This Row],[Class]]="B", WORKDAY(Main[[#This Row],[Tech Start Date]],6),IF(Main[[#This Row],[Class]]="A",WORKDAY(Main[[#This Row],[Tech Start Date]],2),""))))</f>
        <v/>
      </c>
      <c r="N1001" s="77" t="str">
        <f>IF(Main[[#This Row],[Tech Start Date]]&lt;1/1/1990,"",IF(Main[[#This Row],[Class]]="C",WORKDAY(Main[[#This Row],[Tech Start Date]],19),IF(Main[[#This Row],[Class]]="B", WORKDAY(Main[[#This Row],[Tech Start Date]],12),IF(Main[[#This Row],[Class]]="A",WORKDAY(Main[[#This Row],[Tech Start Date]],4),""))))</f>
        <v/>
      </c>
      <c r="O1001" s="77" t="str">
        <f>IF(Main[[#This Row],[Tech Start Date]]&lt;1/1/1990,"",IF(Main[[#This Row],[Class]]="C",WORKDAY(Main[[#This Row],[Tech Start Date]],23),IF(Main[[#This Row],[Class]]="B", WORKDAY(Main[[#This Row],[Tech Start Date]],15),IF(Main[[#This Row],[Class]]="A",WORKDAY(Main[[#This Row],[Tech Start Date]],5),""))))</f>
        <v/>
      </c>
      <c r="P1001" s="77" t="str">
        <f>IF(Main[[#This Row],[Tech Start Date]]&lt;1/1/1990,"",IF(Main[[#This Row],[Class]]="C",WORKDAY(Main[[#This Row],[Tech Start Date]],28),IF(Main[[#This Row],[Class]]="B", WORKDAY(Main[[#This Row],[Tech Start Date]],19),IF(Main[[#This Row],[Class]]="A",WORKDAY(Main[[#This Row],[Tech Start Date]],9),""))))</f>
        <v/>
      </c>
      <c r="Q1001" s="74">
        <v>40349</v>
      </c>
      <c r="R1001" s="74"/>
      <c r="S1001" s="72" t="s">
        <v>6</v>
      </c>
      <c r="T1001" s="80" t="s">
        <v>4</v>
      </c>
      <c r="U1001" s="72" t="s">
        <v>14</v>
      </c>
      <c r="V1001" s="72" t="s">
        <v>1920</v>
      </c>
      <c r="W1001" s="72" t="s">
        <v>4</v>
      </c>
      <c r="X1001" s="72" t="s">
        <v>2825</v>
      </c>
      <c r="Y1001" s="72" t="s">
        <v>2938</v>
      </c>
      <c r="Z1001" s="72" t="s">
        <v>4</v>
      </c>
      <c r="AA1001" s="146" t="s">
        <v>2825</v>
      </c>
    </row>
    <row r="1002" spans="1:27" ht="18.600000000000001" customHeight="1">
      <c r="A1002" s="139" t="str">
        <f>IF(priority(Main[[#This Row],[Comments]])&lt;&gt;0, priority(Main[[#This Row],[Comments]]),"")</f>
        <v/>
      </c>
      <c r="B1002" s="89" t="s">
        <v>2200</v>
      </c>
      <c r="C1002" s="72" t="s">
        <v>4</v>
      </c>
      <c r="D1002" s="73" t="s">
        <v>2201</v>
      </c>
      <c r="E1002" s="74"/>
      <c r="F1002" s="74"/>
      <c r="G1002" s="75" t="str">
        <f>IF(stdProdLT(Main[[#This Row],[Comments]])=0.1,"N/A",IF(stdProdLT(Main[[#This Row],[Comments]])=0,"",stdProdLT(Main[[#This Row],[Comments]])))</f>
        <v/>
      </c>
      <c r="H1002" s="76" t="str">
        <f>IF(AND(Main[[#This Row],[In Stock Date]]&lt;&gt;"",Main[[#This Row],[Revised Due Date]]&lt;&gt;""),Main[[#This Row],[In Stock Date]]-Main[[#This Row],[Revised Due Date]],"")</f>
        <v/>
      </c>
      <c r="I1002" s="72" t="s">
        <v>4</v>
      </c>
      <c r="J1002" s="72" t="s">
        <v>4</v>
      </c>
      <c r="K1002" s="81" t="s">
        <v>4</v>
      </c>
      <c r="L1002" s="74"/>
      <c r="M1002" s="77" t="str">
        <f>IF(Main[[#This Row],[Tech Start Date]]&lt;1/1/1990,"",IF(Main[[#This Row],[Class]]="C",WORKDAY(Main[[#This Row],[Tech Start Date]],9),IF(Main[[#This Row],[Class]]="B", WORKDAY(Main[[#This Row],[Tech Start Date]],6),IF(Main[[#This Row],[Class]]="A",WORKDAY(Main[[#This Row],[Tech Start Date]],2),""))))</f>
        <v/>
      </c>
      <c r="N1002" s="77" t="str">
        <f>IF(Main[[#This Row],[Tech Start Date]]&lt;1/1/1990,"",IF(Main[[#This Row],[Class]]="C",WORKDAY(Main[[#This Row],[Tech Start Date]],19),IF(Main[[#This Row],[Class]]="B", WORKDAY(Main[[#This Row],[Tech Start Date]],12),IF(Main[[#This Row],[Class]]="A",WORKDAY(Main[[#This Row],[Tech Start Date]],4),""))))</f>
        <v/>
      </c>
      <c r="O1002" s="77" t="str">
        <f>IF(Main[[#This Row],[Tech Start Date]]&lt;1/1/1990,"",IF(Main[[#This Row],[Class]]="C",WORKDAY(Main[[#This Row],[Tech Start Date]],23),IF(Main[[#This Row],[Class]]="B", WORKDAY(Main[[#This Row],[Tech Start Date]],15),IF(Main[[#This Row],[Class]]="A",WORKDAY(Main[[#This Row],[Tech Start Date]],5),""))))</f>
        <v/>
      </c>
      <c r="P1002" s="77" t="str">
        <f>IF(Main[[#This Row],[Tech Start Date]]&lt;1/1/1990,"",IF(Main[[#This Row],[Class]]="C",WORKDAY(Main[[#This Row],[Tech Start Date]],28),IF(Main[[#This Row],[Class]]="B", WORKDAY(Main[[#This Row],[Tech Start Date]],19),IF(Main[[#This Row],[Class]]="A",WORKDAY(Main[[#This Row],[Tech Start Date]],9),""))))</f>
        <v/>
      </c>
      <c r="Q1002" s="74"/>
      <c r="R1002" s="74"/>
      <c r="S1002" s="72" t="s">
        <v>6</v>
      </c>
      <c r="T1002" s="80" t="s">
        <v>4</v>
      </c>
      <c r="U1002" s="72" t="s">
        <v>14</v>
      </c>
      <c r="V1002" s="72" t="s">
        <v>1918</v>
      </c>
      <c r="W1002" s="72" t="s">
        <v>4</v>
      </c>
      <c r="X1002" s="72" t="s">
        <v>306</v>
      </c>
      <c r="Y1002" s="72" t="s">
        <v>4</v>
      </c>
      <c r="Z1002" s="72" t="s">
        <v>4</v>
      </c>
      <c r="AA1002" s="146" t="s">
        <v>4</v>
      </c>
    </row>
    <row r="1003" spans="1:27" ht="18.600000000000001" customHeight="1">
      <c r="A1003" s="139" t="str">
        <f>IF(priority(Main[[#This Row],[Comments]])&lt;&gt;0, priority(Main[[#This Row],[Comments]]),"")</f>
        <v/>
      </c>
      <c r="B1003" s="89" t="s">
        <v>1805</v>
      </c>
      <c r="C1003" s="72" t="s">
        <v>47</v>
      </c>
      <c r="D1003" s="73" t="s">
        <v>851</v>
      </c>
      <c r="E1003" s="74"/>
      <c r="F1003" s="74"/>
      <c r="G1003" s="75" t="str">
        <f>IF(stdProdLT(Main[[#This Row],[Comments]])=0.1,"N/A",IF(stdProdLT(Main[[#This Row],[Comments]])=0,"",stdProdLT(Main[[#This Row],[Comments]])))</f>
        <v/>
      </c>
      <c r="H1003" s="76" t="str">
        <f>IF(AND(Main[[#This Row],[In Stock Date]]&lt;&gt;"",Main[[#This Row],[Revised Due Date]]&lt;&gt;""),Main[[#This Row],[In Stock Date]]-Main[[#This Row],[Revised Due Date]],"")</f>
        <v/>
      </c>
      <c r="I1003" s="72" t="s">
        <v>4</v>
      </c>
      <c r="J1003" s="72" t="s">
        <v>4</v>
      </c>
      <c r="K1003" s="72" t="s">
        <v>4</v>
      </c>
      <c r="L1003" s="74"/>
      <c r="M1003" s="77" t="str">
        <f>IF(Main[[#This Row],[Tech Start Date]]&lt;1/1/1990,"",IF(Main[[#This Row],[Class]]="C",WORKDAY(Main[[#This Row],[Tech Start Date]],9),IF(Main[[#This Row],[Class]]="B", WORKDAY(Main[[#This Row],[Tech Start Date]],6),IF(Main[[#This Row],[Class]]="A",WORKDAY(Main[[#This Row],[Tech Start Date]],2),""))))</f>
        <v/>
      </c>
      <c r="N1003" s="77" t="str">
        <f>IF(Main[[#This Row],[Tech Start Date]]&lt;1/1/1990,"",IF(Main[[#This Row],[Class]]="C",WORKDAY(Main[[#This Row],[Tech Start Date]],19),IF(Main[[#This Row],[Class]]="B", WORKDAY(Main[[#This Row],[Tech Start Date]],12),IF(Main[[#This Row],[Class]]="A",WORKDAY(Main[[#This Row],[Tech Start Date]],4),""))))</f>
        <v/>
      </c>
      <c r="O1003" s="77" t="str">
        <f>IF(Main[[#This Row],[Tech Start Date]]&lt;1/1/1990,"",IF(Main[[#This Row],[Class]]="C",WORKDAY(Main[[#This Row],[Tech Start Date]],23),IF(Main[[#This Row],[Class]]="B", WORKDAY(Main[[#This Row],[Tech Start Date]],15),IF(Main[[#This Row],[Class]]="A",WORKDAY(Main[[#This Row],[Tech Start Date]],5),""))))</f>
        <v/>
      </c>
      <c r="P1003" s="77" t="str">
        <f>IF(Main[[#This Row],[Tech Start Date]]&lt;1/1/1990,"",IF(Main[[#This Row],[Class]]="C",WORKDAY(Main[[#This Row],[Tech Start Date]],28),IF(Main[[#This Row],[Class]]="B", WORKDAY(Main[[#This Row],[Tech Start Date]],19),IF(Main[[#This Row],[Class]]="A",WORKDAY(Main[[#This Row],[Tech Start Date]],9),""))))</f>
        <v/>
      </c>
      <c r="Q1003" s="74"/>
      <c r="R1003" s="74"/>
      <c r="S1003" s="72" t="s">
        <v>17</v>
      </c>
      <c r="T1003" s="80" t="s">
        <v>4</v>
      </c>
      <c r="U1003" s="72" t="s">
        <v>14</v>
      </c>
      <c r="V1003" s="72" t="s">
        <v>1920</v>
      </c>
      <c r="W1003" s="72" t="s">
        <v>1922</v>
      </c>
      <c r="X1003" s="72" t="s">
        <v>2833</v>
      </c>
      <c r="Y1003" s="72" t="s">
        <v>3116</v>
      </c>
      <c r="Z1003" s="72" t="s">
        <v>4</v>
      </c>
      <c r="AA1003" s="146" t="s">
        <v>2833</v>
      </c>
    </row>
    <row r="1004" spans="1:27" ht="18.600000000000001" customHeight="1">
      <c r="A1004" s="139" t="str">
        <f>IF(priority(Main[[#This Row],[Comments]])&lt;&gt;0, priority(Main[[#This Row],[Comments]]),"")</f>
        <v/>
      </c>
      <c r="B1004" s="89" t="s">
        <v>1730</v>
      </c>
      <c r="C1004" s="72" t="s">
        <v>4</v>
      </c>
      <c r="D1004" s="73" t="s">
        <v>785</v>
      </c>
      <c r="E1004" s="74">
        <v>40584.407268518517</v>
      </c>
      <c r="F1004" s="74"/>
      <c r="G1004" s="75" t="str">
        <f>IF(stdProdLT(Main[[#This Row],[Comments]])=0.1,"N/A",IF(stdProdLT(Main[[#This Row],[Comments]])=0,"",stdProdLT(Main[[#This Row],[Comments]])))</f>
        <v/>
      </c>
      <c r="H1004" s="76" t="str">
        <f>IF(AND(Main[[#This Row],[In Stock Date]]&lt;&gt;"",Main[[#This Row],[Revised Due Date]]&lt;&gt;""),Main[[#This Row],[In Stock Date]]-Main[[#This Row],[Revised Due Date]],"")</f>
        <v/>
      </c>
      <c r="I1004" s="72" t="s">
        <v>4</v>
      </c>
      <c r="J1004" s="72" t="s">
        <v>4</v>
      </c>
      <c r="K1004" s="72" t="s">
        <v>4</v>
      </c>
      <c r="L1004" s="74"/>
      <c r="M1004" s="77" t="str">
        <f>IF(Main[[#This Row],[Tech Start Date]]&lt;1/1/1990,"",IF(Main[[#This Row],[Class]]="C",WORKDAY(Main[[#This Row],[Tech Start Date]],9),IF(Main[[#This Row],[Class]]="B", WORKDAY(Main[[#This Row],[Tech Start Date]],6),IF(Main[[#This Row],[Class]]="A",WORKDAY(Main[[#This Row],[Tech Start Date]],2),""))))</f>
        <v/>
      </c>
      <c r="N1004" s="77" t="str">
        <f>IF(Main[[#This Row],[Tech Start Date]]&lt;1/1/1990,"",IF(Main[[#This Row],[Class]]="C",WORKDAY(Main[[#This Row],[Tech Start Date]],19),IF(Main[[#This Row],[Class]]="B", WORKDAY(Main[[#This Row],[Tech Start Date]],12),IF(Main[[#This Row],[Class]]="A",WORKDAY(Main[[#This Row],[Tech Start Date]],4),""))))</f>
        <v/>
      </c>
      <c r="O1004" s="77" t="str">
        <f>IF(Main[[#This Row],[Tech Start Date]]&lt;1/1/1990,"",IF(Main[[#This Row],[Class]]="C",WORKDAY(Main[[#This Row],[Tech Start Date]],23),IF(Main[[#This Row],[Class]]="B", WORKDAY(Main[[#This Row],[Tech Start Date]],15),IF(Main[[#This Row],[Class]]="A",WORKDAY(Main[[#This Row],[Tech Start Date]],5),""))))</f>
        <v/>
      </c>
      <c r="P1004" s="77" t="str">
        <f>IF(Main[[#This Row],[Tech Start Date]]&lt;1/1/1990,"",IF(Main[[#This Row],[Class]]="C",WORKDAY(Main[[#This Row],[Tech Start Date]],28),IF(Main[[#This Row],[Class]]="B", WORKDAY(Main[[#This Row],[Tech Start Date]],19),IF(Main[[#This Row],[Class]]="A",WORKDAY(Main[[#This Row],[Tech Start Date]],9),""))))</f>
        <v/>
      </c>
      <c r="Q1004" s="74">
        <v>40602</v>
      </c>
      <c r="R1004" s="74"/>
      <c r="S1004" s="72" t="s">
        <v>17</v>
      </c>
      <c r="T1004" s="80" t="s">
        <v>4</v>
      </c>
      <c r="U1004" s="72" t="s">
        <v>7</v>
      </c>
      <c r="V1004" s="72" t="s">
        <v>1917</v>
      </c>
      <c r="W1004" s="72" t="s">
        <v>1925</v>
      </c>
      <c r="X1004" s="72" t="s">
        <v>2834</v>
      </c>
      <c r="Y1004" s="72" t="s">
        <v>2956</v>
      </c>
      <c r="Z1004" s="72" t="s">
        <v>4</v>
      </c>
      <c r="AA1004" s="146" t="s">
        <v>2834</v>
      </c>
    </row>
    <row r="1005" spans="1:27" ht="18.600000000000001" customHeight="1">
      <c r="A1005" s="139" t="str">
        <f>IF(priority(Main[[#This Row],[Comments]])&lt;&gt;0, priority(Main[[#This Row],[Comments]]),"")</f>
        <v/>
      </c>
      <c r="B1005" s="89" t="s">
        <v>1788</v>
      </c>
      <c r="C1005" s="72" t="s">
        <v>4</v>
      </c>
      <c r="D1005" s="73" t="s">
        <v>831</v>
      </c>
      <c r="E1005" s="74"/>
      <c r="F1005" s="74"/>
      <c r="G1005" s="75" t="str">
        <f>IF(stdProdLT(Main[[#This Row],[Comments]])=0.1,"N/A",IF(stdProdLT(Main[[#This Row],[Comments]])=0,"",stdProdLT(Main[[#This Row],[Comments]])))</f>
        <v/>
      </c>
      <c r="H1005" s="76" t="str">
        <f>IF(AND(Main[[#This Row],[In Stock Date]]&lt;&gt;"",Main[[#This Row],[Revised Due Date]]&lt;&gt;""),Main[[#This Row],[In Stock Date]]-Main[[#This Row],[Revised Due Date]],"")</f>
        <v/>
      </c>
      <c r="I1005" s="72" t="s">
        <v>4</v>
      </c>
      <c r="J1005" s="72" t="s">
        <v>4</v>
      </c>
      <c r="K1005" s="72" t="s">
        <v>4</v>
      </c>
      <c r="L1005" s="74"/>
      <c r="M1005" s="77" t="str">
        <f>IF(Main[[#This Row],[Tech Start Date]]&lt;1/1/1990,"",IF(Main[[#This Row],[Class]]="C",WORKDAY(Main[[#This Row],[Tech Start Date]],9),IF(Main[[#This Row],[Class]]="B", WORKDAY(Main[[#This Row],[Tech Start Date]],6),IF(Main[[#This Row],[Class]]="A",WORKDAY(Main[[#This Row],[Tech Start Date]],2),""))))</f>
        <v/>
      </c>
      <c r="N1005" s="77" t="str">
        <f>IF(Main[[#This Row],[Tech Start Date]]&lt;1/1/1990,"",IF(Main[[#This Row],[Class]]="C",WORKDAY(Main[[#This Row],[Tech Start Date]],19),IF(Main[[#This Row],[Class]]="B", WORKDAY(Main[[#This Row],[Tech Start Date]],12),IF(Main[[#This Row],[Class]]="A",WORKDAY(Main[[#This Row],[Tech Start Date]],4),""))))</f>
        <v/>
      </c>
      <c r="O1005" s="77" t="str">
        <f>IF(Main[[#This Row],[Tech Start Date]]&lt;1/1/1990,"",IF(Main[[#This Row],[Class]]="C",WORKDAY(Main[[#This Row],[Tech Start Date]],23),IF(Main[[#This Row],[Class]]="B", WORKDAY(Main[[#This Row],[Tech Start Date]],15),IF(Main[[#This Row],[Class]]="A",WORKDAY(Main[[#This Row],[Tech Start Date]],5),""))))</f>
        <v/>
      </c>
      <c r="P1005" s="77" t="str">
        <f>IF(Main[[#This Row],[Tech Start Date]]&lt;1/1/1990,"",IF(Main[[#This Row],[Class]]="C",WORKDAY(Main[[#This Row],[Tech Start Date]],28),IF(Main[[#This Row],[Class]]="B", WORKDAY(Main[[#This Row],[Tech Start Date]],19),IF(Main[[#This Row],[Class]]="A",WORKDAY(Main[[#This Row],[Tech Start Date]],9),""))))</f>
        <v/>
      </c>
      <c r="Q1005" s="74"/>
      <c r="R1005" s="74"/>
      <c r="S1005" s="72" t="s">
        <v>23</v>
      </c>
      <c r="T1005" s="80" t="s">
        <v>4</v>
      </c>
      <c r="U1005" s="72" t="s">
        <v>14</v>
      </c>
      <c r="V1005" s="72" t="s">
        <v>1917</v>
      </c>
      <c r="W1005" s="72" t="s">
        <v>1921</v>
      </c>
      <c r="X1005" s="72" t="s">
        <v>306</v>
      </c>
      <c r="Y1005" s="72" t="s">
        <v>4</v>
      </c>
      <c r="Z1005" s="72" t="s">
        <v>4</v>
      </c>
      <c r="AA1005" s="146" t="s">
        <v>3454</v>
      </c>
    </row>
    <row r="1006" spans="1:27" ht="18.600000000000001" customHeight="1">
      <c r="A1006" s="139" t="str">
        <f>IF(priority(Main[[#This Row],[Comments]])&lt;&gt;0, priority(Main[[#This Row],[Comments]]),"")</f>
        <v/>
      </c>
      <c r="B1006" s="89" t="s">
        <v>1807</v>
      </c>
      <c r="C1006" s="72" t="s">
        <v>95</v>
      </c>
      <c r="D1006" s="73" t="s">
        <v>853</v>
      </c>
      <c r="E1006" s="74">
        <v>40060.34884259259</v>
      </c>
      <c r="F1006" s="74">
        <v>40195</v>
      </c>
      <c r="G1006" s="75" t="str">
        <f>IF(stdProdLT(Main[[#This Row],[Comments]])=0.1,"N/A",IF(stdProdLT(Main[[#This Row],[Comments]])=0,"",stdProdLT(Main[[#This Row],[Comments]])))</f>
        <v/>
      </c>
      <c r="H1006" s="76">
        <f>IF(AND(Main[[#This Row],[In Stock Date]]&lt;&gt;"",Main[[#This Row],[Revised Due Date]]&lt;&gt;""),Main[[#This Row],[In Stock Date]]-Main[[#This Row],[Revised Due Date]],"")</f>
        <v>17</v>
      </c>
      <c r="I1006" s="72" t="s">
        <v>854</v>
      </c>
      <c r="J1006" s="72" t="s">
        <v>4</v>
      </c>
      <c r="K1006" s="72" t="s">
        <v>4</v>
      </c>
      <c r="L1006" s="74"/>
      <c r="M1006" s="77" t="str">
        <f>IF(Main[[#This Row],[Tech Start Date]]&lt;1/1/1990,"",IF(Main[[#This Row],[Class]]="C",WORKDAY(Main[[#This Row],[Tech Start Date]],9),IF(Main[[#This Row],[Class]]="B", WORKDAY(Main[[#This Row],[Tech Start Date]],6),IF(Main[[#This Row],[Class]]="A",WORKDAY(Main[[#This Row],[Tech Start Date]],2),""))))</f>
        <v/>
      </c>
      <c r="N1006" s="77" t="str">
        <f>IF(Main[[#This Row],[Tech Start Date]]&lt;1/1/1990,"",IF(Main[[#This Row],[Class]]="C",WORKDAY(Main[[#This Row],[Tech Start Date]],19),IF(Main[[#This Row],[Class]]="B", WORKDAY(Main[[#This Row],[Tech Start Date]],12),IF(Main[[#This Row],[Class]]="A",WORKDAY(Main[[#This Row],[Tech Start Date]],4),""))))</f>
        <v/>
      </c>
      <c r="O1006" s="77" t="str">
        <f>IF(Main[[#This Row],[Tech Start Date]]&lt;1/1/1990,"",IF(Main[[#This Row],[Class]]="C",WORKDAY(Main[[#This Row],[Tech Start Date]],23),IF(Main[[#This Row],[Class]]="B", WORKDAY(Main[[#This Row],[Tech Start Date]],15),IF(Main[[#This Row],[Class]]="A",WORKDAY(Main[[#This Row],[Tech Start Date]],5),""))))</f>
        <v/>
      </c>
      <c r="P1006" s="77" t="str">
        <f>IF(Main[[#This Row],[Tech Start Date]]&lt;1/1/1990,"",IF(Main[[#This Row],[Class]]="C",WORKDAY(Main[[#This Row],[Tech Start Date]],28),IF(Main[[#This Row],[Class]]="B", WORKDAY(Main[[#This Row],[Tech Start Date]],19),IF(Main[[#This Row],[Class]]="A",WORKDAY(Main[[#This Row],[Tech Start Date]],9),""))))</f>
        <v/>
      </c>
      <c r="Q1006" s="74">
        <v>40080</v>
      </c>
      <c r="R1006" s="74">
        <v>40178</v>
      </c>
      <c r="S1006" s="72" t="s">
        <v>17</v>
      </c>
      <c r="T1006" s="80" t="s">
        <v>4</v>
      </c>
      <c r="U1006" s="72" t="s">
        <v>29</v>
      </c>
      <c r="V1006" s="72" t="s">
        <v>1920</v>
      </c>
      <c r="W1006" s="72" t="s">
        <v>1925</v>
      </c>
      <c r="X1006" s="72" t="s">
        <v>2882</v>
      </c>
      <c r="Y1006" s="72" t="s">
        <v>4</v>
      </c>
      <c r="Z1006" s="72" t="s">
        <v>81</v>
      </c>
      <c r="AA1006" s="146" t="s">
        <v>3418</v>
      </c>
    </row>
    <row r="1007" spans="1:27" ht="18.600000000000001" customHeight="1">
      <c r="A1007" s="139" t="str">
        <f>IF(priority(Main[[#This Row],[Comments]])&lt;&gt;0, priority(Main[[#This Row],[Comments]]),"")</f>
        <v/>
      </c>
      <c r="B1007" s="89" t="s">
        <v>3183</v>
      </c>
      <c r="C1007" s="72" t="s">
        <v>4</v>
      </c>
      <c r="D1007" s="73" t="s">
        <v>3269</v>
      </c>
      <c r="E1007" s="74">
        <v>40919.388969907406</v>
      </c>
      <c r="F1007" s="74"/>
      <c r="G1007" s="75" t="str">
        <f>IF(stdProdLT(Main[[#This Row],[Comments]])=0.1,"N/A",IF(stdProdLT(Main[[#This Row],[Comments]])=0,"",stdProdLT(Main[[#This Row],[Comments]])))</f>
        <v/>
      </c>
      <c r="H1007" s="76" t="str">
        <f>IF(AND(Main[[#This Row],[In Stock Date]]&lt;&gt;"",Main[[#This Row],[Revised Due Date]]&lt;&gt;""),Main[[#This Row],[In Stock Date]]-Main[[#This Row],[Revised Due Date]],"")</f>
        <v/>
      </c>
      <c r="I1007" s="72" t="s">
        <v>30</v>
      </c>
      <c r="J1007" s="72" t="s">
        <v>28</v>
      </c>
      <c r="K1007" s="72" t="s">
        <v>1926</v>
      </c>
      <c r="L1007" s="74"/>
      <c r="M1007" s="77" t="str">
        <f>IF(Main[[#This Row],[Tech Start Date]]&lt;1/1/1990,"",IF(Main[[#This Row],[Class]]="C",WORKDAY(Main[[#This Row],[Tech Start Date]],9),IF(Main[[#This Row],[Class]]="B", WORKDAY(Main[[#This Row],[Tech Start Date]],6),IF(Main[[#This Row],[Class]]="A",WORKDAY(Main[[#This Row],[Tech Start Date]],2),""))))</f>
        <v/>
      </c>
      <c r="N1007" s="77" t="str">
        <f>IF(Main[[#This Row],[Tech Start Date]]&lt;1/1/1990,"",IF(Main[[#This Row],[Class]]="C",WORKDAY(Main[[#This Row],[Tech Start Date]],19),IF(Main[[#This Row],[Class]]="B", WORKDAY(Main[[#This Row],[Tech Start Date]],12),IF(Main[[#This Row],[Class]]="A",WORKDAY(Main[[#This Row],[Tech Start Date]],4),""))))</f>
        <v/>
      </c>
      <c r="O1007" s="77" t="str">
        <f>IF(Main[[#This Row],[Tech Start Date]]&lt;1/1/1990,"",IF(Main[[#This Row],[Class]]="C",WORKDAY(Main[[#This Row],[Tech Start Date]],23),IF(Main[[#This Row],[Class]]="B", WORKDAY(Main[[#This Row],[Tech Start Date]],15),IF(Main[[#This Row],[Class]]="A",WORKDAY(Main[[#This Row],[Tech Start Date]],5),""))))</f>
        <v/>
      </c>
      <c r="P1007" s="77" t="str">
        <f>IF(Main[[#This Row],[Tech Start Date]]&lt;1/1/1990,"",IF(Main[[#This Row],[Class]]="C",WORKDAY(Main[[#This Row],[Tech Start Date]],28),IF(Main[[#This Row],[Class]]="B", WORKDAY(Main[[#This Row],[Tech Start Date]],19),IF(Main[[#This Row],[Class]]="A",WORKDAY(Main[[#This Row],[Tech Start Date]],9),""))))</f>
        <v/>
      </c>
      <c r="Q1007" s="74">
        <v>40928</v>
      </c>
      <c r="R1007" s="74"/>
      <c r="S1007" s="72" t="s">
        <v>6</v>
      </c>
      <c r="T1007" s="80" t="s">
        <v>4</v>
      </c>
      <c r="U1007" s="72" t="s">
        <v>29</v>
      </c>
      <c r="V1007" s="72" t="s">
        <v>1920</v>
      </c>
      <c r="W1007" s="72" t="s">
        <v>1921</v>
      </c>
      <c r="X1007" s="72" t="s">
        <v>2909</v>
      </c>
      <c r="Y1007" s="72" t="s">
        <v>3089</v>
      </c>
      <c r="Z1007" s="72" t="s">
        <v>30</v>
      </c>
      <c r="AA1007" s="146" t="s">
        <v>2909</v>
      </c>
    </row>
    <row r="1008" spans="1:27" ht="18.600000000000001" customHeight="1">
      <c r="A1008" s="139" t="str">
        <f>IF(priority(Main[[#This Row],[Comments]])&lt;&gt;0, priority(Main[[#This Row],[Comments]]),"")</f>
        <v/>
      </c>
      <c r="B1008" s="89" t="s">
        <v>2131</v>
      </c>
      <c r="C1008" s="72" t="s">
        <v>953</v>
      </c>
      <c r="D1008" s="73" t="s">
        <v>2132</v>
      </c>
      <c r="E1008" s="74"/>
      <c r="F1008" s="74">
        <v>40871</v>
      </c>
      <c r="G1008" s="75" t="str">
        <f>IF(stdProdLT(Main[[#This Row],[Comments]])=0.1,"N/A",IF(stdProdLT(Main[[#This Row],[Comments]])=0,"",stdProdLT(Main[[#This Row],[Comments]])))</f>
        <v/>
      </c>
      <c r="H1008" s="76" t="str">
        <f>IF(AND(Main[[#This Row],[In Stock Date]]&lt;&gt;"",Main[[#This Row],[Revised Due Date]]&lt;&gt;""),Main[[#This Row],[In Stock Date]]-Main[[#This Row],[Revised Due Date]],"")</f>
        <v/>
      </c>
      <c r="I1008" s="72" t="s">
        <v>399</v>
      </c>
      <c r="J1008" s="72" t="s">
        <v>51</v>
      </c>
      <c r="K1008" s="72" t="s">
        <v>1926</v>
      </c>
      <c r="L1008" s="74"/>
      <c r="M1008" s="77" t="str">
        <f>IF(Main[[#This Row],[Tech Start Date]]&lt;1/1/1990,"",IF(Main[[#This Row],[Class]]="C",WORKDAY(Main[[#This Row],[Tech Start Date]],9),IF(Main[[#This Row],[Class]]="B", WORKDAY(Main[[#This Row],[Tech Start Date]],6),IF(Main[[#This Row],[Class]]="A",WORKDAY(Main[[#This Row],[Tech Start Date]],2),""))))</f>
        <v/>
      </c>
      <c r="N1008" s="77" t="str">
        <f>IF(Main[[#This Row],[Tech Start Date]]&lt;1/1/1990,"",IF(Main[[#This Row],[Class]]="C",WORKDAY(Main[[#This Row],[Tech Start Date]],19),IF(Main[[#This Row],[Class]]="B", WORKDAY(Main[[#This Row],[Tech Start Date]],12),IF(Main[[#This Row],[Class]]="A",WORKDAY(Main[[#This Row],[Tech Start Date]],4),""))))</f>
        <v/>
      </c>
      <c r="O1008" s="77" t="str">
        <f>IF(Main[[#This Row],[Tech Start Date]]&lt;1/1/1990,"",IF(Main[[#This Row],[Class]]="C",WORKDAY(Main[[#This Row],[Tech Start Date]],23),IF(Main[[#This Row],[Class]]="B", WORKDAY(Main[[#This Row],[Tech Start Date]],15),IF(Main[[#This Row],[Class]]="A",WORKDAY(Main[[#This Row],[Tech Start Date]],5),""))))</f>
        <v/>
      </c>
      <c r="P1008" s="77" t="str">
        <f>IF(Main[[#This Row],[Tech Start Date]]&lt;1/1/1990,"",IF(Main[[#This Row],[Class]]="C",WORKDAY(Main[[#This Row],[Tech Start Date]],28),IF(Main[[#This Row],[Class]]="B", WORKDAY(Main[[#This Row],[Tech Start Date]],19),IF(Main[[#This Row],[Class]]="A",WORKDAY(Main[[#This Row],[Tech Start Date]],9),""))))</f>
        <v/>
      </c>
      <c r="Q1008" s="74"/>
      <c r="R1008" s="74"/>
      <c r="S1008" s="72" t="s">
        <v>11</v>
      </c>
      <c r="T1008" s="80" t="s">
        <v>4</v>
      </c>
      <c r="U1008" s="72" t="s">
        <v>14</v>
      </c>
      <c r="V1008" s="72" t="s">
        <v>1917</v>
      </c>
      <c r="W1008" s="72" t="s">
        <v>1923</v>
      </c>
      <c r="X1008" s="72" t="s">
        <v>50</v>
      </c>
      <c r="Y1008" s="72" t="s">
        <v>2967</v>
      </c>
      <c r="Z1008" s="72" t="s">
        <v>306</v>
      </c>
      <c r="AA1008" s="146" t="s">
        <v>50</v>
      </c>
    </row>
    <row r="1009" spans="1:27" ht="18.600000000000001" customHeight="1">
      <c r="A1009" s="139" t="str">
        <f>IF(priority(Main[[#This Row],[Comments]])&lt;&gt;0, priority(Main[[#This Row],[Comments]]),"")</f>
        <v/>
      </c>
      <c r="B1009" s="89" t="s">
        <v>2133</v>
      </c>
      <c r="C1009" s="72" t="s">
        <v>953</v>
      </c>
      <c r="D1009" s="73" t="s">
        <v>2134</v>
      </c>
      <c r="E1009" s="74"/>
      <c r="F1009" s="74">
        <v>40871</v>
      </c>
      <c r="G1009" s="75" t="str">
        <f>IF(stdProdLT(Main[[#This Row],[Comments]])=0.1,"N/A",IF(stdProdLT(Main[[#This Row],[Comments]])=0,"",stdProdLT(Main[[#This Row],[Comments]])))</f>
        <v/>
      </c>
      <c r="H1009" s="76" t="str">
        <f>IF(AND(Main[[#This Row],[In Stock Date]]&lt;&gt;"",Main[[#This Row],[Revised Due Date]]&lt;&gt;""),Main[[#This Row],[In Stock Date]]-Main[[#This Row],[Revised Due Date]],"")</f>
        <v/>
      </c>
      <c r="I1009" s="72" t="s">
        <v>4</v>
      </c>
      <c r="J1009" s="72" t="s">
        <v>4</v>
      </c>
      <c r="K1009" s="72" t="s">
        <v>4</v>
      </c>
      <c r="L1009" s="74"/>
      <c r="M1009" s="77" t="str">
        <f>IF(Main[[#This Row],[Tech Start Date]]&lt;1/1/1990,"",IF(Main[[#This Row],[Class]]="C",WORKDAY(Main[[#This Row],[Tech Start Date]],9),IF(Main[[#This Row],[Class]]="B", WORKDAY(Main[[#This Row],[Tech Start Date]],6),IF(Main[[#This Row],[Class]]="A",WORKDAY(Main[[#This Row],[Tech Start Date]],2),""))))</f>
        <v/>
      </c>
      <c r="N1009" s="77" t="str">
        <f>IF(Main[[#This Row],[Tech Start Date]]&lt;1/1/1990,"",IF(Main[[#This Row],[Class]]="C",WORKDAY(Main[[#This Row],[Tech Start Date]],19),IF(Main[[#This Row],[Class]]="B", WORKDAY(Main[[#This Row],[Tech Start Date]],12),IF(Main[[#This Row],[Class]]="A",WORKDAY(Main[[#This Row],[Tech Start Date]],4),""))))</f>
        <v/>
      </c>
      <c r="O1009" s="77" t="str">
        <f>IF(Main[[#This Row],[Tech Start Date]]&lt;1/1/1990,"",IF(Main[[#This Row],[Class]]="C",WORKDAY(Main[[#This Row],[Tech Start Date]],23),IF(Main[[#This Row],[Class]]="B", WORKDAY(Main[[#This Row],[Tech Start Date]],15),IF(Main[[#This Row],[Class]]="A",WORKDAY(Main[[#This Row],[Tech Start Date]],5),""))))</f>
        <v/>
      </c>
      <c r="P1009" s="77" t="str">
        <f>IF(Main[[#This Row],[Tech Start Date]]&lt;1/1/1990,"",IF(Main[[#This Row],[Class]]="C",WORKDAY(Main[[#This Row],[Tech Start Date]],28),IF(Main[[#This Row],[Class]]="B", WORKDAY(Main[[#This Row],[Tech Start Date]],19),IF(Main[[#This Row],[Class]]="A",WORKDAY(Main[[#This Row],[Tech Start Date]],9),""))))</f>
        <v/>
      </c>
      <c r="Q1009" s="74"/>
      <c r="R1009" s="74"/>
      <c r="S1009" s="72" t="s">
        <v>11</v>
      </c>
      <c r="T1009" s="80" t="s">
        <v>4</v>
      </c>
      <c r="U1009" s="72" t="s">
        <v>14</v>
      </c>
      <c r="V1009" s="72" t="s">
        <v>1920</v>
      </c>
      <c r="W1009" s="72" t="s">
        <v>1925</v>
      </c>
      <c r="X1009" s="72" t="s">
        <v>50</v>
      </c>
      <c r="Y1009" s="72" t="s">
        <v>2967</v>
      </c>
      <c r="Z1009" s="72" t="s">
        <v>4</v>
      </c>
      <c r="AA1009" s="146" t="s">
        <v>50</v>
      </c>
    </row>
    <row r="1010" spans="1:27" ht="18.600000000000001" customHeight="1">
      <c r="A1010" s="139" t="str">
        <f>IF(priority(Main[[#This Row],[Comments]])&lt;&gt;0, priority(Main[[#This Row],[Comments]]),"")</f>
        <v/>
      </c>
      <c r="B1010" s="89" t="s">
        <v>2128</v>
      </c>
      <c r="C1010" s="72" t="s">
        <v>4</v>
      </c>
      <c r="D1010" s="73" t="s">
        <v>3637</v>
      </c>
      <c r="E1010" s="74">
        <v>40764.690844907411</v>
      </c>
      <c r="F1010" s="74"/>
      <c r="G1010" s="75" t="str">
        <f>IF(stdProdLT(Main[[#This Row],[Comments]])=0.1,"N/A",IF(stdProdLT(Main[[#This Row],[Comments]])=0,"",stdProdLT(Main[[#This Row],[Comments]])))</f>
        <v/>
      </c>
      <c r="H1010" s="76" t="str">
        <f>IF(AND(Main[[#This Row],[In Stock Date]]&lt;&gt;"",Main[[#This Row],[Revised Due Date]]&lt;&gt;""),Main[[#This Row],[In Stock Date]]-Main[[#This Row],[Revised Due Date]],"")</f>
        <v/>
      </c>
      <c r="I1010" s="72" t="s">
        <v>2214</v>
      </c>
      <c r="J1010" s="72" t="s">
        <v>4</v>
      </c>
      <c r="K1010" s="72" t="s">
        <v>4</v>
      </c>
      <c r="L1010" s="74"/>
      <c r="M1010" s="77" t="str">
        <f>IF(Main[[#This Row],[Tech Start Date]]&lt;1/1/1990,"",IF(Main[[#This Row],[Class]]="C",WORKDAY(Main[[#This Row],[Tech Start Date]],9),IF(Main[[#This Row],[Class]]="B", WORKDAY(Main[[#This Row],[Tech Start Date]],6),IF(Main[[#This Row],[Class]]="A",WORKDAY(Main[[#This Row],[Tech Start Date]],2),""))))</f>
        <v/>
      </c>
      <c r="N1010" s="77" t="str">
        <f>IF(Main[[#This Row],[Tech Start Date]]&lt;1/1/1990,"",IF(Main[[#This Row],[Class]]="C",WORKDAY(Main[[#This Row],[Tech Start Date]],19),IF(Main[[#This Row],[Class]]="B", WORKDAY(Main[[#This Row],[Tech Start Date]],12),IF(Main[[#This Row],[Class]]="A",WORKDAY(Main[[#This Row],[Tech Start Date]],4),""))))</f>
        <v/>
      </c>
      <c r="O1010" s="77" t="str">
        <f>IF(Main[[#This Row],[Tech Start Date]]&lt;1/1/1990,"",IF(Main[[#This Row],[Class]]="C",WORKDAY(Main[[#This Row],[Tech Start Date]],23),IF(Main[[#This Row],[Class]]="B", WORKDAY(Main[[#This Row],[Tech Start Date]],15),IF(Main[[#This Row],[Class]]="A",WORKDAY(Main[[#This Row],[Tech Start Date]],5),""))))</f>
        <v/>
      </c>
      <c r="P1010" s="77" t="str">
        <f>IF(Main[[#This Row],[Tech Start Date]]&lt;1/1/1990,"",IF(Main[[#This Row],[Class]]="C",WORKDAY(Main[[#This Row],[Tech Start Date]],28),IF(Main[[#This Row],[Class]]="B", WORKDAY(Main[[#This Row],[Tech Start Date]],19),IF(Main[[#This Row],[Class]]="A",WORKDAY(Main[[#This Row],[Tech Start Date]],9),""))))</f>
        <v/>
      </c>
      <c r="Q1010" s="74"/>
      <c r="R1010" s="74"/>
      <c r="S1010" s="72" t="s">
        <v>6</v>
      </c>
      <c r="T1010" s="80" t="s">
        <v>4</v>
      </c>
      <c r="U1010" s="72" t="s">
        <v>7</v>
      </c>
      <c r="V1010" s="72" t="s">
        <v>1932</v>
      </c>
      <c r="W1010" s="72" t="s">
        <v>1919</v>
      </c>
      <c r="X1010" s="72" t="s">
        <v>306</v>
      </c>
      <c r="Y1010" s="72" t="s">
        <v>4</v>
      </c>
      <c r="Z1010" s="72" t="s">
        <v>2214</v>
      </c>
      <c r="AA1010" s="146" t="s">
        <v>4</v>
      </c>
    </row>
    <row r="1011" spans="1:27" ht="18.600000000000001" customHeight="1">
      <c r="A1011" s="139" t="str">
        <f>IF(priority(Main[[#This Row],[Comments]])&lt;&gt;0, priority(Main[[#This Row],[Comments]]),"")</f>
        <v/>
      </c>
      <c r="B1011" s="89" t="s">
        <v>3536</v>
      </c>
      <c r="C1011" s="72" t="s">
        <v>4</v>
      </c>
      <c r="D1011" s="73" t="s">
        <v>3537</v>
      </c>
      <c r="E1011" s="74"/>
      <c r="F1011" s="74"/>
      <c r="G1011" s="75" t="str">
        <f>IF(stdProdLT(Main[[#This Row],[Comments]])=0.1,"N/A",IF(stdProdLT(Main[[#This Row],[Comments]])=0,"",stdProdLT(Main[[#This Row],[Comments]])))</f>
        <v/>
      </c>
      <c r="H1011" s="76" t="str">
        <f>IF(AND(Main[[#This Row],[In Stock Date]]&lt;&gt;"",Main[[#This Row],[Revised Due Date]]&lt;&gt;""),Main[[#This Row],[In Stock Date]]-Main[[#This Row],[Revised Due Date]],"")</f>
        <v/>
      </c>
      <c r="I1011" s="72" t="s">
        <v>4</v>
      </c>
      <c r="J1011" s="72" t="s">
        <v>4</v>
      </c>
      <c r="K1011" s="72" t="s">
        <v>4</v>
      </c>
      <c r="L1011" s="74"/>
      <c r="M1011" s="77" t="str">
        <f>IF(Main[[#This Row],[Tech Start Date]]&lt;1/1/1990,"",IF(Main[[#This Row],[Class]]="C",WORKDAY(Main[[#This Row],[Tech Start Date]],9),IF(Main[[#This Row],[Class]]="B", WORKDAY(Main[[#This Row],[Tech Start Date]],6),IF(Main[[#This Row],[Class]]="A",WORKDAY(Main[[#This Row],[Tech Start Date]],2),""))))</f>
        <v/>
      </c>
      <c r="N1011" s="77" t="str">
        <f>IF(Main[[#This Row],[Tech Start Date]]&lt;1/1/1990,"",IF(Main[[#This Row],[Class]]="C",WORKDAY(Main[[#This Row],[Tech Start Date]],19),IF(Main[[#This Row],[Class]]="B", WORKDAY(Main[[#This Row],[Tech Start Date]],12),IF(Main[[#This Row],[Class]]="A",WORKDAY(Main[[#This Row],[Tech Start Date]],4),""))))</f>
        <v/>
      </c>
      <c r="O1011" s="77" t="str">
        <f>IF(Main[[#This Row],[Tech Start Date]]&lt;1/1/1990,"",IF(Main[[#This Row],[Class]]="C",WORKDAY(Main[[#This Row],[Tech Start Date]],23),IF(Main[[#This Row],[Class]]="B", WORKDAY(Main[[#This Row],[Tech Start Date]],15),IF(Main[[#This Row],[Class]]="A",WORKDAY(Main[[#This Row],[Tech Start Date]],5),""))))</f>
        <v/>
      </c>
      <c r="P1011" s="77" t="str">
        <f>IF(Main[[#This Row],[Tech Start Date]]&lt;1/1/1990,"",IF(Main[[#This Row],[Class]]="C",WORKDAY(Main[[#This Row],[Tech Start Date]],28),IF(Main[[#This Row],[Class]]="B", WORKDAY(Main[[#This Row],[Tech Start Date]],19),IF(Main[[#This Row],[Class]]="A",WORKDAY(Main[[#This Row],[Tech Start Date]],9),""))))</f>
        <v/>
      </c>
      <c r="Q1011" s="74"/>
      <c r="R1011" s="74"/>
      <c r="S1011" s="72" t="s">
        <v>6</v>
      </c>
      <c r="T1011" s="80" t="s">
        <v>4</v>
      </c>
      <c r="U1011" s="72" t="s">
        <v>14</v>
      </c>
      <c r="V1011" s="72" t="s">
        <v>2288</v>
      </c>
      <c r="W1011" s="72" t="s">
        <v>1921</v>
      </c>
      <c r="X1011" s="72" t="s">
        <v>2847</v>
      </c>
      <c r="Y1011" s="72" t="s">
        <v>2977</v>
      </c>
      <c r="Z1011" s="72" t="s">
        <v>4</v>
      </c>
      <c r="AA1011" s="146" t="s">
        <v>2847</v>
      </c>
    </row>
    <row r="1012" spans="1:27" ht="18.600000000000001" customHeight="1">
      <c r="A1012" s="139" t="str">
        <f>IF(priority(Main[[#This Row],[Comments]])&lt;&gt;0, priority(Main[[#This Row],[Comments]]),"")</f>
        <v/>
      </c>
      <c r="B1012" s="89" t="s">
        <v>2517</v>
      </c>
      <c r="C1012" s="72" t="s">
        <v>47</v>
      </c>
      <c r="D1012" s="73" t="s">
        <v>3511</v>
      </c>
      <c r="E1012" s="74">
        <v>40857.653622685182</v>
      </c>
      <c r="F1012" s="74"/>
      <c r="G1012" s="75" t="str">
        <f>IF(stdProdLT(Main[[#This Row],[Comments]])=0.1,"N/A",IF(stdProdLT(Main[[#This Row],[Comments]])=0,"",stdProdLT(Main[[#This Row],[Comments]])))</f>
        <v/>
      </c>
      <c r="H1012" s="76" t="str">
        <f>IF(AND(Main[[#This Row],[In Stock Date]]&lt;&gt;"",Main[[#This Row],[Revised Due Date]]&lt;&gt;""),Main[[#This Row],[In Stock Date]]-Main[[#This Row],[Revised Due Date]],"")</f>
        <v/>
      </c>
      <c r="I1012" s="72" t="s">
        <v>4</v>
      </c>
      <c r="J1012" s="72" t="s">
        <v>4</v>
      </c>
      <c r="K1012" s="72" t="s">
        <v>4</v>
      </c>
      <c r="L1012" s="74"/>
      <c r="M1012" s="77" t="str">
        <f>IF(Main[[#This Row],[Tech Start Date]]&lt;1/1/1990,"",IF(Main[[#This Row],[Class]]="C",WORKDAY(Main[[#This Row],[Tech Start Date]],9),IF(Main[[#This Row],[Class]]="B", WORKDAY(Main[[#This Row],[Tech Start Date]],6),IF(Main[[#This Row],[Class]]="A",WORKDAY(Main[[#This Row],[Tech Start Date]],2),""))))</f>
        <v/>
      </c>
      <c r="N1012" s="77" t="str">
        <f>IF(Main[[#This Row],[Tech Start Date]]&lt;1/1/1990,"",IF(Main[[#This Row],[Class]]="C",WORKDAY(Main[[#This Row],[Tech Start Date]],19),IF(Main[[#This Row],[Class]]="B", WORKDAY(Main[[#This Row],[Tech Start Date]],12),IF(Main[[#This Row],[Class]]="A",WORKDAY(Main[[#This Row],[Tech Start Date]],4),""))))</f>
        <v/>
      </c>
      <c r="O1012" s="77" t="str">
        <f>IF(Main[[#This Row],[Tech Start Date]]&lt;1/1/1990,"",IF(Main[[#This Row],[Class]]="C",WORKDAY(Main[[#This Row],[Tech Start Date]],23),IF(Main[[#This Row],[Class]]="B", WORKDAY(Main[[#This Row],[Tech Start Date]],15),IF(Main[[#This Row],[Class]]="A",WORKDAY(Main[[#This Row],[Tech Start Date]],5),""))))</f>
        <v/>
      </c>
      <c r="P1012" s="77" t="str">
        <f>IF(Main[[#This Row],[Tech Start Date]]&lt;1/1/1990,"",IF(Main[[#This Row],[Class]]="C",WORKDAY(Main[[#This Row],[Tech Start Date]],28),IF(Main[[#This Row],[Class]]="B", WORKDAY(Main[[#This Row],[Tech Start Date]],19),IF(Main[[#This Row],[Class]]="A",WORKDAY(Main[[#This Row],[Tech Start Date]],9),""))))</f>
        <v/>
      </c>
      <c r="Q1012" s="74">
        <v>40892</v>
      </c>
      <c r="R1012" s="74"/>
      <c r="S1012" s="72" t="s">
        <v>6</v>
      </c>
      <c r="T1012" s="80" t="s">
        <v>4</v>
      </c>
      <c r="U1012" s="72" t="s">
        <v>29</v>
      </c>
      <c r="V1012" s="72" t="s">
        <v>2288</v>
      </c>
      <c r="W1012" s="72" t="s">
        <v>4</v>
      </c>
      <c r="X1012" s="72" t="s">
        <v>2871</v>
      </c>
      <c r="Y1012" s="72" t="s">
        <v>3016</v>
      </c>
      <c r="Z1012" s="72" t="s">
        <v>4</v>
      </c>
      <c r="AA1012" s="146" t="s">
        <v>2871</v>
      </c>
    </row>
    <row r="1013" spans="1:27" ht="18.600000000000001" customHeight="1">
      <c r="A1013" s="139" t="str">
        <f>IF(priority(Main[[#This Row],[Comments]])&lt;&gt;0, priority(Main[[#This Row],[Comments]]),"")</f>
        <v/>
      </c>
      <c r="B1013" s="89" t="s">
        <v>2118</v>
      </c>
      <c r="C1013" s="72" t="s">
        <v>4</v>
      </c>
      <c r="D1013" s="73" t="s">
        <v>2119</v>
      </c>
      <c r="E1013" s="74"/>
      <c r="F1013" s="74"/>
      <c r="G1013" s="75" t="str">
        <f>IF(stdProdLT(Main[[#This Row],[Comments]])=0.1,"N/A",IF(stdProdLT(Main[[#This Row],[Comments]])=0,"",stdProdLT(Main[[#This Row],[Comments]])))</f>
        <v/>
      </c>
      <c r="H1013" s="76" t="str">
        <f>IF(AND(Main[[#This Row],[In Stock Date]]&lt;&gt;"",Main[[#This Row],[Revised Due Date]]&lt;&gt;""),Main[[#This Row],[In Stock Date]]-Main[[#This Row],[Revised Due Date]],"")</f>
        <v/>
      </c>
      <c r="I1013" s="72" t="s">
        <v>69</v>
      </c>
      <c r="J1013" s="72" t="s">
        <v>70</v>
      </c>
      <c r="K1013" s="81" t="s">
        <v>1926</v>
      </c>
      <c r="L1013" s="74"/>
      <c r="M1013" s="77" t="str">
        <f>IF(Main[[#This Row],[Tech Start Date]]&lt;1/1/1990,"",IF(Main[[#This Row],[Class]]="C",WORKDAY(Main[[#This Row],[Tech Start Date]],9),IF(Main[[#This Row],[Class]]="B", WORKDAY(Main[[#This Row],[Tech Start Date]],6),IF(Main[[#This Row],[Class]]="A",WORKDAY(Main[[#This Row],[Tech Start Date]],2),""))))</f>
        <v/>
      </c>
      <c r="N1013" s="77" t="str">
        <f>IF(Main[[#This Row],[Tech Start Date]]&lt;1/1/1990,"",IF(Main[[#This Row],[Class]]="C",WORKDAY(Main[[#This Row],[Tech Start Date]],19),IF(Main[[#This Row],[Class]]="B", WORKDAY(Main[[#This Row],[Tech Start Date]],12),IF(Main[[#This Row],[Class]]="A",WORKDAY(Main[[#This Row],[Tech Start Date]],4),""))))</f>
        <v/>
      </c>
      <c r="O1013" s="77" t="str">
        <f>IF(Main[[#This Row],[Tech Start Date]]&lt;1/1/1990,"",IF(Main[[#This Row],[Class]]="C",WORKDAY(Main[[#This Row],[Tech Start Date]],23),IF(Main[[#This Row],[Class]]="B", WORKDAY(Main[[#This Row],[Tech Start Date]],15),IF(Main[[#This Row],[Class]]="A",WORKDAY(Main[[#This Row],[Tech Start Date]],5),""))))</f>
        <v/>
      </c>
      <c r="P1013" s="77" t="str">
        <f>IF(Main[[#This Row],[Tech Start Date]]&lt;1/1/1990,"",IF(Main[[#This Row],[Class]]="C",WORKDAY(Main[[#This Row],[Tech Start Date]],28),IF(Main[[#This Row],[Class]]="B", WORKDAY(Main[[#This Row],[Tech Start Date]],19),IF(Main[[#This Row],[Class]]="A",WORKDAY(Main[[#This Row],[Tech Start Date]],9),""))))</f>
        <v/>
      </c>
      <c r="Q1013" s="74">
        <v>40816</v>
      </c>
      <c r="R1013" s="74"/>
      <c r="S1013" s="72" t="s">
        <v>6</v>
      </c>
      <c r="T1013" s="80" t="s">
        <v>4</v>
      </c>
      <c r="U1013" s="72" t="s">
        <v>14</v>
      </c>
      <c r="V1013" s="72" t="s">
        <v>1920</v>
      </c>
      <c r="W1013" s="72" t="s">
        <v>1921</v>
      </c>
      <c r="X1013" s="72" t="s">
        <v>306</v>
      </c>
      <c r="Y1013" s="72" t="s">
        <v>3117</v>
      </c>
      <c r="Z1013" s="72" t="s">
        <v>30</v>
      </c>
      <c r="AA1013" s="146" t="s">
        <v>3398</v>
      </c>
    </row>
    <row r="1014" spans="1:27" ht="18.600000000000001" customHeight="1">
      <c r="A1014" s="139" t="str">
        <f>IF(priority(Main[[#This Row],[Comments]])&lt;&gt;0, priority(Main[[#This Row],[Comments]]),"")</f>
        <v/>
      </c>
      <c r="B1014" s="89" t="s">
        <v>2185</v>
      </c>
      <c r="C1014" s="72" t="s">
        <v>4</v>
      </c>
      <c r="D1014" s="73" t="s">
        <v>2186</v>
      </c>
      <c r="E1014" s="74">
        <v>40784.630833333336</v>
      </c>
      <c r="F1014" s="74">
        <v>41153</v>
      </c>
      <c r="G1014" s="75" t="str">
        <f>IF(stdProdLT(Main[[#This Row],[Comments]])=0.1,"N/A",IF(stdProdLT(Main[[#This Row],[Comments]])=0,"",stdProdLT(Main[[#This Row],[Comments]])))</f>
        <v/>
      </c>
      <c r="H1014" s="76" t="str">
        <f>IF(AND(Main[[#This Row],[In Stock Date]]&lt;&gt;"",Main[[#This Row],[Revised Due Date]]&lt;&gt;""),Main[[#This Row],[In Stock Date]]-Main[[#This Row],[Revised Due Date]],"")</f>
        <v/>
      </c>
      <c r="I1014" s="72" t="s">
        <v>4</v>
      </c>
      <c r="J1014" s="72" t="s">
        <v>4</v>
      </c>
      <c r="K1014" s="81" t="s">
        <v>4</v>
      </c>
      <c r="L1014" s="74"/>
      <c r="M1014" s="77" t="str">
        <f>IF(Main[[#This Row],[Tech Start Date]]&lt;1/1/1990,"",IF(Main[[#This Row],[Class]]="C",WORKDAY(Main[[#This Row],[Tech Start Date]],9),IF(Main[[#This Row],[Class]]="B", WORKDAY(Main[[#This Row],[Tech Start Date]],6),IF(Main[[#This Row],[Class]]="A",WORKDAY(Main[[#This Row],[Tech Start Date]],2),""))))</f>
        <v/>
      </c>
      <c r="N1014" s="77" t="str">
        <f>IF(Main[[#This Row],[Tech Start Date]]&lt;1/1/1990,"",IF(Main[[#This Row],[Class]]="C",WORKDAY(Main[[#This Row],[Tech Start Date]],19),IF(Main[[#This Row],[Class]]="B", WORKDAY(Main[[#This Row],[Tech Start Date]],12),IF(Main[[#This Row],[Class]]="A",WORKDAY(Main[[#This Row],[Tech Start Date]],4),""))))</f>
        <v/>
      </c>
      <c r="O1014" s="77" t="str">
        <f>IF(Main[[#This Row],[Tech Start Date]]&lt;1/1/1990,"",IF(Main[[#This Row],[Class]]="C",WORKDAY(Main[[#This Row],[Tech Start Date]],23),IF(Main[[#This Row],[Class]]="B", WORKDAY(Main[[#This Row],[Tech Start Date]],15),IF(Main[[#This Row],[Class]]="A",WORKDAY(Main[[#This Row],[Tech Start Date]],5),""))))</f>
        <v/>
      </c>
      <c r="P1014" s="77" t="str">
        <f>IF(Main[[#This Row],[Tech Start Date]]&lt;1/1/1990,"",IF(Main[[#This Row],[Class]]="C",WORKDAY(Main[[#This Row],[Tech Start Date]],28),IF(Main[[#This Row],[Class]]="B", WORKDAY(Main[[#This Row],[Tech Start Date]],19),IF(Main[[#This Row],[Class]]="A",WORKDAY(Main[[#This Row],[Tech Start Date]],9),""))))</f>
        <v/>
      </c>
      <c r="Q1014" s="74"/>
      <c r="R1014" s="74"/>
      <c r="S1014" s="72" t="s">
        <v>17</v>
      </c>
      <c r="T1014" s="80" t="s">
        <v>4</v>
      </c>
      <c r="U1014" s="72" t="s">
        <v>7</v>
      </c>
      <c r="V1014" s="72" t="s">
        <v>1920</v>
      </c>
      <c r="W1014" s="72" t="s">
        <v>1922</v>
      </c>
      <c r="X1014" s="72" t="s">
        <v>2891</v>
      </c>
      <c r="Y1014" s="72" t="s">
        <v>3047</v>
      </c>
      <c r="Z1014" s="72" t="s">
        <v>4</v>
      </c>
      <c r="AA1014" s="146" t="s">
        <v>2891</v>
      </c>
    </row>
    <row r="1015" spans="1:27" ht="18.600000000000001" customHeight="1">
      <c r="A1015" s="139" t="str">
        <f>IF(priority(Main[[#This Row],[Comments]])&lt;&gt;0, priority(Main[[#This Row],[Comments]]),"")</f>
        <v/>
      </c>
      <c r="B1015" s="89" t="s">
        <v>2062</v>
      </c>
      <c r="C1015" s="72" t="s">
        <v>4</v>
      </c>
      <c r="D1015" s="73" t="s">
        <v>2063</v>
      </c>
      <c r="E1015" s="74">
        <v>40758.348310185182</v>
      </c>
      <c r="F1015" s="74"/>
      <c r="G1015" s="75" t="str">
        <f>IF(stdProdLT(Main[[#This Row],[Comments]])=0.1,"N/A",IF(stdProdLT(Main[[#This Row],[Comments]])=0,"",stdProdLT(Main[[#This Row],[Comments]])))</f>
        <v/>
      </c>
      <c r="H1015" s="76" t="str">
        <f>IF(AND(Main[[#This Row],[In Stock Date]]&lt;&gt;"",Main[[#This Row],[Revised Due Date]]&lt;&gt;""),Main[[#This Row],[In Stock Date]]-Main[[#This Row],[Revised Due Date]],"")</f>
        <v/>
      </c>
      <c r="I1015" s="72" t="s">
        <v>415</v>
      </c>
      <c r="J1015" s="72" t="s">
        <v>28</v>
      </c>
      <c r="K1015" s="72" t="s">
        <v>1924</v>
      </c>
      <c r="L1015" s="74"/>
      <c r="M1015" s="77" t="str">
        <f>IF(Main[[#This Row],[Tech Start Date]]&lt;1/1/1990,"",IF(Main[[#This Row],[Class]]="C",WORKDAY(Main[[#This Row],[Tech Start Date]],9),IF(Main[[#This Row],[Class]]="B", WORKDAY(Main[[#This Row],[Tech Start Date]],6),IF(Main[[#This Row],[Class]]="A",WORKDAY(Main[[#This Row],[Tech Start Date]],2),""))))</f>
        <v/>
      </c>
      <c r="N1015" s="77" t="str">
        <f>IF(Main[[#This Row],[Tech Start Date]]&lt;1/1/1990,"",IF(Main[[#This Row],[Class]]="C",WORKDAY(Main[[#This Row],[Tech Start Date]],19),IF(Main[[#This Row],[Class]]="B", WORKDAY(Main[[#This Row],[Tech Start Date]],12),IF(Main[[#This Row],[Class]]="A",WORKDAY(Main[[#This Row],[Tech Start Date]],4),""))))</f>
        <v/>
      </c>
      <c r="O1015" s="77" t="str">
        <f>IF(Main[[#This Row],[Tech Start Date]]&lt;1/1/1990,"",IF(Main[[#This Row],[Class]]="C",WORKDAY(Main[[#This Row],[Tech Start Date]],23),IF(Main[[#This Row],[Class]]="B", WORKDAY(Main[[#This Row],[Tech Start Date]],15),IF(Main[[#This Row],[Class]]="A",WORKDAY(Main[[#This Row],[Tech Start Date]],5),""))))</f>
        <v/>
      </c>
      <c r="P1015" s="77" t="str">
        <f>IF(Main[[#This Row],[Tech Start Date]]&lt;1/1/1990,"",IF(Main[[#This Row],[Class]]="C",WORKDAY(Main[[#This Row],[Tech Start Date]],28),IF(Main[[#This Row],[Class]]="B", WORKDAY(Main[[#This Row],[Tech Start Date]],19),IF(Main[[#This Row],[Class]]="A",WORKDAY(Main[[#This Row],[Tech Start Date]],9),""))))</f>
        <v/>
      </c>
      <c r="Q1015" s="74"/>
      <c r="R1015" s="74"/>
      <c r="S1015" s="72" t="s">
        <v>6</v>
      </c>
      <c r="T1015" s="80" t="s">
        <v>4</v>
      </c>
      <c r="U1015" s="72" t="s">
        <v>29</v>
      </c>
      <c r="V1015" s="72" t="s">
        <v>1920</v>
      </c>
      <c r="W1015" s="72" t="s">
        <v>1919</v>
      </c>
      <c r="X1015" s="72" t="s">
        <v>2872</v>
      </c>
      <c r="Y1015" s="72" t="s">
        <v>3006</v>
      </c>
      <c r="Z1015" s="72" t="s">
        <v>415</v>
      </c>
      <c r="AA1015" s="146" t="s">
        <v>2872</v>
      </c>
    </row>
    <row r="1016" spans="1:27" ht="18.600000000000001" customHeight="1">
      <c r="A1016" s="139" t="str">
        <f>IF(priority(Main[[#This Row],[Comments]])&lt;&gt;0, priority(Main[[#This Row],[Comments]]),"")</f>
        <v/>
      </c>
      <c r="B1016" s="89" t="s">
        <v>2202</v>
      </c>
      <c r="C1016" s="72" t="s">
        <v>4</v>
      </c>
      <c r="D1016" s="73" t="s">
        <v>2203</v>
      </c>
      <c r="E1016" s="74">
        <v>40784.953148148146</v>
      </c>
      <c r="F1016" s="74"/>
      <c r="G1016" s="75" t="str">
        <f>IF(stdProdLT(Main[[#This Row],[Comments]])=0.1,"N/A",IF(stdProdLT(Main[[#This Row],[Comments]])=0,"",stdProdLT(Main[[#This Row],[Comments]])))</f>
        <v/>
      </c>
      <c r="H1016" s="76" t="str">
        <f>IF(AND(Main[[#This Row],[In Stock Date]]&lt;&gt;"",Main[[#This Row],[Revised Due Date]]&lt;&gt;""),Main[[#This Row],[In Stock Date]]-Main[[#This Row],[Revised Due Date]],"")</f>
        <v/>
      </c>
      <c r="I1016" s="72" t="s">
        <v>489</v>
      </c>
      <c r="J1016" s="72" t="s">
        <v>70</v>
      </c>
      <c r="K1016" s="81" t="s">
        <v>1926</v>
      </c>
      <c r="L1016" s="74"/>
      <c r="M1016" s="77" t="str">
        <f>IF(Main[[#This Row],[Tech Start Date]]&lt;1/1/1990,"",IF(Main[[#This Row],[Class]]="C",WORKDAY(Main[[#This Row],[Tech Start Date]],9),IF(Main[[#This Row],[Class]]="B", WORKDAY(Main[[#This Row],[Tech Start Date]],6),IF(Main[[#This Row],[Class]]="A",WORKDAY(Main[[#This Row],[Tech Start Date]],2),""))))</f>
        <v/>
      </c>
      <c r="N1016" s="77" t="str">
        <f>IF(Main[[#This Row],[Tech Start Date]]&lt;1/1/1990,"",IF(Main[[#This Row],[Class]]="C",WORKDAY(Main[[#This Row],[Tech Start Date]],19),IF(Main[[#This Row],[Class]]="B", WORKDAY(Main[[#This Row],[Tech Start Date]],12),IF(Main[[#This Row],[Class]]="A",WORKDAY(Main[[#This Row],[Tech Start Date]],4),""))))</f>
        <v/>
      </c>
      <c r="O1016" s="77" t="str">
        <f>IF(Main[[#This Row],[Tech Start Date]]&lt;1/1/1990,"",IF(Main[[#This Row],[Class]]="C",WORKDAY(Main[[#This Row],[Tech Start Date]],23),IF(Main[[#This Row],[Class]]="B", WORKDAY(Main[[#This Row],[Tech Start Date]],15),IF(Main[[#This Row],[Class]]="A",WORKDAY(Main[[#This Row],[Tech Start Date]],5),""))))</f>
        <v/>
      </c>
      <c r="P1016" s="77" t="str">
        <f>IF(Main[[#This Row],[Tech Start Date]]&lt;1/1/1990,"",IF(Main[[#This Row],[Class]]="C",WORKDAY(Main[[#This Row],[Tech Start Date]],28),IF(Main[[#This Row],[Class]]="B", WORKDAY(Main[[#This Row],[Tech Start Date]],19),IF(Main[[#This Row],[Class]]="A",WORKDAY(Main[[#This Row],[Tech Start Date]],9),""))))</f>
        <v/>
      </c>
      <c r="Q1016" s="74">
        <v>40847</v>
      </c>
      <c r="R1016" s="74"/>
      <c r="S1016" s="72" t="s">
        <v>6</v>
      </c>
      <c r="T1016" s="80" t="s">
        <v>4</v>
      </c>
      <c r="U1016" s="72" t="s">
        <v>29</v>
      </c>
      <c r="V1016" s="72" t="s">
        <v>1920</v>
      </c>
      <c r="W1016" s="72" t="s">
        <v>1921</v>
      </c>
      <c r="X1016" s="72" t="s">
        <v>30</v>
      </c>
      <c r="Y1016" s="72" t="s">
        <v>3118</v>
      </c>
      <c r="Z1016" s="72" t="s">
        <v>30</v>
      </c>
      <c r="AA1016" s="146" t="s">
        <v>3455</v>
      </c>
    </row>
    <row r="1017" spans="1:27" ht="18.600000000000001" customHeight="1">
      <c r="A1017" s="155" t="str">
        <f>IF(priority(Main[[#This Row],[Comments]])&lt;&gt;0, priority(Main[[#This Row],[Comments]]),"")</f>
        <v/>
      </c>
      <c r="B1017" s="156" t="s">
        <v>1985</v>
      </c>
      <c r="C1017" s="157" t="s">
        <v>4</v>
      </c>
      <c r="D1017" s="158" t="s">
        <v>2019</v>
      </c>
      <c r="E1017" s="160">
        <v>40737.35056712963</v>
      </c>
      <c r="F1017" s="160"/>
      <c r="G1017" s="162" t="str">
        <f>IF(stdProdLT(Main[[#This Row],[Comments]])=0.1,"N/A",IF(stdProdLT(Main[[#This Row],[Comments]])=0,"",stdProdLT(Main[[#This Row],[Comments]])))</f>
        <v/>
      </c>
      <c r="H1017" s="164" t="str">
        <f>IF(AND(Main[[#This Row],[In Stock Date]]&lt;&gt;"",Main[[#This Row],[Revised Due Date]]&lt;&gt;""),Main[[#This Row],[In Stock Date]]-Main[[#This Row],[Revised Due Date]],"")</f>
        <v/>
      </c>
      <c r="I1017" s="157" t="s">
        <v>2017</v>
      </c>
      <c r="J1017" s="157" t="s">
        <v>28</v>
      </c>
      <c r="K1017" s="157" t="s">
        <v>4</v>
      </c>
      <c r="L1017" s="160"/>
      <c r="M1017" s="167" t="str">
        <f>IF(Main[[#This Row],[Tech Start Date]]&lt;1/1/1990,"",IF(Main[[#This Row],[Class]]="C",WORKDAY(Main[[#This Row],[Tech Start Date]],9),IF(Main[[#This Row],[Class]]="B", WORKDAY(Main[[#This Row],[Tech Start Date]],6),IF(Main[[#This Row],[Class]]="A",WORKDAY(Main[[#This Row],[Tech Start Date]],2),""))))</f>
        <v/>
      </c>
      <c r="N1017" s="167" t="str">
        <f>IF(Main[[#This Row],[Tech Start Date]]&lt;1/1/1990,"",IF(Main[[#This Row],[Class]]="C",WORKDAY(Main[[#This Row],[Tech Start Date]],19),IF(Main[[#This Row],[Class]]="B", WORKDAY(Main[[#This Row],[Tech Start Date]],12),IF(Main[[#This Row],[Class]]="A",WORKDAY(Main[[#This Row],[Tech Start Date]],4),""))))</f>
        <v/>
      </c>
      <c r="O1017" s="167" t="str">
        <f>IF(Main[[#This Row],[Tech Start Date]]&lt;1/1/1990,"",IF(Main[[#This Row],[Class]]="C",WORKDAY(Main[[#This Row],[Tech Start Date]],23),IF(Main[[#This Row],[Class]]="B", WORKDAY(Main[[#This Row],[Tech Start Date]],15),IF(Main[[#This Row],[Class]]="A",WORKDAY(Main[[#This Row],[Tech Start Date]],5),""))))</f>
        <v/>
      </c>
      <c r="P1017" s="167" t="str">
        <f>IF(Main[[#This Row],[Tech Start Date]]&lt;1/1/1990,"",IF(Main[[#This Row],[Class]]="C",WORKDAY(Main[[#This Row],[Tech Start Date]],28),IF(Main[[#This Row],[Class]]="B", WORKDAY(Main[[#This Row],[Tech Start Date]],19),IF(Main[[#This Row],[Class]]="A",WORKDAY(Main[[#This Row],[Tech Start Date]],9),""))))</f>
        <v/>
      </c>
      <c r="Q1017" s="160"/>
      <c r="R1017" s="160"/>
      <c r="S1017" s="157" t="s">
        <v>17</v>
      </c>
      <c r="T1017" s="171" t="s">
        <v>4</v>
      </c>
      <c r="U1017" s="157" t="s">
        <v>7</v>
      </c>
      <c r="V1017" s="157" t="s">
        <v>1932</v>
      </c>
      <c r="W1017" s="157" t="s">
        <v>1921</v>
      </c>
      <c r="X1017" s="157" t="s">
        <v>924</v>
      </c>
      <c r="Y1017" s="157" t="s">
        <v>3119</v>
      </c>
      <c r="Z1017" s="157" t="s">
        <v>2214</v>
      </c>
      <c r="AA1017" s="153" t="s">
        <v>3456</v>
      </c>
    </row>
    <row r="1018" spans="1:27" ht="18.600000000000001" customHeight="1">
      <c r="A1018" s="139" t="str">
        <f>IF(priority(Main[[#This Row],[Comments]])&lt;&gt;0, priority(Main[[#This Row],[Comments]]),"")</f>
        <v/>
      </c>
      <c r="B1018" s="89" t="s">
        <v>1080</v>
      </c>
      <c r="C1018" s="72" t="s">
        <v>4</v>
      </c>
      <c r="D1018" s="73" t="s">
        <v>2165</v>
      </c>
      <c r="E1018" s="74">
        <v>40696.780057870368</v>
      </c>
      <c r="F1018" s="74"/>
      <c r="G1018" s="75" t="str">
        <f>IF(stdProdLT(Main[[#This Row],[Comments]])=0.1,"N/A",IF(stdProdLT(Main[[#This Row],[Comments]])=0,"",stdProdLT(Main[[#This Row],[Comments]])))</f>
        <v/>
      </c>
      <c r="H1018" s="76" t="str">
        <f>IF(AND(Main[[#This Row],[In Stock Date]]&lt;&gt;"",Main[[#This Row],[Revised Due Date]]&lt;&gt;""),Main[[#This Row],[In Stock Date]]-Main[[#This Row],[Revised Due Date]],"")</f>
        <v/>
      </c>
      <c r="I1018" s="72" t="s">
        <v>489</v>
      </c>
      <c r="J1018" s="72" t="s">
        <v>52</v>
      </c>
      <c r="K1018" s="72" t="s">
        <v>1926</v>
      </c>
      <c r="L1018" s="74"/>
      <c r="M1018" s="77" t="str">
        <f>IF(Main[[#This Row],[Tech Start Date]]&lt;1/1/1990,"",IF(Main[[#This Row],[Class]]="C",WORKDAY(Main[[#This Row],[Tech Start Date]],9),IF(Main[[#This Row],[Class]]="B", WORKDAY(Main[[#This Row],[Tech Start Date]],6),IF(Main[[#This Row],[Class]]="A",WORKDAY(Main[[#This Row],[Tech Start Date]],2),""))))</f>
        <v/>
      </c>
      <c r="N1018" s="77" t="str">
        <f>IF(Main[[#This Row],[Tech Start Date]]&lt;1/1/1990,"",IF(Main[[#This Row],[Class]]="C",WORKDAY(Main[[#This Row],[Tech Start Date]],19),IF(Main[[#This Row],[Class]]="B", WORKDAY(Main[[#This Row],[Tech Start Date]],12),IF(Main[[#This Row],[Class]]="A",WORKDAY(Main[[#This Row],[Tech Start Date]],4),""))))</f>
        <v/>
      </c>
      <c r="O1018" s="77" t="str">
        <f>IF(Main[[#This Row],[Tech Start Date]]&lt;1/1/1990,"",IF(Main[[#This Row],[Class]]="C",WORKDAY(Main[[#This Row],[Tech Start Date]],23),IF(Main[[#This Row],[Class]]="B", WORKDAY(Main[[#This Row],[Tech Start Date]],15),IF(Main[[#This Row],[Class]]="A",WORKDAY(Main[[#This Row],[Tech Start Date]],5),""))))</f>
        <v/>
      </c>
      <c r="P1018" s="77" t="str">
        <f>IF(Main[[#This Row],[Tech Start Date]]&lt;1/1/1990,"",IF(Main[[#This Row],[Class]]="C",WORKDAY(Main[[#This Row],[Tech Start Date]],28),IF(Main[[#This Row],[Class]]="B", WORKDAY(Main[[#This Row],[Tech Start Date]],19),IF(Main[[#This Row],[Class]]="A",WORKDAY(Main[[#This Row],[Tech Start Date]],9),""))))</f>
        <v/>
      </c>
      <c r="Q1018" s="74">
        <v>40753</v>
      </c>
      <c r="R1018" s="74"/>
      <c r="S1018" s="72" t="s">
        <v>6</v>
      </c>
      <c r="T1018" s="80" t="s">
        <v>4</v>
      </c>
      <c r="U1018" s="72" t="s">
        <v>29</v>
      </c>
      <c r="V1018" s="72" t="s">
        <v>1927</v>
      </c>
      <c r="W1018" s="72" t="s">
        <v>1921</v>
      </c>
      <c r="X1018" s="72" t="s">
        <v>30</v>
      </c>
      <c r="Y1018" s="72" t="s">
        <v>2963</v>
      </c>
      <c r="Z1018" s="72" t="s">
        <v>44</v>
      </c>
      <c r="AA1018" s="146" t="s">
        <v>30</v>
      </c>
    </row>
    <row r="1019" spans="1:27" ht="18.600000000000001" customHeight="1">
      <c r="A1019" s="139" t="str">
        <f>IF(priority(Main[[#This Row],[Comments]])&lt;&gt;0, priority(Main[[#This Row],[Comments]]),"")</f>
        <v/>
      </c>
      <c r="B1019" s="89" t="s">
        <v>1815</v>
      </c>
      <c r="C1019" s="72" t="s">
        <v>67</v>
      </c>
      <c r="D1019" s="73" t="s">
        <v>863</v>
      </c>
      <c r="E1019" s="74">
        <v>39981.506990740738</v>
      </c>
      <c r="F1019" s="74"/>
      <c r="G1019" s="75" t="str">
        <f>IF(stdProdLT(Main[[#This Row],[Comments]])=0.1,"N/A",IF(stdProdLT(Main[[#This Row],[Comments]])=0,"",stdProdLT(Main[[#This Row],[Comments]])))</f>
        <v/>
      </c>
      <c r="H1019" s="76" t="str">
        <f>IF(AND(Main[[#This Row],[In Stock Date]]&lt;&gt;"",Main[[#This Row],[Revised Due Date]]&lt;&gt;""),Main[[#This Row],[In Stock Date]]-Main[[#This Row],[Revised Due Date]],"")</f>
        <v/>
      </c>
      <c r="I1019" s="72" t="s">
        <v>854</v>
      </c>
      <c r="J1019" s="72" t="s">
        <v>4</v>
      </c>
      <c r="K1019" s="72" t="s">
        <v>1930</v>
      </c>
      <c r="L1019" s="74"/>
      <c r="M1019" s="77" t="str">
        <f>IF(Main[[#This Row],[Tech Start Date]]&lt;1/1/1990,"",IF(Main[[#This Row],[Class]]="C",WORKDAY(Main[[#This Row],[Tech Start Date]],9),IF(Main[[#This Row],[Class]]="B", WORKDAY(Main[[#This Row],[Tech Start Date]],6),IF(Main[[#This Row],[Class]]="A",WORKDAY(Main[[#This Row],[Tech Start Date]],2),""))))</f>
        <v/>
      </c>
      <c r="N1019" s="77" t="str">
        <f>IF(Main[[#This Row],[Tech Start Date]]&lt;1/1/1990,"",IF(Main[[#This Row],[Class]]="C",WORKDAY(Main[[#This Row],[Tech Start Date]],19),IF(Main[[#This Row],[Class]]="B", WORKDAY(Main[[#This Row],[Tech Start Date]],12),IF(Main[[#This Row],[Class]]="A",WORKDAY(Main[[#This Row],[Tech Start Date]],4),""))))</f>
        <v/>
      </c>
      <c r="O1019" s="77" t="str">
        <f>IF(Main[[#This Row],[Tech Start Date]]&lt;1/1/1990,"",IF(Main[[#This Row],[Class]]="C",WORKDAY(Main[[#This Row],[Tech Start Date]],23),IF(Main[[#This Row],[Class]]="B", WORKDAY(Main[[#This Row],[Tech Start Date]],15),IF(Main[[#This Row],[Class]]="A",WORKDAY(Main[[#This Row],[Tech Start Date]],5),""))))</f>
        <v/>
      </c>
      <c r="P1019" s="77" t="str">
        <f>IF(Main[[#This Row],[Tech Start Date]]&lt;1/1/1990,"",IF(Main[[#This Row],[Class]]="C",WORKDAY(Main[[#This Row],[Tech Start Date]],28),IF(Main[[#This Row],[Class]]="B", WORKDAY(Main[[#This Row],[Tech Start Date]],19),IF(Main[[#This Row],[Class]]="A",WORKDAY(Main[[#This Row],[Tech Start Date]],9),""))))</f>
        <v/>
      </c>
      <c r="Q1019" s="74">
        <v>40142</v>
      </c>
      <c r="R1019" s="74">
        <v>40259</v>
      </c>
      <c r="S1019" s="72" t="s">
        <v>17</v>
      </c>
      <c r="T1019" s="80" t="s">
        <v>4</v>
      </c>
      <c r="U1019" s="72" t="s">
        <v>29</v>
      </c>
      <c r="V1019" s="72" t="s">
        <v>1927</v>
      </c>
      <c r="W1019" s="72" t="s">
        <v>1922</v>
      </c>
      <c r="X1019" s="72" t="s">
        <v>2826</v>
      </c>
      <c r="Y1019" s="72" t="s">
        <v>3034</v>
      </c>
      <c r="Z1019" s="72" t="s">
        <v>81</v>
      </c>
      <c r="AA1019" s="146" t="s">
        <v>3421</v>
      </c>
    </row>
    <row r="1020" spans="1:27" ht="18.600000000000001" customHeight="1">
      <c r="A1020" s="139" t="str">
        <f>IF(priority(Main[[#This Row],[Comments]])&lt;&gt;0, priority(Main[[#This Row],[Comments]]),"")</f>
        <v/>
      </c>
      <c r="B1020" s="89" t="s">
        <v>2257</v>
      </c>
      <c r="C1020" s="72" t="s">
        <v>4</v>
      </c>
      <c r="D1020" s="73" t="s">
        <v>2258</v>
      </c>
      <c r="E1020" s="74">
        <v>40806.34847222222</v>
      </c>
      <c r="F1020" s="74"/>
      <c r="G1020" s="75" t="str">
        <f>IF(stdProdLT(Main[[#This Row],[Comments]])=0.1,"N/A",IF(stdProdLT(Main[[#This Row],[Comments]])=0,"",stdProdLT(Main[[#This Row],[Comments]])))</f>
        <v/>
      </c>
      <c r="H1020" s="76" t="str">
        <f>IF(AND(Main[[#This Row],[In Stock Date]]&lt;&gt;"",Main[[#This Row],[Revised Due Date]]&lt;&gt;""),Main[[#This Row],[In Stock Date]]-Main[[#This Row],[Revised Due Date]],"")</f>
        <v/>
      </c>
      <c r="I1020" s="72" t="s">
        <v>4</v>
      </c>
      <c r="J1020" s="72" t="s">
        <v>4</v>
      </c>
      <c r="K1020" s="72" t="s">
        <v>4</v>
      </c>
      <c r="L1020" s="74"/>
      <c r="M1020" s="77" t="str">
        <f>IF(Main[[#This Row],[Tech Start Date]]&lt;1/1/1990,"",IF(Main[[#This Row],[Class]]="C",WORKDAY(Main[[#This Row],[Tech Start Date]],9),IF(Main[[#This Row],[Class]]="B", WORKDAY(Main[[#This Row],[Tech Start Date]],6),IF(Main[[#This Row],[Class]]="A",WORKDAY(Main[[#This Row],[Tech Start Date]],2),""))))</f>
        <v/>
      </c>
      <c r="N1020" s="77" t="str">
        <f>IF(Main[[#This Row],[Tech Start Date]]&lt;1/1/1990,"",IF(Main[[#This Row],[Class]]="C",WORKDAY(Main[[#This Row],[Tech Start Date]],19),IF(Main[[#This Row],[Class]]="B", WORKDAY(Main[[#This Row],[Tech Start Date]],12),IF(Main[[#This Row],[Class]]="A",WORKDAY(Main[[#This Row],[Tech Start Date]],4),""))))</f>
        <v/>
      </c>
      <c r="O1020" s="77" t="str">
        <f>IF(Main[[#This Row],[Tech Start Date]]&lt;1/1/1990,"",IF(Main[[#This Row],[Class]]="C",WORKDAY(Main[[#This Row],[Tech Start Date]],23),IF(Main[[#This Row],[Class]]="B", WORKDAY(Main[[#This Row],[Tech Start Date]],15),IF(Main[[#This Row],[Class]]="A",WORKDAY(Main[[#This Row],[Tech Start Date]],5),""))))</f>
        <v/>
      </c>
      <c r="P1020" s="77" t="str">
        <f>IF(Main[[#This Row],[Tech Start Date]]&lt;1/1/1990,"",IF(Main[[#This Row],[Class]]="C",WORKDAY(Main[[#This Row],[Tech Start Date]],28),IF(Main[[#This Row],[Class]]="B", WORKDAY(Main[[#This Row],[Tech Start Date]],19),IF(Main[[#This Row],[Class]]="A",WORKDAY(Main[[#This Row],[Tech Start Date]],9),""))))</f>
        <v/>
      </c>
      <c r="Q1020" s="74">
        <v>40820</v>
      </c>
      <c r="R1020" s="74"/>
      <c r="S1020" s="72" t="s">
        <v>6</v>
      </c>
      <c r="T1020" s="80" t="s">
        <v>4</v>
      </c>
      <c r="U1020" s="72" t="s">
        <v>7</v>
      </c>
      <c r="V1020" s="72" t="s">
        <v>1917</v>
      </c>
      <c r="W1020" s="72" t="s">
        <v>4</v>
      </c>
      <c r="X1020" s="72" t="s">
        <v>2857</v>
      </c>
      <c r="Y1020" s="72" t="s">
        <v>2992</v>
      </c>
      <c r="Z1020" s="72" t="s">
        <v>4</v>
      </c>
      <c r="AA1020" s="146" t="s">
        <v>2857</v>
      </c>
    </row>
    <row r="1021" spans="1:27" ht="18.600000000000001" customHeight="1">
      <c r="A1021" s="139" t="str">
        <f>IF(priority(Main[[#This Row],[Comments]])&lt;&gt;0, priority(Main[[#This Row],[Comments]]),"")</f>
        <v/>
      </c>
      <c r="B1021" s="89" t="s">
        <v>2124</v>
      </c>
      <c r="C1021" s="72" t="s">
        <v>4</v>
      </c>
      <c r="D1021" s="73" t="s">
        <v>2125</v>
      </c>
      <c r="E1021" s="74">
        <v>40764.689583333333</v>
      </c>
      <c r="F1021" s="74"/>
      <c r="G1021" s="75" t="str">
        <f>IF(stdProdLT(Main[[#This Row],[Comments]])=0.1,"N/A",IF(stdProdLT(Main[[#This Row],[Comments]])=0,"",stdProdLT(Main[[#This Row],[Comments]])))</f>
        <v/>
      </c>
      <c r="H1021" s="76" t="str">
        <f>IF(AND(Main[[#This Row],[In Stock Date]]&lt;&gt;"",Main[[#This Row],[Revised Due Date]]&lt;&gt;""),Main[[#This Row],[In Stock Date]]-Main[[#This Row],[Revised Due Date]],"")</f>
        <v/>
      </c>
      <c r="I1021" s="72" t="s">
        <v>879</v>
      </c>
      <c r="J1021" s="72" t="s">
        <v>4</v>
      </c>
      <c r="K1021" s="81" t="s">
        <v>4</v>
      </c>
      <c r="L1021" s="74"/>
      <c r="M1021" s="77" t="str">
        <f>IF(Main[[#This Row],[Tech Start Date]]&lt;1/1/1990,"",IF(Main[[#This Row],[Class]]="C",WORKDAY(Main[[#This Row],[Tech Start Date]],9),IF(Main[[#This Row],[Class]]="B", WORKDAY(Main[[#This Row],[Tech Start Date]],6),IF(Main[[#This Row],[Class]]="A",WORKDAY(Main[[#This Row],[Tech Start Date]],2),""))))</f>
        <v/>
      </c>
      <c r="N1021" s="77" t="str">
        <f>IF(Main[[#This Row],[Tech Start Date]]&lt;1/1/1990,"",IF(Main[[#This Row],[Class]]="C",WORKDAY(Main[[#This Row],[Tech Start Date]],19),IF(Main[[#This Row],[Class]]="B", WORKDAY(Main[[#This Row],[Tech Start Date]],12),IF(Main[[#This Row],[Class]]="A",WORKDAY(Main[[#This Row],[Tech Start Date]],4),""))))</f>
        <v/>
      </c>
      <c r="O1021" s="77" t="str">
        <f>IF(Main[[#This Row],[Tech Start Date]]&lt;1/1/1990,"",IF(Main[[#This Row],[Class]]="C",WORKDAY(Main[[#This Row],[Tech Start Date]],23),IF(Main[[#This Row],[Class]]="B", WORKDAY(Main[[#This Row],[Tech Start Date]],15),IF(Main[[#This Row],[Class]]="A",WORKDAY(Main[[#This Row],[Tech Start Date]],5),""))))</f>
        <v/>
      </c>
      <c r="P1021" s="77" t="str">
        <f>IF(Main[[#This Row],[Tech Start Date]]&lt;1/1/1990,"",IF(Main[[#This Row],[Class]]="C",WORKDAY(Main[[#This Row],[Tech Start Date]],28),IF(Main[[#This Row],[Class]]="B", WORKDAY(Main[[#This Row],[Tech Start Date]],19),IF(Main[[#This Row],[Class]]="A",WORKDAY(Main[[#This Row],[Tech Start Date]],9),""))))</f>
        <v/>
      </c>
      <c r="Q1021" s="74"/>
      <c r="R1021" s="74"/>
      <c r="S1021" s="72" t="s">
        <v>6</v>
      </c>
      <c r="T1021" s="80" t="s">
        <v>4</v>
      </c>
      <c r="U1021" s="72" t="s">
        <v>7</v>
      </c>
      <c r="V1021" s="72" t="s">
        <v>1917</v>
      </c>
      <c r="W1021" s="72" t="s">
        <v>1919</v>
      </c>
      <c r="X1021" s="72" t="s">
        <v>306</v>
      </c>
      <c r="Y1021" s="72" t="s">
        <v>4</v>
      </c>
      <c r="Z1021" s="72" t="s">
        <v>879</v>
      </c>
      <c r="AA1021" s="146" t="s">
        <v>4</v>
      </c>
    </row>
    <row r="1022" spans="1:27" ht="18.600000000000001" customHeight="1">
      <c r="A1022" s="139" t="str">
        <f>IF(priority(Main[[#This Row],[Comments]])&lt;&gt;0, priority(Main[[#This Row],[Comments]]),"")</f>
        <v/>
      </c>
      <c r="B1022" s="89" t="s">
        <v>1078</v>
      </c>
      <c r="C1022" s="72" t="s">
        <v>4</v>
      </c>
      <c r="D1022" s="73" t="s">
        <v>2238</v>
      </c>
      <c r="E1022" s="74">
        <v>40659.528229166666</v>
      </c>
      <c r="F1022" s="74"/>
      <c r="G1022" s="75" t="str">
        <f>IF(stdProdLT(Main[[#This Row],[Comments]])=0.1,"N/A",IF(stdProdLT(Main[[#This Row],[Comments]])=0,"",stdProdLT(Main[[#This Row],[Comments]])))</f>
        <v/>
      </c>
      <c r="H1022" s="76" t="str">
        <f>IF(AND(Main[[#This Row],[In Stock Date]]&lt;&gt;"",Main[[#This Row],[Revised Due Date]]&lt;&gt;""),Main[[#This Row],[In Stock Date]]-Main[[#This Row],[Revised Due Date]],"")</f>
        <v/>
      </c>
      <c r="I1022" s="72" t="s">
        <v>102</v>
      </c>
      <c r="J1022" s="72" t="s">
        <v>51</v>
      </c>
      <c r="K1022" s="72" t="s">
        <v>1926</v>
      </c>
      <c r="L1022" s="74"/>
      <c r="M1022" s="77" t="str">
        <f>IF(Main[[#This Row],[Tech Start Date]]&lt;1/1/1990,"",IF(Main[[#This Row],[Class]]="C",WORKDAY(Main[[#This Row],[Tech Start Date]],9),IF(Main[[#This Row],[Class]]="B", WORKDAY(Main[[#This Row],[Tech Start Date]],6),IF(Main[[#This Row],[Class]]="A",WORKDAY(Main[[#This Row],[Tech Start Date]],2),""))))</f>
        <v/>
      </c>
      <c r="N1022" s="77" t="str">
        <f>IF(Main[[#This Row],[Tech Start Date]]&lt;1/1/1990,"",IF(Main[[#This Row],[Class]]="C",WORKDAY(Main[[#This Row],[Tech Start Date]],19),IF(Main[[#This Row],[Class]]="B", WORKDAY(Main[[#This Row],[Tech Start Date]],12),IF(Main[[#This Row],[Class]]="A",WORKDAY(Main[[#This Row],[Tech Start Date]],4),""))))</f>
        <v/>
      </c>
      <c r="O1022" s="77" t="str">
        <f>IF(Main[[#This Row],[Tech Start Date]]&lt;1/1/1990,"",IF(Main[[#This Row],[Class]]="C",WORKDAY(Main[[#This Row],[Tech Start Date]],23),IF(Main[[#This Row],[Class]]="B", WORKDAY(Main[[#This Row],[Tech Start Date]],15),IF(Main[[#This Row],[Class]]="A",WORKDAY(Main[[#This Row],[Tech Start Date]],5),""))))</f>
        <v/>
      </c>
      <c r="P1022" s="77" t="str">
        <f>IF(Main[[#This Row],[Tech Start Date]]&lt;1/1/1990,"",IF(Main[[#This Row],[Class]]="C",WORKDAY(Main[[#This Row],[Tech Start Date]],28),IF(Main[[#This Row],[Class]]="B", WORKDAY(Main[[#This Row],[Tech Start Date]],19),IF(Main[[#This Row],[Class]]="A",WORKDAY(Main[[#This Row],[Tech Start Date]],9),""))))</f>
        <v/>
      </c>
      <c r="Q1022" s="74"/>
      <c r="R1022" s="74"/>
      <c r="S1022" s="72" t="s">
        <v>6</v>
      </c>
      <c r="T1022" s="80" t="s">
        <v>4</v>
      </c>
      <c r="U1022" s="72" t="s">
        <v>29</v>
      </c>
      <c r="V1022" s="72" t="s">
        <v>1920</v>
      </c>
      <c r="W1022" s="72" t="s">
        <v>1921</v>
      </c>
      <c r="X1022" s="72" t="s">
        <v>102</v>
      </c>
      <c r="Y1022" s="72" t="s">
        <v>3120</v>
      </c>
      <c r="Z1022" s="72" t="s">
        <v>306</v>
      </c>
      <c r="AA1022" s="146" t="s">
        <v>3457</v>
      </c>
    </row>
    <row r="1023" spans="1:27" ht="18.600000000000001" customHeight="1">
      <c r="A1023" s="139" t="str">
        <f>IF(priority(Main[[#This Row],[Comments]])&lt;&gt;0, priority(Main[[#This Row],[Comments]]),"")</f>
        <v/>
      </c>
      <c r="B1023" s="89" t="s">
        <v>3260</v>
      </c>
      <c r="C1023" s="72" t="s">
        <v>4</v>
      </c>
      <c r="D1023" s="73" t="s">
        <v>3638</v>
      </c>
      <c r="E1023" s="74">
        <v>40935.463946759257</v>
      </c>
      <c r="F1023" s="74"/>
      <c r="G1023" s="75" t="str">
        <f>IF(stdProdLT(Main[[#This Row],[Comments]])=0.1,"N/A",IF(stdProdLT(Main[[#This Row],[Comments]])=0,"",stdProdLT(Main[[#This Row],[Comments]])))</f>
        <v/>
      </c>
      <c r="H1023" s="76" t="str">
        <f>IF(AND(Main[[#This Row],[In Stock Date]]&lt;&gt;"",Main[[#This Row],[Revised Due Date]]&lt;&gt;""),Main[[#This Row],[In Stock Date]]-Main[[#This Row],[Revised Due Date]],"")</f>
        <v/>
      </c>
      <c r="I1023" s="72" t="s">
        <v>69</v>
      </c>
      <c r="J1023" s="72" t="s">
        <v>70</v>
      </c>
      <c r="K1023" s="81" t="s">
        <v>1926</v>
      </c>
      <c r="L1023" s="74"/>
      <c r="M1023" s="77" t="str">
        <f>IF(Main[[#This Row],[Tech Start Date]]&lt;1/1/1990,"",IF(Main[[#This Row],[Class]]="C",WORKDAY(Main[[#This Row],[Tech Start Date]],9),IF(Main[[#This Row],[Class]]="B", WORKDAY(Main[[#This Row],[Tech Start Date]],6),IF(Main[[#This Row],[Class]]="A",WORKDAY(Main[[#This Row],[Tech Start Date]],2),""))))</f>
        <v/>
      </c>
      <c r="N1023" s="77" t="str">
        <f>IF(Main[[#This Row],[Tech Start Date]]&lt;1/1/1990,"",IF(Main[[#This Row],[Class]]="C",WORKDAY(Main[[#This Row],[Tech Start Date]],19),IF(Main[[#This Row],[Class]]="B", WORKDAY(Main[[#This Row],[Tech Start Date]],12),IF(Main[[#This Row],[Class]]="A",WORKDAY(Main[[#This Row],[Tech Start Date]],4),""))))</f>
        <v/>
      </c>
      <c r="O1023" s="77" t="str">
        <f>IF(Main[[#This Row],[Tech Start Date]]&lt;1/1/1990,"",IF(Main[[#This Row],[Class]]="C",WORKDAY(Main[[#This Row],[Tech Start Date]],23),IF(Main[[#This Row],[Class]]="B", WORKDAY(Main[[#This Row],[Tech Start Date]],15),IF(Main[[#This Row],[Class]]="A",WORKDAY(Main[[#This Row],[Tech Start Date]],5),""))))</f>
        <v/>
      </c>
      <c r="P1023" s="77" t="str">
        <f>IF(Main[[#This Row],[Tech Start Date]]&lt;1/1/1990,"",IF(Main[[#This Row],[Class]]="C",WORKDAY(Main[[#This Row],[Tech Start Date]],28),IF(Main[[#This Row],[Class]]="B", WORKDAY(Main[[#This Row],[Tech Start Date]],19),IF(Main[[#This Row],[Class]]="A",WORKDAY(Main[[#This Row],[Tech Start Date]],9),""))))</f>
        <v/>
      </c>
      <c r="Q1023" s="74">
        <v>40999</v>
      </c>
      <c r="R1023" s="74"/>
      <c r="S1023" s="72" t="s">
        <v>6</v>
      </c>
      <c r="T1023" s="80" t="s">
        <v>4</v>
      </c>
      <c r="U1023" s="72" t="s">
        <v>29</v>
      </c>
      <c r="V1023" s="72" t="s">
        <v>1927</v>
      </c>
      <c r="W1023" s="72" t="s">
        <v>1921</v>
      </c>
      <c r="X1023" s="72" t="s">
        <v>2847</v>
      </c>
      <c r="Y1023" s="72" t="s">
        <v>2977</v>
      </c>
      <c r="Z1023" s="72" t="s">
        <v>30</v>
      </c>
      <c r="AA1023" s="146" t="s">
        <v>2847</v>
      </c>
    </row>
    <row r="1024" spans="1:27" ht="18.600000000000001" customHeight="1">
      <c r="A1024" s="139" t="str">
        <f>IF(priority(Main[[#This Row],[Comments]])&lt;&gt;0, priority(Main[[#This Row],[Comments]]),"")</f>
        <v/>
      </c>
      <c r="B1024" s="89" t="s">
        <v>2500</v>
      </c>
      <c r="C1024" s="72" t="s">
        <v>47</v>
      </c>
      <c r="D1024" s="73" t="s">
        <v>3342</v>
      </c>
      <c r="E1024" s="74">
        <v>40865.812858796293</v>
      </c>
      <c r="F1024" s="74"/>
      <c r="G1024" s="75" t="str">
        <f>IF(stdProdLT(Main[[#This Row],[Comments]])=0.1,"N/A",IF(stdProdLT(Main[[#This Row],[Comments]])=0,"",stdProdLT(Main[[#This Row],[Comments]])))</f>
        <v/>
      </c>
      <c r="H1024" s="76" t="str">
        <f>IF(AND(Main[[#This Row],[In Stock Date]]&lt;&gt;"",Main[[#This Row],[Revised Due Date]]&lt;&gt;""),Main[[#This Row],[In Stock Date]]-Main[[#This Row],[Revised Due Date]],"")</f>
        <v/>
      </c>
      <c r="I1024" s="72" t="s">
        <v>4</v>
      </c>
      <c r="J1024" s="72" t="s">
        <v>4</v>
      </c>
      <c r="K1024" s="81" t="s">
        <v>4</v>
      </c>
      <c r="L1024" s="74"/>
      <c r="M1024" s="77" t="str">
        <f>IF(Main[[#This Row],[Tech Start Date]]&lt;1/1/1990,"",IF(Main[[#This Row],[Class]]="C",WORKDAY(Main[[#This Row],[Tech Start Date]],9),IF(Main[[#This Row],[Class]]="B", WORKDAY(Main[[#This Row],[Tech Start Date]],6),IF(Main[[#This Row],[Class]]="A",WORKDAY(Main[[#This Row],[Tech Start Date]],2),""))))</f>
        <v/>
      </c>
      <c r="N1024" s="77" t="str">
        <f>IF(Main[[#This Row],[Tech Start Date]]&lt;1/1/1990,"",IF(Main[[#This Row],[Class]]="C",WORKDAY(Main[[#This Row],[Tech Start Date]],19),IF(Main[[#This Row],[Class]]="B", WORKDAY(Main[[#This Row],[Tech Start Date]],12),IF(Main[[#This Row],[Class]]="A",WORKDAY(Main[[#This Row],[Tech Start Date]],4),""))))</f>
        <v/>
      </c>
      <c r="O1024" s="77" t="str">
        <f>IF(Main[[#This Row],[Tech Start Date]]&lt;1/1/1990,"",IF(Main[[#This Row],[Class]]="C",WORKDAY(Main[[#This Row],[Tech Start Date]],23),IF(Main[[#This Row],[Class]]="B", WORKDAY(Main[[#This Row],[Tech Start Date]],15),IF(Main[[#This Row],[Class]]="A",WORKDAY(Main[[#This Row],[Tech Start Date]],5),""))))</f>
        <v/>
      </c>
      <c r="P1024" s="77" t="str">
        <f>IF(Main[[#This Row],[Tech Start Date]]&lt;1/1/1990,"",IF(Main[[#This Row],[Class]]="C",WORKDAY(Main[[#This Row],[Tech Start Date]],28),IF(Main[[#This Row],[Class]]="B", WORKDAY(Main[[#This Row],[Tech Start Date]],19),IF(Main[[#This Row],[Class]]="A",WORKDAY(Main[[#This Row],[Tech Start Date]],9),""))))</f>
        <v/>
      </c>
      <c r="Q1024" s="74">
        <v>40906</v>
      </c>
      <c r="R1024" s="74"/>
      <c r="S1024" s="72" t="s">
        <v>6</v>
      </c>
      <c r="T1024" s="80" t="s">
        <v>4</v>
      </c>
      <c r="U1024" s="72" t="s">
        <v>29</v>
      </c>
      <c r="V1024" s="72" t="s">
        <v>2288</v>
      </c>
      <c r="W1024" s="72" t="s">
        <v>4</v>
      </c>
      <c r="X1024" s="72" t="s">
        <v>2871</v>
      </c>
      <c r="Y1024" s="72" t="s">
        <v>3016</v>
      </c>
      <c r="Z1024" s="72" t="s">
        <v>4</v>
      </c>
      <c r="AA1024" s="146" t="s">
        <v>2871</v>
      </c>
    </row>
    <row r="1025" spans="1:27" ht="18.600000000000001" customHeight="1">
      <c r="A1025" s="139" t="str">
        <f>IF(priority(Main[[#This Row],[Comments]])&lt;&gt;0, priority(Main[[#This Row],[Comments]]),"")</f>
        <v/>
      </c>
      <c r="B1025" s="89" t="s">
        <v>1515</v>
      </c>
      <c r="C1025" s="72" t="s">
        <v>4</v>
      </c>
      <c r="D1025" s="73" t="s">
        <v>590</v>
      </c>
      <c r="E1025" s="74"/>
      <c r="F1025" s="74"/>
      <c r="G1025" s="75" t="str">
        <f>IF(stdProdLT(Main[[#This Row],[Comments]])=0.1,"N/A",IF(stdProdLT(Main[[#This Row],[Comments]])=0,"",stdProdLT(Main[[#This Row],[Comments]])))</f>
        <v/>
      </c>
      <c r="H1025" s="76" t="str">
        <f>IF(AND(Main[[#This Row],[In Stock Date]]&lt;&gt;"",Main[[#This Row],[Revised Due Date]]&lt;&gt;""),Main[[#This Row],[In Stock Date]]-Main[[#This Row],[Revised Due Date]],"")</f>
        <v/>
      </c>
      <c r="I1025" s="72" t="s">
        <v>306</v>
      </c>
      <c r="J1025" s="72" t="s">
        <v>28</v>
      </c>
      <c r="K1025" s="72" t="s">
        <v>4</v>
      </c>
      <c r="L1025" s="74"/>
      <c r="M1025" s="77" t="str">
        <f>IF(Main[[#This Row],[Tech Start Date]]&lt;1/1/1990,"",IF(Main[[#This Row],[Class]]="C",WORKDAY(Main[[#This Row],[Tech Start Date]],9),IF(Main[[#This Row],[Class]]="B", WORKDAY(Main[[#This Row],[Tech Start Date]],6),IF(Main[[#This Row],[Class]]="A",WORKDAY(Main[[#This Row],[Tech Start Date]],2),""))))</f>
        <v/>
      </c>
      <c r="N1025" s="77" t="str">
        <f>IF(Main[[#This Row],[Tech Start Date]]&lt;1/1/1990,"",IF(Main[[#This Row],[Class]]="C",WORKDAY(Main[[#This Row],[Tech Start Date]],19),IF(Main[[#This Row],[Class]]="B", WORKDAY(Main[[#This Row],[Tech Start Date]],12),IF(Main[[#This Row],[Class]]="A",WORKDAY(Main[[#This Row],[Tech Start Date]],4),""))))</f>
        <v/>
      </c>
      <c r="O1025" s="77" t="str">
        <f>IF(Main[[#This Row],[Tech Start Date]]&lt;1/1/1990,"",IF(Main[[#This Row],[Class]]="C",WORKDAY(Main[[#This Row],[Tech Start Date]],23),IF(Main[[#This Row],[Class]]="B", WORKDAY(Main[[#This Row],[Tech Start Date]],15),IF(Main[[#This Row],[Class]]="A",WORKDAY(Main[[#This Row],[Tech Start Date]],5),""))))</f>
        <v/>
      </c>
      <c r="P1025" s="77" t="str">
        <f>IF(Main[[#This Row],[Tech Start Date]]&lt;1/1/1990,"",IF(Main[[#This Row],[Class]]="C",WORKDAY(Main[[#This Row],[Tech Start Date]],28),IF(Main[[#This Row],[Class]]="B", WORKDAY(Main[[#This Row],[Tech Start Date]],19),IF(Main[[#This Row],[Class]]="A",WORKDAY(Main[[#This Row],[Tech Start Date]],9),""))))</f>
        <v/>
      </c>
      <c r="Q1025" s="74"/>
      <c r="R1025" s="74"/>
      <c r="S1025" s="72" t="s">
        <v>6</v>
      </c>
      <c r="T1025" s="80" t="s">
        <v>4</v>
      </c>
      <c r="U1025" s="72" t="s">
        <v>14</v>
      </c>
      <c r="V1025" s="72" t="s">
        <v>1920</v>
      </c>
      <c r="W1025" s="72" t="s">
        <v>1919</v>
      </c>
      <c r="X1025" s="72" t="s">
        <v>306</v>
      </c>
      <c r="Y1025" s="72" t="s">
        <v>3110</v>
      </c>
      <c r="Z1025" s="72" t="s">
        <v>306</v>
      </c>
      <c r="AA1025" s="146" t="s">
        <v>306</v>
      </c>
    </row>
    <row r="1026" spans="1:27" ht="18.600000000000001" customHeight="1">
      <c r="A1026" s="139" t="str">
        <f>IF(priority(Main[[#This Row],[Comments]])&lt;&gt;0, priority(Main[[#This Row],[Comments]]),"")</f>
        <v/>
      </c>
      <c r="B1026" s="89" t="s">
        <v>1770</v>
      </c>
      <c r="C1026" s="72" t="s">
        <v>4</v>
      </c>
      <c r="D1026" s="73" t="s">
        <v>814</v>
      </c>
      <c r="E1026" s="74"/>
      <c r="F1026" s="74"/>
      <c r="G1026" s="75" t="str">
        <f>IF(stdProdLT(Main[[#This Row],[Comments]])=0.1,"N/A",IF(stdProdLT(Main[[#This Row],[Comments]])=0,"",stdProdLT(Main[[#This Row],[Comments]])))</f>
        <v/>
      </c>
      <c r="H1026" s="76" t="str">
        <f>IF(AND(Main[[#This Row],[In Stock Date]]&lt;&gt;"",Main[[#This Row],[Revised Due Date]]&lt;&gt;""),Main[[#This Row],[In Stock Date]]-Main[[#This Row],[Revised Due Date]],"")</f>
        <v/>
      </c>
      <c r="I1026" s="72" t="s">
        <v>4</v>
      </c>
      <c r="J1026" s="72" t="s">
        <v>4</v>
      </c>
      <c r="K1026" s="81" t="s">
        <v>4</v>
      </c>
      <c r="L1026" s="74"/>
      <c r="M1026" s="77" t="str">
        <f>IF(Main[[#This Row],[Tech Start Date]]&lt;1/1/1990,"",IF(Main[[#This Row],[Class]]="C",WORKDAY(Main[[#This Row],[Tech Start Date]],9),IF(Main[[#This Row],[Class]]="B", WORKDAY(Main[[#This Row],[Tech Start Date]],6),IF(Main[[#This Row],[Class]]="A",WORKDAY(Main[[#This Row],[Tech Start Date]],2),""))))</f>
        <v/>
      </c>
      <c r="N1026" s="77" t="str">
        <f>IF(Main[[#This Row],[Tech Start Date]]&lt;1/1/1990,"",IF(Main[[#This Row],[Class]]="C",WORKDAY(Main[[#This Row],[Tech Start Date]],19),IF(Main[[#This Row],[Class]]="B", WORKDAY(Main[[#This Row],[Tech Start Date]],12),IF(Main[[#This Row],[Class]]="A",WORKDAY(Main[[#This Row],[Tech Start Date]],4),""))))</f>
        <v/>
      </c>
      <c r="O1026" s="77" t="str">
        <f>IF(Main[[#This Row],[Tech Start Date]]&lt;1/1/1990,"",IF(Main[[#This Row],[Class]]="C",WORKDAY(Main[[#This Row],[Tech Start Date]],23),IF(Main[[#This Row],[Class]]="B", WORKDAY(Main[[#This Row],[Tech Start Date]],15),IF(Main[[#This Row],[Class]]="A",WORKDAY(Main[[#This Row],[Tech Start Date]],5),""))))</f>
        <v/>
      </c>
      <c r="P1026" s="77" t="str">
        <f>IF(Main[[#This Row],[Tech Start Date]]&lt;1/1/1990,"",IF(Main[[#This Row],[Class]]="C",WORKDAY(Main[[#This Row],[Tech Start Date]],28),IF(Main[[#This Row],[Class]]="B", WORKDAY(Main[[#This Row],[Tech Start Date]],19),IF(Main[[#This Row],[Class]]="A",WORKDAY(Main[[#This Row],[Tech Start Date]],9),""))))</f>
        <v/>
      </c>
      <c r="Q1026" s="74">
        <v>40209</v>
      </c>
      <c r="R1026" s="74"/>
      <c r="S1026" s="72" t="s">
        <v>6</v>
      </c>
      <c r="T1026" s="80" t="s">
        <v>4</v>
      </c>
      <c r="U1026" s="72" t="s">
        <v>14</v>
      </c>
      <c r="V1026" s="72" t="s">
        <v>1920</v>
      </c>
      <c r="W1026" s="72" t="s">
        <v>4</v>
      </c>
      <c r="X1026" s="72" t="s">
        <v>2893</v>
      </c>
      <c r="Y1026" s="72" t="s">
        <v>3049</v>
      </c>
      <c r="Z1026" s="72" t="s">
        <v>4</v>
      </c>
      <c r="AA1026" s="146" t="s">
        <v>2893</v>
      </c>
    </row>
    <row r="1027" spans="1:27" ht="18.600000000000001" customHeight="1">
      <c r="A1027" s="139" t="str">
        <f>IF(priority(Main[[#This Row],[Comments]])&lt;&gt;0, priority(Main[[#This Row],[Comments]]),"")</f>
        <v/>
      </c>
      <c r="B1027" s="89" t="s">
        <v>1771</v>
      </c>
      <c r="C1027" s="72" t="s">
        <v>815</v>
      </c>
      <c r="D1027" s="73" t="s">
        <v>816</v>
      </c>
      <c r="E1027" s="74"/>
      <c r="F1027" s="74">
        <v>40678</v>
      </c>
      <c r="G1027" s="75" t="str">
        <f>IF(stdProdLT(Main[[#This Row],[Comments]])=0.1,"N/A",IF(stdProdLT(Main[[#This Row],[Comments]])=0,"",stdProdLT(Main[[#This Row],[Comments]])))</f>
        <v/>
      </c>
      <c r="H1027" s="76" t="str">
        <f>IF(AND(Main[[#This Row],[In Stock Date]]&lt;&gt;"",Main[[#This Row],[Revised Due Date]]&lt;&gt;""),Main[[#This Row],[In Stock Date]]-Main[[#This Row],[Revised Due Date]],"")</f>
        <v/>
      </c>
      <c r="I1027" s="72" t="s">
        <v>4</v>
      </c>
      <c r="J1027" s="72" t="s">
        <v>4</v>
      </c>
      <c r="K1027" s="72" t="s">
        <v>4</v>
      </c>
      <c r="L1027" s="74"/>
      <c r="M1027" s="77" t="str">
        <f>IF(Main[[#This Row],[Tech Start Date]]&lt;1/1/1990,"",IF(Main[[#This Row],[Class]]="C",WORKDAY(Main[[#This Row],[Tech Start Date]],9),IF(Main[[#This Row],[Class]]="B", WORKDAY(Main[[#This Row],[Tech Start Date]],6),IF(Main[[#This Row],[Class]]="A",WORKDAY(Main[[#This Row],[Tech Start Date]],2),""))))</f>
        <v/>
      </c>
      <c r="N1027" s="77" t="str">
        <f>IF(Main[[#This Row],[Tech Start Date]]&lt;1/1/1990,"",IF(Main[[#This Row],[Class]]="C",WORKDAY(Main[[#This Row],[Tech Start Date]],19),IF(Main[[#This Row],[Class]]="B", WORKDAY(Main[[#This Row],[Tech Start Date]],12),IF(Main[[#This Row],[Class]]="A",WORKDAY(Main[[#This Row],[Tech Start Date]],4),""))))</f>
        <v/>
      </c>
      <c r="O1027" s="77" t="str">
        <f>IF(Main[[#This Row],[Tech Start Date]]&lt;1/1/1990,"",IF(Main[[#This Row],[Class]]="C",WORKDAY(Main[[#This Row],[Tech Start Date]],23),IF(Main[[#This Row],[Class]]="B", WORKDAY(Main[[#This Row],[Tech Start Date]],15),IF(Main[[#This Row],[Class]]="A",WORKDAY(Main[[#This Row],[Tech Start Date]],5),""))))</f>
        <v/>
      </c>
      <c r="P1027" s="77" t="str">
        <f>IF(Main[[#This Row],[Tech Start Date]]&lt;1/1/1990,"",IF(Main[[#This Row],[Class]]="C",WORKDAY(Main[[#This Row],[Tech Start Date]],28),IF(Main[[#This Row],[Class]]="B", WORKDAY(Main[[#This Row],[Tech Start Date]],19),IF(Main[[#This Row],[Class]]="A",WORKDAY(Main[[#This Row],[Tech Start Date]],9),""))))</f>
        <v/>
      </c>
      <c r="Q1027" s="74">
        <v>40602</v>
      </c>
      <c r="R1027" s="74"/>
      <c r="S1027" s="72" t="s">
        <v>11</v>
      </c>
      <c r="T1027" s="80" t="s">
        <v>4</v>
      </c>
      <c r="U1027" s="72" t="s">
        <v>14</v>
      </c>
      <c r="V1027" s="72" t="s">
        <v>1917</v>
      </c>
      <c r="W1027" s="72" t="s">
        <v>1923</v>
      </c>
      <c r="X1027" s="72" t="s">
        <v>2830</v>
      </c>
      <c r="Y1027" s="72" t="s">
        <v>2949</v>
      </c>
      <c r="Z1027" s="72" t="s">
        <v>4</v>
      </c>
      <c r="AA1027" s="146" t="s">
        <v>2830</v>
      </c>
    </row>
    <row r="1028" spans="1:27" ht="18.600000000000001" customHeight="1">
      <c r="A1028" s="139" t="str">
        <f>IF(priority(Main[[#This Row],[Comments]])&lt;&gt;0, priority(Main[[#This Row],[Comments]]),"")</f>
        <v/>
      </c>
      <c r="B1028" s="89" t="s">
        <v>1774</v>
      </c>
      <c r="C1028" s="72" t="s">
        <v>817</v>
      </c>
      <c r="D1028" s="73" t="s">
        <v>818</v>
      </c>
      <c r="E1028" s="74"/>
      <c r="F1028" s="74"/>
      <c r="G1028" s="75" t="str">
        <f>IF(stdProdLT(Main[[#This Row],[Comments]])=0.1,"N/A",IF(stdProdLT(Main[[#This Row],[Comments]])=0,"",stdProdLT(Main[[#This Row],[Comments]])))</f>
        <v/>
      </c>
      <c r="H1028" s="76" t="str">
        <f>IF(AND(Main[[#This Row],[In Stock Date]]&lt;&gt;"",Main[[#This Row],[Revised Due Date]]&lt;&gt;""),Main[[#This Row],[In Stock Date]]-Main[[#This Row],[Revised Due Date]],"")</f>
        <v/>
      </c>
      <c r="I1028" s="72" t="s">
        <v>4</v>
      </c>
      <c r="J1028" s="72" t="s">
        <v>4</v>
      </c>
      <c r="K1028" s="81" t="s">
        <v>4</v>
      </c>
      <c r="L1028" s="74"/>
      <c r="M1028" s="77" t="str">
        <f>IF(Main[[#This Row],[Tech Start Date]]&lt;1/1/1990,"",IF(Main[[#This Row],[Class]]="C",WORKDAY(Main[[#This Row],[Tech Start Date]],9),IF(Main[[#This Row],[Class]]="B", WORKDAY(Main[[#This Row],[Tech Start Date]],6),IF(Main[[#This Row],[Class]]="A",WORKDAY(Main[[#This Row],[Tech Start Date]],2),""))))</f>
        <v/>
      </c>
      <c r="N1028" s="77" t="str">
        <f>IF(Main[[#This Row],[Tech Start Date]]&lt;1/1/1990,"",IF(Main[[#This Row],[Class]]="C",WORKDAY(Main[[#This Row],[Tech Start Date]],19),IF(Main[[#This Row],[Class]]="B", WORKDAY(Main[[#This Row],[Tech Start Date]],12),IF(Main[[#This Row],[Class]]="A",WORKDAY(Main[[#This Row],[Tech Start Date]],4),""))))</f>
        <v/>
      </c>
      <c r="O1028" s="77" t="str">
        <f>IF(Main[[#This Row],[Tech Start Date]]&lt;1/1/1990,"",IF(Main[[#This Row],[Class]]="C",WORKDAY(Main[[#This Row],[Tech Start Date]],23),IF(Main[[#This Row],[Class]]="B", WORKDAY(Main[[#This Row],[Tech Start Date]],15),IF(Main[[#This Row],[Class]]="A",WORKDAY(Main[[#This Row],[Tech Start Date]],5),""))))</f>
        <v/>
      </c>
      <c r="P1028" s="77" t="str">
        <f>IF(Main[[#This Row],[Tech Start Date]]&lt;1/1/1990,"",IF(Main[[#This Row],[Class]]="C",WORKDAY(Main[[#This Row],[Tech Start Date]],28),IF(Main[[#This Row],[Class]]="B", WORKDAY(Main[[#This Row],[Tech Start Date]],19),IF(Main[[#This Row],[Class]]="A",WORKDAY(Main[[#This Row],[Tech Start Date]],9),""))))</f>
        <v/>
      </c>
      <c r="Q1028" s="74">
        <v>40715</v>
      </c>
      <c r="R1028" s="74"/>
      <c r="S1028" s="72" t="s">
        <v>11</v>
      </c>
      <c r="T1028" s="80" t="s">
        <v>4</v>
      </c>
      <c r="U1028" s="72" t="s">
        <v>14</v>
      </c>
      <c r="V1028" s="72" t="s">
        <v>1918</v>
      </c>
      <c r="W1028" s="72" t="s">
        <v>1919</v>
      </c>
      <c r="X1028" s="72" t="s">
        <v>2822</v>
      </c>
      <c r="Y1028" s="72" t="s">
        <v>4</v>
      </c>
      <c r="Z1028" s="72" t="s">
        <v>4</v>
      </c>
      <c r="AA1028" s="146" t="s">
        <v>2822</v>
      </c>
    </row>
    <row r="1029" spans="1:27" ht="18.600000000000001" customHeight="1">
      <c r="A1029" s="139" t="str">
        <f>IF(priority(Main[[#This Row],[Comments]])&lt;&gt;0, priority(Main[[#This Row],[Comments]]),"")</f>
        <v/>
      </c>
      <c r="B1029" s="89" t="s">
        <v>2169</v>
      </c>
      <c r="C1029" s="72" t="s">
        <v>2163</v>
      </c>
      <c r="D1029" s="73" t="s">
        <v>2164</v>
      </c>
      <c r="E1029" s="74">
        <v>40781.39603009259</v>
      </c>
      <c r="F1029" s="74"/>
      <c r="G1029" s="75" t="str">
        <f>IF(stdProdLT(Main[[#This Row],[Comments]])=0.1,"N/A",IF(stdProdLT(Main[[#This Row],[Comments]])=0,"",stdProdLT(Main[[#This Row],[Comments]])))</f>
        <v/>
      </c>
      <c r="H1029" s="76" t="str">
        <f>IF(AND(Main[[#This Row],[In Stock Date]]&lt;&gt;"",Main[[#This Row],[Revised Due Date]]&lt;&gt;""),Main[[#This Row],[In Stock Date]]-Main[[#This Row],[Revised Due Date]],"")</f>
        <v/>
      </c>
      <c r="I1029" s="72" t="s">
        <v>69</v>
      </c>
      <c r="J1029" s="72" t="s">
        <v>1981</v>
      </c>
      <c r="K1029" s="81" t="s">
        <v>1926</v>
      </c>
      <c r="L1029" s="74"/>
      <c r="M1029" s="77" t="str">
        <f>IF(Main[[#This Row],[Tech Start Date]]&lt;1/1/1990,"",IF(Main[[#This Row],[Class]]="C",WORKDAY(Main[[#This Row],[Tech Start Date]],9),IF(Main[[#This Row],[Class]]="B", WORKDAY(Main[[#This Row],[Tech Start Date]],6),IF(Main[[#This Row],[Class]]="A",WORKDAY(Main[[#This Row],[Tech Start Date]],2),""))))</f>
        <v/>
      </c>
      <c r="N1029" s="77" t="str">
        <f>IF(Main[[#This Row],[Tech Start Date]]&lt;1/1/1990,"",IF(Main[[#This Row],[Class]]="C",WORKDAY(Main[[#This Row],[Tech Start Date]],19),IF(Main[[#This Row],[Class]]="B", WORKDAY(Main[[#This Row],[Tech Start Date]],12),IF(Main[[#This Row],[Class]]="A",WORKDAY(Main[[#This Row],[Tech Start Date]],4),""))))</f>
        <v/>
      </c>
      <c r="O1029" s="77" t="str">
        <f>IF(Main[[#This Row],[Tech Start Date]]&lt;1/1/1990,"",IF(Main[[#This Row],[Class]]="C",WORKDAY(Main[[#This Row],[Tech Start Date]],23),IF(Main[[#This Row],[Class]]="B", WORKDAY(Main[[#This Row],[Tech Start Date]],15),IF(Main[[#This Row],[Class]]="A",WORKDAY(Main[[#This Row],[Tech Start Date]],5),""))))</f>
        <v/>
      </c>
      <c r="P1029" s="77" t="str">
        <f>IF(Main[[#This Row],[Tech Start Date]]&lt;1/1/1990,"",IF(Main[[#This Row],[Class]]="C",WORKDAY(Main[[#This Row],[Tech Start Date]],28),IF(Main[[#This Row],[Class]]="B", WORKDAY(Main[[#This Row],[Tech Start Date]],19),IF(Main[[#This Row],[Class]]="A",WORKDAY(Main[[#This Row],[Tech Start Date]],9),""))))</f>
        <v/>
      </c>
      <c r="Q1029" s="74">
        <v>40836</v>
      </c>
      <c r="R1029" s="74"/>
      <c r="S1029" s="72" t="s">
        <v>6</v>
      </c>
      <c r="T1029" s="80" t="s">
        <v>4</v>
      </c>
      <c r="U1029" s="72" t="s">
        <v>29</v>
      </c>
      <c r="V1029" s="72" t="s">
        <v>1920</v>
      </c>
      <c r="W1029" s="72" t="s">
        <v>1921</v>
      </c>
      <c r="X1029" s="72" t="s">
        <v>2842</v>
      </c>
      <c r="Y1029" s="72" t="s">
        <v>2971</v>
      </c>
      <c r="Z1029" s="72" t="s">
        <v>30</v>
      </c>
      <c r="AA1029" s="146" t="s">
        <v>2842</v>
      </c>
    </row>
    <row r="1030" spans="1:27" ht="18.600000000000001" customHeight="1">
      <c r="A1030" s="139" t="str">
        <f>IF(priority(Main[[#This Row],[Comments]])&lt;&gt;0, priority(Main[[#This Row],[Comments]]),"")</f>
        <v/>
      </c>
      <c r="B1030" s="89" t="s">
        <v>1784</v>
      </c>
      <c r="C1030" s="72" t="s">
        <v>180</v>
      </c>
      <c r="D1030" s="73" t="s">
        <v>825</v>
      </c>
      <c r="E1030" s="74"/>
      <c r="F1030" s="74">
        <v>40389</v>
      </c>
      <c r="G1030" s="75" t="str">
        <f>IF(stdProdLT(Main[[#This Row],[Comments]])=0.1,"N/A",IF(stdProdLT(Main[[#This Row],[Comments]])=0,"",stdProdLT(Main[[#This Row],[Comments]])))</f>
        <v/>
      </c>
      <c r="H1030" s="76" t="str">
        <f>IF(AND(Main[[#This Row],[In Stock Date]]&lt;&gt;"",Main[[#This Row],[Revised Due Date]]&lt;&gt;""),Main[[#This Row],[In Stock Date]]-Main[[#This Row],[Revised Due Date]],"")</f>
        <v/>
      </c>
      <c r="I1030" s="72" t="s">
        <v>4</v>
      </c>
      <c r="J1030" s="72" t="s">
        <v>4</v>
      </c>
      <c r="K1030" s="72" t="s">
        <v>4</v>
      </c>
      <c r="L1030" s="74"/>
      <c r="M1030" s="77" t="str">
        <f>IF(Main[[#This Row],[Tech Start Date]]&lt;1/1/1990,"",IF(Main[[#This Row],[Class]]="C",WORKDAY(Main[[#This Row],[Tech Start Date]],9),IF(Main[[#This Row],[Class]]="B", WORKDAY(Main[[#This Row],[Tech Start Date]],6),IF(Main[[#This Row],[Class]]="A",WORKDAY(Main[[#This Row],[Tech Start Date]],2),""))))</f>
        <v/>
      </c>
      <c r="N1030" s="77" t="str">
        <f>IF(Main[[#This Row],[Tech Start Date]]&lt;1/1/1990,"",IF(Main[[#This Row],[Class]]="C",WORKDAY(Main[[#This Row],[Tech Start Date]],19),IF(Main[[#This Row],[Class]]="B", WORKDAY(Main[[#This Row],[Tech Start Date]],12),IF(Main[[#This Row],[Class]]="A",WORKDAY(Main[[#This Row],[Tech Start Date]],4),""))))</f>
        <v/>
      </c>
      <c r="O1030" s="77" t="str">
        <f>IF(Main[[#This Row],[Tech Start Date]]&lt;1/1/1990,"",IF(Main[[#This Row],[Class]]="C",WORKDAY(Main[[#This Row],[Tech Start Date]],23),IF(Main[[#This Row],[Class]]="B", WORKDAY(Main[[#This Row],[Tech Start Date]],15),IF(Main[[#This Row],[Class]]="A",WORKDAY(Main[[#This Row],[Tech Start Date]],5),""))))</f>
        <v/>
      </c>
      <c r="P1030" s="77" t="str">
        <f>IF(Main[[#This Row],[Tech Start Date]]&lt;1/1/1990,"",IF(Main[[#This Row],[Class]]="C",WORKDAY(Main[[#This Row],[Tech Start Date]],28),IF(Main[[#This Row],[Class]]="B", WORKDAY(Main[[#This Row],[Tech Start Date]],19),IF(Main[[#This Row],[Class]]="A",WORKDAY(Main[[#This Row],[Tech Start Date]],9),""))))</f>
        <v/>
      </c>
      <c r="Q1030" s="74">
        <v>40298</v>
      </c>
      <c r="R1030" s="74"/>
      <c r="S1030" s="72" t="s">
        <v>11</v>
      </c>
      <c r="T1030" s="80" t="s">
        <v>4</v>
      </c>
      <c r="U1030" s="72" t="s">
        <v>14</v>
      </c>
      <c r="V1030" s="72" t="s">
        <v>1917</v>
      </c>
      <c r="W1030" s="72" t="s">
        <v>1923</v>
      </c>
      <c r="X1030" s="72" t="s">
        <v>2830</v>
      </c>
      <c r="Y1030" s="72" t="s">
        <v>2949</v>
      </c>
      <c r="Z1030" s="72" t="s">
        <v>4</v>
      </c>
      <c r="AA1030" s="146" t="s">
        <v>2830</v>
      </c>
    </row>
    <row r="1031" spans="1:27" ht="18.600000000000001" customHeight="1">
      <c r="A1031" s="139" t="str">
        <f>IF(priority(Main[[#This Row],[Comments]])&lt;&gt;0, priority(Main[[#This Row],[Comments]]),"")</f>
        <v/>
      </c>
      <c r="B1031" s="89" t="s">
        <v>1785</v>
      </c>
      <c r="C1031" s="72" t="s">
        <v>826</v>
      </c>
      <c r="D1031" s="73" t="s">
        <v>827</v>
      </c>
      <c r="E1031" s="74"/>
      <c r="F1031" s="74"/>
      <c r="G1031" s="75" t="str">
        <f>IF(stdProdLT(Main[[#This Row],[Comments]])=0.1,"N/A",IF(stdProdLT(Main[[#This Row],[Comments]])=0,"",stdProdLT(Main[[#This Row],[Comments]])))</f>
        <v/>
      </c>
      <c r="H1031" s="76" t="str">
        <f>IF(AND(Main[[#This Row],[In Stock Date]]&lt;&gt;"",Main[[#This Row],[Revised Due Date]]&lt;&gt;""),Main[[#This Row],[In Stock Date]]-Main[[#This Row],[Revised Due Date]],"")</f>
        <v/>
      </c>
      <c r="I1031" s="72" t="s">
        <v>4</v>
      </c>
      <c r="J1031" s="72" t="s">
        <v>4</v>
      </c>
      <c r="K1031" s="72" t="s">
        <v>4</v>
      </c>
      <c r="L1031" s="74"/>
      <c r="M1031" s="77" t="str">
        <f>IF(Main[[#This Row],[Tech Start Date]]&lt;1/1/1990,"",IF(Main[[#This Row],[Class]]="C",WORKDAY(Main[[#This Row],[Tech Start Date]],9),IF(Main[[#This Row],[Class]]="B", WORKDAY(Main[[#This Row],[Tech Start Date]],6),IF(Main[[#This Row],[Class]]="A",WORKDAY(Main[[#This Row],[Tech Start Date]],2),""))))</f>
        <v/>
      </c>
      <c r="N1031" s="77" t="str">
        <f>IF(Main[[#This Row],[Tech Start Date]]&lt;1/1/1990,"",IF(Main[[#This Row],[Class]]="C",WORKDAY(Main[[#This Row],[Tech Start Date]],19),IF(Main[[#This Row],[Class]]="B", WORKDAY(Main[[#This Row],[Tech Start Date]],12),IF(Main[[#This Row],[Class]]="A",WORKDAY(Main[[#This Row],[Tech Start Date]],4),""))))</f>
        <v/>
      </c>
      <c r="O1031" s="77" t="str">
        <f>IF(Main[[#This Row],[Tech Start Date]]&lt;1/1/1990,"",IF(Main[[#This Row],[Class]]="C",WORKDAY(Main[[#This Row],[Tech Start Date]],23),IF(Main[[#This Row],[Class]]="B", WORKDAY(Main[[#This Row],[Tech Start Date]],15),IF(Main[[#This Row],[Class]]="A",WORKDAY(Main[[#This Row],[Tech Start Date]],5),""))))</f>
        <v/>
      </c>
      <c r="P1031" s="77" t="str">
        <f>IF(Main[[#This Row],[Tech Start Date]]&lt;1/1/1990,"",IF(Main[[#This Row],[Class]]="C",WORKDAY(Main[[#This Row],[Tech Start Date]],28),IF(Main[[#This Row],[Class]]="B", WORKDAY(Main[[#This Row],[Tech Start Date]],19),IF(Main[[#This Row],[Class]]="A",WORKDAY(Main[[#This Row],[Tech Start Date]],9),""))))</f>
        <v/>
      </c>
      <c r="Q1031" s="74"/>
      <c r="R1031" s="74"/>
      <c r="S1031" s="72" t="s">
        <v>11</v>
      </c>
      <c r="T1031" s="80" t="s">
        <v>4</v>
      </c>
      <c r="U1031" s="72" t="s">
        <v>14</v>
      </c>
      <c r="V1031" s="72" t="s">
        <v>1920</v>
      </c>
      <c r="W1031" s="72" t="s">
        <v>1928</v>
      </c>
      <c r="X1031" s="72" t="s">
        <v>2874</v>
      </c>
      <c r="Y1031" s="72" t="s">
        <v>3018</v>
      </c>
      <c r="Z1031" s="72" t="s">
        <v>4</v>
      </c>
      <c r="AA1031" s="146" t="s">
        <v>3453</v>
      </c>
    </row>
    <row r="1032" spans="1:27" ht="18.600000000000001" customHeight="1">
      <c r="A1032" s="139" t="str">
        <f>IF(priority(Main[[#This Row],[Comments]])&lt;&gt;0, priority(Main[[#This Row],[Comments]]),"")</f>
        <v/>
      </c>
      <c r="B1032" s="89" t="s">
        <v>1787</v>
      </c>
      <c r="C1032" s="72" t="s">
        <v>4</v>
      </c>
      <c r="D1032" s="73" t="s">
        <v>830</v>
      </c>
      <c r="E1032" s="74"/>
      <c r="F1032" s="74"/>
      <c r="G1032" s="75" t="str">
        <f>IF(stdProdLT(Main[[#This Row],[Comments]])=0.1,"N/A",IF(stdProdLT(Main[[#This Row],[Comments]])=0,"",stdProdLT(Main[[#This Row],[Comments]])))</f>
        <v/>
      </c>
      <c r="H1032" s="76" t="str">
        <f>IF(AND(Main[[#This Row],[In Stock Date]]&lt;&gt;"",Main[[#This Row],[Revised Due Date]]&lt;&gt;""),Main[[#This Row],[In Stock Date]]-Main[[#This Row],[Revised Due Date]],"")</f>
        <v/>
      </c>
      <c r="I1032" s="72" t="s">
        <v>4</v>
      </c>
      <c r="J1032" s="72" t="s">
        <v>4</v>
      </c>
      <c r="K1032" s="72" t="s">
        <v>4</v>
      </c>
      <c r="L1032" s="74"/>
      <c r="M1032" s="77" t="str">
        <f>IF(Main[[#This Row],[Tech Start Date]]&lt;1/1/1990,"",IF(Main[[#This Row],[Class]]="C",WORKDAY(Main[[#This Row],[Tech Start Date]],9),IF(Main[[#This Row],[Class]]="B", WORKDAY(Main[[#This Row],[Tech Start Date]],6),IF(Main[[#This Row],[Class]]="A",WORKDAY(Main[[#This Row],[Tech Start Date]],2),""))))</f>
        <v/>
      </c>
      <c r="N1032" s="77" t="str">
        <f>IF(Main[[#This Row],[Tech Start Date]]&lt;1/1/1990,"",IF(Main[[#This Row],[Class]]="C",WORKDAY(Main[[#This Row],[Tech Start Date]],19),IF(Main[[#This Row],[Class]]="B", WORKDAY(Main[[#This Row],[Tech Start Date]],12),IF(Main[[#This Row],[Class]]="A",WORKDAY(Main[[#This Row],[Tech Start Date]],4),""))))</f>
        <v/>
      </c>
      <c r="O1032" s="77" t="str">
        <f>IF(Main[[#This Row],[Tech Start Date]]&lt;1/1/1990,"",IF(Main[[#This Row],[Class]]="C",WORKDAY(Main[[#This Row],[Tech Start Date]],23),IF(Main[[#This Row],[Class]]="B", WORKDAY(Main[[#This Row],[Tech Start Date]],15),IF(Main[[#This Row],[Class]]="A",WORKDAY(Main[[#This Row],[Tech Start Date]],5),""))))</f>
        <v/>
      </c>
      <c r="P1032" s="77" t="str">
        <f>IF(Main[[#This Row],[Tech Start Date]]&lt;1/1/1990,"",IF(Main[[#This Row],[Class]]="C",WORKDAY(Main[[#This Row],[Tech Start Date]],28),IF(Main[[#This Row],[Class]]="B", WORKDAY(Main[[#This Row],[Tech Start Date]],19),IF(Main[[#This Row],[Class]]="A",WORKDAY(Main[[#This Row],[Tech Start Date]],9),""))))</f>
        <v/>
      </c>
      <c r="Q1032" s="74"/>
      <c r="R1032" s="74"/>
      <c r="S1032" s="72" t="s">
        <v>11</v>
      </c>
      <c r="T1032" s="80" t="s">
        <v>4</v>
      </c>
      <c r="U1032" s="72" t="s">
        <v>12</v>
      </c>
      <c r="V1032" s="72" t="s">
        <v>1918</v>
      </c>
      <c r="W1032" s="72" t="s">
        <v>1922</v>
      </c>
      <c r="X1032" s="72" t="s">
        <v>971</v>
      </c>
      <c r="Y1032" s="72" t="s">
        <v>3091</v>
      </c>
      <c r="Z1032" s="72" t="s">
        <v>4</v>
      </c>
      <c r="AA1032" s="146" t="s">
        <v>971</v>
      </c>
    </row>
    <row r="1033" spans="1:27" ht="18.600000000000001" customHeight="1">
      <c r="A1033" s="139" t="str">
        <f>IF(priority(Main[[#This Row],[Comments]])&lt;&gt;0, priority(Main[[#This Row],[Comments]]),"")</f>
        <v/>
      </c>
      <c r="B1033" s="89" t="s">
        <v>1758</v>
      </c>
      <c r="C1033" s="72" t="s">
        <v>4</v>
      </c>
      <c r="D1033" s="73" t="s">
        <v>805</v>
      </c>
      <c r="E1033" s="74">
        <v>40584.403622685182</v>
      </c>
      <c r="F1033" s="74">
        <v>40602</v>
      </c>
      <c r="G1033" s="75" t="str">
        <f>IF(stdProdLT(Main[[#This Row],[Comments]])=0.1,"N/A",IF(stdProdLT(Main[[#This Row],[Comments]])=0,"",stdProdLT(Main[[#This Row],[Comments]])))</f>
        <v/>
      </c>
      <c r="H1033" s="76" t="str">
        <f>IF(AND(Main[[#This Row],[In Stock Date]]&lt;&gt;"",Main[[#This Row],[Revised Due Date]]&lt;&gt;""),Main[[#This Row],[In Stock Date]]-Main[[#This Row],[Revised Due Date]],"")</f>
        <v/>
      </c>
      <c r="I1033" s="72" t="s">
        <v>4</v>
      </c>
      <c r="J1033" s="72" t="s">
        <v>28</v>
      </c>
      <c r="K1033" s="72" t="s">
        <v>1929</v>
      </c>
      <c r="L1033" s="74"/>
      <c r="M1033" s="77" t="str">
        <f>IF(Main[[#This Row],[Tech Start Date]]&lt;1/1/1990,"",IF(Main[[#This Row],[Class]]="C",WORKDAY(Main[[#This Row],[Tech Start Date]],9),IF(Main[[#This Row],[Class]]="B", WORKDAY(Main[[#This Row],[Tech Start Date]],6),IF(Main[[#This Row],[Class]]="A",WORKDAY(Main[[#This Row],[Tech Start Date]],2),""))))</f>
        <v/>
      </c>
      <c r="N1033" s="77" t="str">
        <f>IF(Main[[#This Row],[Tech Start Date]]&lt;1/1/1990,"",IF(Main[[#This Row],[Class]]="C",WORKDAY(Main[[#This Row],[Tech Start Date]],19),IF(Main[[#This Row],[Class]]="B", WORKDAY(Main[[#This Row],[Tech Start Date]],12),IF(Main[[#This Row],[Class]]="A",WORKDAY(Main[[#This Row],[Tech Start Date]],4),""))))</f>
        <v/>
      </c>
      <c r="O1033" s="77" t="str">
        <f>IF(Main[[#This Row],[Tech Start Date]]&lt;1/1/1990,"",IF(Main[[#This Row],[Class]]="C",WORKDAY(Main[[#This Row],[Tech Start Date]],23),IF(Main[[#This Row],[Class]]="B", WORKDAY(Main[[#This Row],[Tech Start Date]],15),IF(Main[[#This Row],[Class]]="A",WORKDAY(Main[[#This Row],[Tech Start Date]],5),""))))</f>
        <v/>
      </c>
      <c r="P1033" s="77" t="str">
        <f>IF(Main[[#This Row],[Tech Start Date]]&lt;1/1/1990,"",IF(Main[[#This Row],[Class]]="C",WORKDAY(Main[[#This Row],[Tech Start Date]],28),IF(Main[[#This Row],[Class]]="B", WORKDAY(Main[[#This Row],[Tech Start Date]],19),IF(Main[[#This Row],[Class]]="A",WORKDAY(Main[[#This Row],[Tech Start Date]],9),""))))</f>
        <v/>
      </c>
      <c r="Q1033" s="74">
        <v>40602</v>
      </c>
      <c r="R1033" s="74"/>
      <c r="S1033" s="72" t="s">
        <v>17</v>
      </c>
      <c r="T1033" s="80" t="s">
        <v>4</v>
      </c>
      <c r="U1033" s="72" t="s">
        <v>7</v>
      </c>
      <c r="V1033" s="72" t="s">
        <v>1917</v>
      </c>
      <c r="W1033" s="72" t="s">
        <v>1925</v>
      </c>
      <c r="X1033" s="72" t="s">
        <v>2834</v>
      </c>
      <c r="Y1033" s="72" t="s">
        <v>2956</v>
      </c>
      <c r="Z1033" s="72" t="s">
        <v>129</v>
      </c>
      <c r="AA1033" s="146" t="s">
        <v>2834</v>
      </c>
    </row>
    <row r="1034" spans="1:27" ht="18.600000000000001" customHeight="1">
      <c r="A1034" s="139" t="str">
        <f>IF(priority(Main[[#This Row],[Comments]])&lt;&gt;0, priority(Main[[#This Row],[Comments]]),"")</f>
        <v/>
      </c>
      <c r="B1034" s="89" t="s">
        <v>1735</v>
      </c>
      <c r="C1034" s="72" t="s">
        <v>4</v>
      </c>
      <c r="D1034" s="73" t="s">
        <v>2233</v>
      </c>
      <c r="E1034" s="74"/>
      <c r="F1034" s="74"/>
      <c r="G1034" s="75" t="str">
        <f>IF(stdProdLT(Main[[#This Row],[Comments]])=0.1,"N/A",IF(stdProdLT(Main[[#This Row],[Comments]])=0,"",stdProdLT(Main[[#This Row],[Comments]])))</f>
        <v/>
      </c>
      <c r="H1034" s="76" t="str">
        <f>IF(AND(Main[[#This Row],[In Stock Date]]&lt;&gt;"",Main[[#This Row],[Revised Due Date]]&lt;&gt;""),Main[[#This Row],[In Stock Date]]-Main[[#This Row],[Revised Due Date]],"")</f>
        <v/>
      </c>
      <c r="I1034" s="72" t="s">
        <v>914</v>
      </c>
      <c r="J1034" s="72" t="s">
        <v>21</v>
      </c>
      <c r="K1034" s="72" t="s">
        <v>1926</v>
      </c>
      <c r="L1034" s="74"/>
      <c r="M1034" s="77" t="str">
        <f>IF(Main[[#This Row],[Tech Start Date]]&lt;1/1/1990,"",IF(Main[[#This Row],[Class]]="C",WORKDAY(Main[[#This Row],[Tech Start Date]],9),IF(Main[[#This Row],[Class]]="B", WORKDAY(Main[[#This Row],[Tech Start Date]],6),IF(Main[[#This Row],[Class]]="A",WORKDAY(Main[[#This Row],[Tech Start Date]],2),""))))</f>
        <v/>
      </c>
      <c r="N1034" s="77" t="str">
        <f>IF(Main[[#This Row],[Tech Start Date]]&lt;1/1/1990,"",IF(Main[[#This Row],[Class]]="C",WORKDAY(Main[[#This Row],[Tech Start Date]],19),IF(Main[[#This Row],[Class]]="B", WORKDAY(Main[[#This Row],[Tech Start Date]],12),IF(Main[[#This Row],[Class]]="A",WORKDAY(Main[[#This Row],[Tech Start Date]],4),""))))</f>
        <v/>
      </c>
      <c r="O1034" s="77" t="str">
        <f>IF(Main[[#This Row],[Tech Start Date]]&lt;1/1/1990,"",IF(Main[[#This Row],[Class]]="C",WORKDAY(Main[[#This Row],[Tech Start Date]],23),IF(Main[[#This Row],[Class]]="B", WORKDAY(Main[[#This Row],[Tech Start Date]],15),IF(Main[[#This Row],[Class]]="A",WORKDAY(Main[[#This Row],[Tech Start Date]],5),""))))</f>
        <v/>
      </c>
      <c r="P1034" s="77" t="str">
        <f>IF(Main[[#This Row],[Tech Start Date]]&lt;1/1/1990,"",IF(Main[[#This Row],[Class]]="C",WORKDAY(Main[[#This Row],[Tech Start Date]],28),IF(Main[[#This Row],[Class]]="B", WORKDAY(Main[[#This Row],[Tech Start Date]],19),IF(Main[[#This Row],[Class]]="A",WORKDAY(Main[[#This Row],[Tech Start Date]],9),""))))</f>
        <v/>
      </c>
      <c r="Q1034" s="74"/>
      <c r="R1034" s="74"/>
      <c r="S1034" s="72" t="s">
        <v>23</v>
      </c>
      <c r="T1034" s="80" t="s">
        <v>4</v>
      </c>
      <c r="U1034" s="72" t="s">
        <v>14</v>
      </c>
      <c r="V1034" s="72" t="s">
        <v>1917</v>
      </c>
      <c r="W1034" s="72" t="s">
        <v>1921</v>
      </c>
      <c r="X1034" s="72" t="s">
        <v>399</v>
      </c>
      <c r="Y1034" s="72" t="s">
        <v>4</v>
      </c>
      <c r="Z1034" s="72" t="s">
        <v>914</v>
      </c>
      <c r="AA1034" s="146" t="s">
        <v>3459</v>
      </c>
    </row>
    <row r="1035" spans="1:27" ht="18.600000000000001" customHeight="1">
      <c r="A1035" s="139" t="str">
        <f>IF(priority(Main[[#This Row],[Comments]])&lt;&gt;0, priority(Main[[#This Row],[Comments]]),"")</f>
        <v/>
      </c>
      <c r="B1035" s="89" t="s">
        <v>1403</v>
      </c>
      <c r="C1035" s="72" t="s">
        <v>4</v>
      </c>
      <c r="D1035" s="73" t="s">
        <v>2199</v>
      </c>
      <c r="E1035" s="74"/>
      <c r="F1035" s="74"/>
      <c r="G1035" s="75" t="str">
        <f>IF(stdProdLT(Main[[#This Row],[Comments]])=0.1,"N/A",IF(stdProdLT(Main[[#This Row],[Comments]])=0,"",stdProdLT(Main[[#This Row],[Comments]])))</f>
        <v/>
      </c>
      <c r="H1035" s="76" t="str">
        <f>IF(AND(Main[[#This Row],[In Stock Date]]&lt;&gt;"",Main[[#This Row],[Revised Due Date]]&lt;&gt;""),Main[[#This Row],[In Stock Date]]-Main[[#This Row],[Revised Due Date]],"")</f>
        <v/>
      </c>
      <c r="I1035" s="72" t="s">
        <v>530</v>
      </c>
      <c r="J1035" s="72" t="s">
        <v>52</v>
      </c>
      <c r="K1035" s="72" t="s">
        <v>1926</v>
      </c>
      <c r="L1035" s="74"/>
      <c r="M1035" s="77" t="str">
        <f>IF(Main[[#This Row],[Tech Start Date]]&lt;1/1/1990,"",IF(Main[[#This Row],[Class]]="C",WORKDAY(Main[[#This Row],[Tech Start Date]],9),IF(Main[[#This Row],[Class]]="B", WORKDAY(Main[[#This Row],[Tech Start Date]],6),IF(Main[[#This Row],[Class]]="A",WORKDAY(Main[[#This Row],[Tech Start Date]],2),""))))</f>
        <v/>
      </c>
      <c r="N1035" s="77" t="str">
        <f>IF(Main[[#This Row],[Tech Start Date]]&lt;1/1/1990,"",IF(Main[[#This Row],[Class]]="C",WORKDAY(Main[[#This Row],[Tech Start Date]],19),IF(Main[[#This Row],[Class]]="B", WORKDAY(Main[[#This Row],[Tech Start Date]],12),IF(Main[[#This Row],[Class]]="A",WORKDAY(Main[[#This Row],[Tech Start Date]],4),""))))</f>
        <v/>
      </c>
      <c r="O1035" s="77" t="str">
        <f>IF(Main[[#This Row],[Tech Start Date]]&lt;1/1/1990,"",IF(Main[[#This Row],[Class]]="C",WORKDAY(Main[[#This Row],[Tech Start Date]],23),IF(Main[[#This Row],[Class]]="B", WORKDAY(Main[[#This Row],[Tech Start Date]],15),IF(Main[[#This Row],[Class]]="A",WORKDAY(Main[[#This Row],[Tech Start Date]],5),""))))</f>
        <v/>
      </c>
      <c r="P1035" s="77" t="str">
        <f>IF(Main[[#This Row],[Tech Start Date]]&lt;1/1/1990,"",IF(Main[[#This Row],[Class]]="C",WORKDAY(Main[[#This Row],[Tech Start Date]],28),IF(Main[[#This Row],[Class]]="B", WORKDAY(Main[[#This Row],[Tech Start Date]],19),IF(Main[[#This Row],[Class]]="A",WORKDAY(Main[[#This Row],[Tech Start Date]],9),""))))</f>
        <v/>
      </c>
      <c r="Q1035" s="74">
        <v>40390</v>
      </c>
      <c r="R1035" s="74"/>
      <c r="S1035" s="72" t="s">
        <v>6</v>
      </c>
      <c r="T1035" s="80" t="s">
        <v>4</v>
      </c>
      <c r="U1035" s="72" t="s">
        <v>14</v>
      </c>
      <c r="V1035" s="72" t="s">
        <v>1920</v>
      </c>
      <c r="W1035" s="72" t="s">
        <v>1921</v>
      </c>
      <c r="X1035" s="72" t="s">
        <v>2825</v>
      </c>
      <c r="Y1035" s="72" t="s">
        <v>2938</v>
      </c>
      <c r="Z1035" s="72" t="s">
        <v>44</v>
      </c>
      <c r="AA1035" s="146" t="s">
        <v>2825</v>
      </c>
    </row>
    <row r="1036" spans="1:27" ht="18.600000000000001" customHeight="1">
      <c r="A1036" s="139" t="str">
        <f>IF(priority(Main[[#This Row],[Comments]])&lt;&gt;0, priority(Main[[#This Row],[Comments]]),"")</f>
        <v/>
      </c>
      <c r="B1036" s="89" t="s">
        <v>1650</v>
      </c>
      <c r="C1036" s="72" t="s">
        <v>499</v>
      </c>
      <c r="D1036" s="73" t="s">
        <v>2177</v>
      </c>
      <c r="E1036" s="74">
        <v>40655.401631944442</v>
      </c>
      <c r="F1036" s="74"/>
      <c r="G1036" s="75" t="str">
        <f>IF(stdProdLT(Main[[#This Row],[Comments]])=0.1,"N/A",IF(stdProdLT(Main[[#This Row],[Comments]])=0,"",stdProdLT(Main[[#This Row],[Comments]])))</f>
        <v/>
      </c>
      <c r="H1036" s="76" t="str">
        <f>IF(AND(Main[[#This Row],[In Stock Date]]&lt;&gt;"",Main[[#This Row],[Revised Due Date]]&lt;&gt;""),Main[[#This Row],[In Stock Date]]-Main[[#This Row],[Revised Due Date]],"")</f>
        <v/>
      </c>
      <c r="I1036" s="72" t="s">
        <v>50</v>
      </c>
      <c r="J1036" s="72" t="s">
        <v>52</v>
      </c>
      <c r="K1036" s="72" t="s">
        <v>1926</v>
      </c>
      <c r="L1036" s="74"/>
      <c r="M1036" s="77" t="str">
        <f>IF(Main[[#This Row],[Tech Start Date]]&lt;1/1/1990,"",IF(Main[[#This Row],[Class]]="C",WORKDAY(Main[[#This Row],[Tech Start Date]],9),IF(Main[[#This Row],[Class]]="B", WORKDAY(Main[[#This Row],[Tech Start Date]],6),IF(Main[[#This Row],[Class]]="A",WORKDAY(Main[[#This Row],[Tech Start Date]],2),""))))</f>
        <v/>
      </c>
      <c r="N1036" s="77" t="str">
        <f>IF(Main[[#This Row],[Tech Start Date]]&lt;1/1/1990,"",IF(Main[[#This Row],[Class]]="C",WORKDAY(Main[[#This Row],[Tech Start Date]],19),IF(Main[[#This Row],[Class]]="B", WORKDAY(Main[[#This Row],[Tech Start Date]],12),IF(Main[[#This Row],[Class]]="A",WORKDAY(Main[[#This Row],[Tech Start Date]],4),""))))</f>
        <v/>
      </c>
      <c r="O1036" s="77" t="str">
        <f>IF(Main[[#This Row],[Tech Start Date]]&lt;1/1/1990,"",IF(Main[[#This Row],[Class]]="C",WORKDAY(Main[[#This Row],[Tech Start Date]],23),IF(Main[[#This Row],[Class]]="B", WORKDAY(Main[[#This Row],[Tech Start Date]],15),IF(Main[[#This Row],[Class]]="A",WORKDAY(Main[[#This Row],[Tech Start Date]],5),""))))</f>
        <v/>
      </c>
      <c r="P1036" s="77" t="str">
        <f>IF(Main[[#This Row],[Tech Start Date]]&lt;1/1/1990,"",IF(Main[[#This Row],[Class]]="C",WORKDAY(Main[[#This Row],[Tech Start Date]],28),IF(Main[[#This Row],[Class]]="B", WORKDAY(Main[[#This Row],[Tech Start Date]],19),IF(Main[[#This Row],[Class]]="A",WORKDAY(Main[[#This Row],[Tech Start Date]],9),""))))</f>
        <v/>
      </c>
      <c r="Q1036" s="74"/>
      <c r="R1036" s="74"/>
      <c r="S1036" s="72" t="s">
        <v>6</v>
      </c>
      <c r="T1036" s="80" t="s">
        <v>4</v>
      </c>
      <c r="U1036" s="72" t="s">
        <v>534</v>
      </c>
      <c r="V1036" s="72" t="s">
        <v>1917</v>
      </c>
      <c r="W1036" s="72" t="s">
        <v>1923</v>
      </c>
      <c r="X1036" s="72" t="s">
        <v>399</v>
      </c>
      <c r="Y1036" s="72" t="s">
        <v>4</v>
      </c>
      <c r="Z1036" s="72" t="s">
        <v>129</v>
      </c>
      <c r="AA1036" s="146" t="s">
        <v>3460</v>
      </c>
    </row>
    <row r="1037" spans="1:27" ht="18.600000000000001" customHeight="1">
      <c r="A1037" s="139" t="str">
        <f>IF(priority(Main[[#This Row],[Comments]])&lt;&gt;0, priority(Main[[#This Row],[Comments]]),"")</f>
        <v/>
      </c>
      <c r="B1037" s="89" t="s">
        <v>1866</v>
      </c>
      <c r="C1037" s="72" t="s">
        <v>4</v>
      </c>
      <c r="D1037" s="73" t="s">
        <v>2678</v>
      </c>
      <c r="E1037" s="74">
        <v>40501.677928240744</v>
      </c>
      <c r="F1037" s="74"/>
      <c r="G1037" s="75" t="str">
        <f>IF(stdProdLT(Main[[#This Row],[Comments]])=0.1,"N/A",IF(stdProdLT(Main[[#This Row],[Comments]])=0,"",stdProdLT(Main[[#This Row],[Comments]])))</f>
        <v/>
      </c>
      <c r="H1037" s="76" t="str">
        <f>IF(AND(Main[[#This Row],[In Stock Date]]&lt;&gt;"",Main[[#This Row],[Revised Due Date]]&lt;&gt;""),Main[[#This Row],[In Stock Date]]-Main[[#This Row],[Revised Due Date]],"")</f>
        <v/>
      </c>
      <c r="I1037" s="72" t="s">
        <v>909</v>
      </c>
      <c r="J1037" s="72" t="s">
        <v>28</v>
      </c>
      <c r="K1037" s="72" t="s">
        <v>1929</v>
      </c>
      <c r="L1037" s="74"/>
      <c r="M1037" s="77" t="str">
        <f>IF(Main[[#This Row],[Tech Start Date]]&lt;1/1/1990,"",IF(Main[[#This Row],[Class]]="C",WORKDAY(Main[[#This Row],[Tech Start Date]],9),IF(Main[[#This Row],[Class]]="B", WORKDAY(Main[[#This Row],[Tech Start Date]],6),IF(Main[[#This Row],[Class]]="A",WORKDAY(Main[[#This Row],[Tech Start Date]],2),""))))</f>
        <v/>
      </c>
      <c r="N1037" s="77" t="str">
        <f>IF(Main[[#This Row],[Tech Start Date]]&lt;1/1/1990,"",IF(Main[[#This Row],[Class]]="C",WORKDAY(Main[[#This Row],[Tech Start Date]],19),IF(Main[[#This Row],[Class]]="B", WORKDAY(Main[[#This Row],[Tech Start Date]],12),IF(Main[[#This Row],[Class]]="A",WORKDAY(Main[[#This Row],[Tech Start Date]],4),""))))</f>
        <v/>
      </c>
      <c r="O1037" s="77" t="str">
        <f>IF(Main[[#This Row],[Tech Start Date]]&lt;1/1/1990,"",IF(Main[[#This Row],[Class]]="C",WORKDAY(Main[[#This Row],[Tech Start Date]],23),IF(Main[[#This Row],[Class]]="B", WORKDAY(Main[[#This Row],[Tech Start Date]],15),IF(Main[[#This Row],[Class]]="A",WORKDAY(Main[[#This Row],[Tech Start Date]],5),""))))</f>
        <v/>
      </c>
      <c r="P1037" s="77" t="str">
        <f>IF(Main[[#This Row],[Tech Start Date]]&lt;1/1/1990,"",IF(Main[[#This Row],[Class]]="C",WORKDAY(Main[[#This Row],[Tech Start Date]],28),IF(Main[[#This Row],[Class]]="B", WORKDAY(Main[[#This Row],[Tech Start Date]],19),IF(Main[[#This Row],[Class]]="A",WORKDAY(Main[[#This Row],[Tech Start Date]],9),""))))</f>
        <v/>
      </c>
      <c r="Q1037" s="74">
        <v>41274</v>
      </c>
      <c r="R1037" s="74">
        <v>41274</v>
      </c>
      <c r="S1037" s="72" t="s">
        <v>17</v>
      </c>
      <c r="T1037" s="80" t="s">
        <v>4</v>
      </c>
      <c r="U1037" s="72" t="s">
        <v>29</v>
      </c>
      <c r="V1037" s="72" t="s">
        <v>1917</v>
      </c>
      <c r="W1037" s="72" t="s">
        <v>1922</v>
      </c>
      <c r="X1037" s="72" t="s">
        <v>909</v>
      </c>
      <c r="Y1037" s="72" t="s">
        <v>4</v>
      </c>
      <c r="Z1037" s="72" t="s">
        <v>129</v>
      </c>
      <c r="AA1037" s="146" t="s">
        <v>2834</v>
      </c>
    </row>
    <row r="1038" spans="1:27" ht="18.600000000000001" customHeight="1">
      <c r="A1038" s="139" t="str">
        <f>IF(priority(Main[[#This Row],[Comments]])&lt;&gt;0, priority(Main[[#This Row],[Comments]]),"")</f>
        <v/>
      </c>
      <c r="B1038" s="89" t="s">
        <v>2239</v>
      </c>
      <c r="C1038" s="72" t="s">
        <v>4</v>
      </c>
      <c r="D1038" s="73" t="s">
        <v>2240</v>
      </c>
      <c r="E1038" s="74"/>
      <c r="F1038" s="74"/>
      <c r="G1038" s="75" t="str">
        <f>IF(stdProdLT(Main[[#This Row],[Comments]])=0.1,"N/A",IF(stdProdLT(Main[[#This Row],[Comments]])=0,"",stdProdLT(Main[[#This Row],[Comments]])))</f>
        <v/>
      </c>
      <c r="H1038" s="76" t="str">
        <f>IF(AND(Main[[#This Row],[In Stock Date]]&lt;&gt;"",Main[[#This Row],[Revised Due Date]]&lt;&gt;""),Main[[#This Row],[In Stock Date]]-Main[[#This Row],[Revised Due Date]],"")</f>
        <v/>
      </c>
      <c r="I1038" s="72" t="s">
        <v>4</v>
      </c>
      <c r="J1038" s="72" t="s">
        <v>4</v>
      </c>
      <c r="K1038" s="72" t="s">
        <v>4</v>
      </c>
      <c r="L1038" s="74"/>
      <c r="M1038" s="77" t="str">
        <f>IF(Main[[#This Row],[Tech Start Date]]&lt;1/1/1990,"",IF(Main[[#This Row],[Class]]="C",WORKDAY(Main[[#This Row],[Tech Start Date]],9),IF(Main[[#This Row],[Class]]="B", WORKDAY(Main[[#This Row],[Tech Start Date]],6),IF(Main[[#This Row],[Class]]="A",WORKDAY(Main[[#This Row],[Tech Start Date]],2),""))))</f>
        <v/>
      </c>
      <c r="N1038" s="77" t="str">
        <f>IF(Main[[#This Row],[Tech Start Date]]&lt;1/1/1990,"",IF(Main[[#This Row],[Class]]="C",WORKDAY(Main[[#This Row],[Tech Start Date]],19),IF(Main[[#This Row],[Class]]="B", WORKDAY(Main[[#This Row],[Tech Start Date]],12),IF(Main[[#This Row],[Class]]="A",WORKDAY(Main[[#This Row],[Tech Start Date]],4),""))))</f>
        <v/>
      </c>
      <c r="O1038" s="77" t="str">
        <f>IF(Main[[#This Row],[Tech Start Date]]&lt;1/1/1990,"",IF(Main[[#This Row],[Class]]="C",WORKDAY(Main[[#This Row],[Tech Start Date]],23),IF(Main[[#This Row],[Class]]="B", WORKDAY(Main[[#This Row],[Tech Start Date]],15),IF(Main[[#This Row],[Class]]="A",WORKDAY(Main[[#This Row],[Tech Start Date]],5),""))))</f>
        <v/>
      </c>
      <c r="P1038" s="77" t="str">
        <f>IF(Main[[#This Row],[Tech Start Date]]&lt;1/1/1990,"",IF(Main[[#This Row],[Class]]="C",WORKDAY(Main[[#This Row],[Tech Start Date]],28),IF(Main[[#This Row],[Class]]="B", WORKDAY(Main[[#This Row],[Tech Start Date]],19),IF(Main[[#This Row],[Class]]="A",WORKDAY(Main[[#This Row],[Tech Start Date]],9),""))))</f>
        <v/>
      </c>
      <c r="Q1038" s="74"/>
      <c r="R1038" s="74"/>
      <c r="S1038" s="72" t="s">
        <v>49</v>
      </c>
      <c r="T1038" s="80" t="s">
        <v>4</v>
      </c>
      <c r="U1038" s="72" t="s">
        <v>14</v>
      </c>
      <c r="V1038" s="72" t="s">
        <v>1932</v>
      </c>
      <c r="W1038" s="72" t="s">
        <v>1921</v>
      </c>
      <c r="X1038" s="72" t="s">
        <v>306</v>
      </c>
      <c r="Y1038" s="72" t="s">
        <v>4</v>
      </c>
      <c r="Z1038" s="72" t="s">
        <v>4</v>
      </c>
      <c r="AA1038" s="146" t="s">
        <v>4</v>
      </c>
    </row>
    <row r="1039" spans="1:27" ht="18.600000000000001" customHeight="1">
      <c r="A1039" s="139" t="str">
        <f>IF(priority(Main[[#This Row],[Comments]])&lt;&gt;0, priority(Main[[#This Row],[Comments]]),"")</f>
        <v/>
      </c>
      <c r="B1039" s="89" t="s">
        <v>2410</v>
      </c>
      <c r="C1039" s="72" t="s">
        <v>2011</v>
      </c>
      <c r="D1039" s="73" t="s">
        <v>2383</v>
      </c>
      <c r="E1039" s="74"/>
      <c r="F1039" s="74"/>
      <c r="G1039" s="75" t="str">
        <f>IF(stdProdLT(Main[[#This Row],[Comments]])=0.1,"N/A",IF(stdProdLT(Main[[#This Row],[Comments]])=0,"",stdProdLT(Main[[#This Row],[Comments]])))</f>
        <v/>
      </c>
      <c r="H1039" s="76" t="str">
        <f>IF(AND(Main[[#This Row],[In Stock Date]]&lt;&gt;"",Main[[#This Row],[Revised Due Date]]&lt;&gt;""),Main[[#This Row],[In Stock Date]]-Main[[#This Row],[Revised Due Date]],"")</f>
        <v/>
      </c>
      <c r="I1039" s="72" t="s">
        <v>4</v>
      </c>
      <c r="J1039" s="72" t="s">
        <v>4</v>
      </c>
      <c r="K1039" s="72" t="s">
        <v>4</v>
      </c>
      <c r="L1039" s="74"/>
      <c r="M1039" s="77" t="str">
        <f>IF(Main[[#This Row],[Tech Start Date]]&lt;1/1/1990,"",IF(Main[[#This Row],[Class]]="C",WORKDAY(Main[[#This Row],[Tech Start Date]],9),IF(Main[[#This Row],[Class]]="B", WORKDAY(Main[[#This Row],[Tech Start Date]],6),IF(Main[[#This Row],[Class]]="A",WORKDAY(Main[[#This Row],[Tech Start Date]],2),""))))</f>
        <v/>
      </c>
      <c r="N1039" s="77" t="str">
        <f>IF(Main[[#This Row],[Tech Start Date]]&lt;1/1/1990,"",IF(Main[[#This Row],[Class]]="C",WORKDAY(Main[[#This Row],[Tech Start Date]],19),IF(Main[[#This Row],[Class]]="B", WORKDAY(Main[[#This Row],[Tech Start Date]],12),IF(Main[[#This Row],[Class]]="A",WORKDAY(Main[[#This Row],[Tech Start Date]],4),""))))</f>
        <v/>
      </c>
      <c r="O1039" s="77" t="str">
        <f>IF(Main[[#This Row],[Tech Start Date]]&lt;1/1/1990,"",IF(Main[[#This Row],[Class]]="C",WORKDAY(Main[[#This Row],[Tech Start Date]],23),IF(Main[[#This Row],[Class]]="B", WORKDAY(Main[[#This Row],[Tech Start Date]],15),IF(Main[[#This Row],[Class]]="A",WORKDAY(Main[[#This Row],[Tech Start Date]],5),""))))</f>
        <v/>
      </c>
      <c r="P1039" s="77" t="str">
        <f>IF(Main[[#This Row],[Tech Start Date]]&lt;1/1/1990,"",IF(Main[[#This Row],[Class]]="C",WORKDAY(Main[[#This Row],[Tech Start Date]],28),IF(Main[[#This Row],[Class]]="B", WORKDAY(Main[[#This Row],[Tech Start Date]],19),IF(Main[[#This Row],[Class]]="A",WORKDAY(Main[[#This Row],[Tech Start Date]],9),""))))</f>
        <v/>
      </c>
      <c r="Q1039" s="74">
        <v>40908</v>
      </c>
      <c r="R1039" s="74"/>
      <c r="S1039" s="72" t="s">
        <v>11</v>
      </c>
      <c r="T1039" s="80" t="s">
        <v>4</v>
      </c>
      <c r="U1039" s="72" t="s">
        <v>14</v>
      </c>
      <c r="V1039" s="72" t="s">
        <v>1920</v>
      </c>
      <c r="W1039" s="72" t="s">
        <v>1919</v>
      </c>
      <c r="X1039" s="72" t="s">
        <v>554</v>
      </c>
      <c r="Y1039" s="72" t="s">
        <v>2958</v>
      </c>
      <c r="Z1039" s="72" t="s">
        <v>4</v>
      </c>
      <c r="AA1039" s="146" t="s">
        <v>554</v>
      </c>
    </row>
    <row r="1040" spans="1:27" ht="18.600000000000001" customHeight="1">
      <c r="A1040" s="139" t="str">
        <f>IF(priority(Main[[#This Row],[Comments]])&lt;&gt;0, priority(Main[[#This Row],[Comments]]),"")</f>
        <v/>
      </c>
      <c r="B1040" s="89" t="s">
        <v>1553</v>
      </c>
      <c r="C1040" s="72" t="s">
        <v>4</v>
      </c>
      <c r="D1040" s="73" t="s">
        <v>635</v>
      </c>
      <c r="E1040" s="74">
        <v>40711.765081018515</v>
      </c>
      <c r="F1040" s="74"/>
      <c r="G1040" s="75" t="str">
        <f>IF(stdProdLT(Main[[#This Row],[Comments]])=0.1,"N/A",IF(stdProdLT(Main[[#This Row],[Comments]])=0,"",stdProdLT(Main[[#This Row],[Comments]])))</f>
        <v/>
      </c>
      <c r="H1040" s="76" t="str">
        <f>IF(AND(Main[[#This Row],[In Stock Date]]&lt;&gt;"",Main[[#This Row],[Revised Due Date]]&lt;&gt;""),Main[[#This Row],[In Stock Date]]-Main[[#This Row],[Revised Due Date]],"")</f>
        <v/>
      </c>
      <c r="I1040" s="72" t="s">
        <v>2056</v>
      </c>
      <c r="J1040" s="72" t="s">
        <v>21</v>
      </c>
      <c r="K1040" s="72" t="s">
        <v>1926</v>
      </c>
      <c r="L1040" s="74"/>
      <c r="M1040" s="77" t="str">
        <f>IF(Main[[#This Row],[Tech Start Date]]&lt;1/1/1990,"",IF(Main[[#This Row],[Class]]="C",WORKDAY(Main[[#This Row],[Tech Start Date]],9),IF(Main[[#This Row],[Class]]="B", WORKDAY(Main[[#This Row],[Tech Start Date]],6),IF(Main[[#This Row],[Class]]="A",WORKDAY(Main[[#This Row],[Tech Start Date]],2),""))))</f>
        <v/>
      </c>
      <c r="N1040" s="77" t="str">
        <f>IF(Main[[#This Row],[Tech Start Date]]&lt;1/1/1990,"",IF(Main[[#This Row],[Class]]="C",WORKDAY(Main[[#This Row],[Tech Start Date]],19),IF(Main[[#This Row],[Class]]="B", WORKDAY(Main[[#This Row],[Tech Start Date]],12),IF(Main[[#This Row],[Class]]="A",WORKDAY(Main[[#This Row],[Tech Start Date]],4),""))))</f>
        <v/>
      </c>
      <c r="O1040" s="77" t="str">
        <f>IF(Main[[#This Row],[Tech Start Date]]&lt;1/1/1990,"",IF(Main[[#This Row],[Class]]="C",WORKDAY(Main[[#This Row],[Tech Start Date]],23),IF(Main[[#This Row],[Class]]="B", WORKDAY(Main[[#This Row],[Tech Start Date]],15),IF(Main[[#This Row],[Class]]="A",WORKDAY(Main[[#This Row],[Tech Start Date]],5),""))))</f>
        <v/>
      </c>
      <c r="P1040" s="77" t="str">
        <f>IF(Main[[#This Row],[Tech Start Date]]&lt;1/1/1990,"",IF(Main[[#This Row],[Class]]="C",WORKDAY(Main[[#This Row],[Tech Start Date]],28),IF(Main[[#This Row],[Class]]="B", WORKDAY(Main[[#This Row],[Tech Start Date]],19),IF(Main[[#This Row],[Class]]="A",WORKDAY(Main[[#This Row],[Tech Start Date]],9),""))))</f>
        <v/>
      </c>
      <c r="Q1040" s="74">
        <v>40732</v>
      </c>
      <c r="R1040" s="74"/>
      <c r="S1040" s="72" t="s">
        <v>6</v>
      </c>
      <c r="T1040" s="80" t="s">
        <v>4</v>
      </c>
      <c r="U1040" s="72" t="s">
        <v>29</v>
      </c>
      <c r="V1040" s="72" t="s">
        <v>1918</v>
      </c>
      <c r="W1040" s="72" t="s">
        <v>1921</v>
      </c>
      <c r="X1040" s="72" t="s">
        <v>30</v>
      </c>
      <c r="Y1040" s="72" t="s">
        <v>3122</v>
      </c>
      <c r="Z1040" s="72" t="s">
        <v>30</v>
      </c>
      <c r="AA1040" s="146" t="s">
        <v>3402</v>
      </c>
    </row>
    <row r="1041" spans="1:27" ht="18.600000000000001" customHeight="1">
      <c r="A1041" s="139" t="str">
        <f>IF(priority(Main[[#This Row],[Comments]])&lt;&gt;0, priority(Main[[#This Row],[Comments]]),"")</f>
        <v/>
      </c>
      <c r="B1041" s="89" t="s">
        <v>2285</v>
      </c>
      <c r="C1041" s="72" t="s">
        <v>2283</v>
      </c>
      <c r="D1041" s="73" t="s">
        <v>2286</v>
      </c>
      <c r="E1041" s="74"/>
      <c r="F1041" s="74">
        <v>40907</v>
      </c>
      <c r="G1041" s="75" t="str">
        <f>IF(stdProdLT(Main[[#This Row],[Comments]])=0.1,"N/A",IF(stdProdLT(Main[[#This Row],[Comments]])=0,"",stdProdLT(Main[[#This Row],[Comments]])))</f>
        <v/>
      </c>
      <c r="H1041" s="76" t="str">
        <f>IF(AND(Main[[#This Row],[In Stock Date]]&lt;&gt;"",Main[[#This Row],[Revised Due Date]]&lt;&gt;""),Main[[#This Row],[In Stock Date]]-Main[[#This Row],[Revised Due Date]],"")</f>
        <v/>
      </c>
      <c r="I1041" s="72" t="s">
        <v>4</v>
      </c>
      <c r="J1041" s="72" t="s">
        <v>4</v>
      </c>
      <c r="K1041" s="72" t="s">
        <v>4</v>
      </c>
      <c r="L1041" s="74"/>
      <c r="M1041" s="77" t="str">
        <f>IF(Main[[#This Row],[Tech Start Date]]&lt;1/1/1990,"",IF(Main[[#This Row],[Class]]="C",WORKDAY(Main[[#This Row],[Tech Start Date]],9),IF(Main[[#This Row],[Class]]="B", WORKDAY(Main[[#This Row],[Tech Start Date]],6),IF(Main[[#This Row],[Class]]="A",WORKDAY(Main[[#This Row],[Tech Start Date]],2),""))))</f>
        <v/>
      </c>
      <c r="N1041" s="77" t="str">
        <f>IF(Main[[#This Row],[Tech Start Date]]&lt;1/1/1990,"",IF(Main[[#This Row],[Class]]="C",WORKDAY(Main[[#This Row],[Tech Start Date]],19),IF(Main[[#This Row],[Class]]="B", WORKDAY(Main[[#This Row],[Tech Start Date]],12),IF(Main[[#This Row],[Class]]="A",WORKDAY(Main[[#This Row],[Tech Start Date]],4),""))))</f>
        <v/>
      </c>
      <c r="O1041" s="77" t="str">
        <f>IF(Main[[#This Row],[Tech Start Date]]&lt;1/1/1990,"",IF(Main[[#This Row],[Class]]="C",WORKDAY(Main[[#This Row],[Tech Start Date]],23),IF(Main[[#This Row],[Class]]="B", WORKDAY(Main[[#This Row],[Tech Start Date]],15),IF(Main[[#This Row],[Class]]="A",WORKDAY(Main[[#This Row],[Tech Start Date]],5),""))))</f>
        <v/>
      </c>
      <c r="P1041" s="77" t="str">
        <f>IF(Main[[#This Row],[Tech Start Date]]&lt;1/1/1990,"",IF(Main[[#This Row],[Class]]="C",WORKDAY(Main[[#This Row],[Tech Start Date]],28),IF(Main[[#This Row],[Class]]="B", WORKDAY(Main[[#This Row],[Tech Start Date]],19),IF(Main[[#This Row],[Class]]="A",WORKDAY(Main[[#This Row],[Tech Start Date]],9),""))))</f>
        <v/>
      </c>
      <c r="Q1041" s="74">
        <v>40816</v>
      </c>
      <c r="R1041" s="74"/>
      <c r="S1041" s="72" t="s">
        <v>296</v>
      </c>
      <c r="T1041" s="80" t="s">
        <v>4</v>
      </c>
      <c r="U1041" s="72" t="s">
        <v>14</v>
      </c>
      <c r="V1041" s="72" t="s">
        <v>1927</v>
      </c>
      <c r="W1041" s="72" t="s">
        <v>1925</v>
      </c>
      <c r="X1041" s="72" t="s">
        <v>2916</v>
      </c>
      <c r="Y1041" s="72" t="s">
        <v>3123</v>
      </c>
      <c r="Z1041" s="72" t="s">
        <v>4</v>
      </c>
      <c r="AA1041" s="146" t="s">
        <v>3461</v>
      </c>
    </row>
    <row r="1042" spans="1:27" ht="18.600000000000001" customHeight="1">
      <c r="A1042" s="139" t="str">
        <f>IF(priority(Main[[#This Row],[Comments]])&lt;&gt;0, priority(Main[[#This Row],[Comments]]),"")</f>
        <v/>
      </c>
      <c r="B1042" s="89" t="s">
        <v>2279</v>
      </c>
      <c r="C1042" s="72" t="s">
        <v>518</v>
      </c>
      <c r="D1042" s="73" t="s">
        <v>2280</v>
      </c>
      <c r="E1042" s="74"/>
      <c r="F1042" s="74">
        <v>40854</v>
      </c>
      <c r="G1042" s="75" t="str">
        <f>IF(stdProdLT(Main[[#This Row],[Comments]])=0.1,"N/A",IF(stdProdLT(Main[[#This Row],[Comments]])=0,"",stdProdLT(Main[[#This Row],[Comments]])))</f>
        <v/>
      </c>
      <c r="H1042" s="76" t="str">
        <f>IF(AND(Main[[#This Row],[In Stock Date]]&lt;&gt;"",Main[[#This Row],[Revised Due Date]]&lt;&gt;""),Main[[#This Row],[In Stock Date]]-Main[[#This Row],[Revised Due Date]],"")</f>
        <v/>
      </c>
      <c r="I1042" s="72" t="s">
        <v>4</v>
      </c>
      <c r="J1042" s="72" t="s">
        <v>4</v>
      </c>
      <c r="K1042" s="72" t="s">
        <v>4</v>
      </c>
      <c r="L1042" s="74"/>
      <c r="M1042" s="77" t="str">
        <f>IF(Main[[#This Row],[Tech Start Date]]&lt;1/1/1990,"",IF(Main[[#This Row],[Class]]="C",WORKDAY(Main[[#This Row],[Tech Start Date]],9),IF(Main[[#This Row],[Class]]="B", WORKDAY(Main[[#This Row],[Tech Start Date]],6),IF(Main[[#This Row],[Class]]="A",WORKDAY(Main[[#This Row],[Tech Start Date]],2),""))))</f>
        <v/>
      </c>
      <c r="N1042" s="77" t="str">
        <f>IF(Main[[#This Row],[Tech Start Date]]&lt;1/1/1990,"",IF(Main[[#This Row],[Class]]="C",WORKDAY(Main[[#This Row],[Tech Start Date]],19),IF(Main[[#This Row],[Class]]="B", WORKDAY(Main[[#This Row],[Tech Start Date]],12),IF(Main[[#This Row],[Class]]="A",WORKDAY(Main[[#This Row],[Tech Start Date]],4),""))))</f>
        <v/>
      </c>
      <c r="O1042" s="77" t="str">
        <f>IF(Main[[#This Row],[Tech Start Date]]&lt;1/1/1990,"",IF(Main[[#This Row],[Class]]="C",WORKDAY(Main[[#This Row],[Tech Start Date]],23),IF(Main[[#This Row],[Class]]="B", WORKDAY(Main[[#This Row],[Tech Start Date]],15),IF(Main[[#This Row],[Class]]="A",WORKDAY(Main[[#This Row],[Tech Start Date]],5),""))))</f>
        <v/>
      </c>
      <c r="P1042" s="77" t="str">
        <f>IF(Main[[#This Row],[Tech Start Date]]&lt;1/1/1990,"",IF(Main[[#This Row],[Class]]="C",WORKDAY(Main[[#This Row],[Tech Start Date]],28),IF(Main[[#This Row],[Class]]="B", WORKDAY(Main[[#This Row],[Tech Start Date]],19),IF(Main[[#This Row],[Class]]="A",WORKDAY(Main[[#This Row],[Tech Start Date]],9),""))))</f>
        <v/>
      </c>
      <c r="Q1042" s="74">
        <v>40816</v>
      </c>
      <c r="R1042" s="74"/>
      <c r="S1042" s="72" t="s">
        <v>296</v>
      </c>
      <c r="T1042" s="80" t="s">
        <v>4</v>
      </c>
      <c r="U1042" s="72" t="s">
        <v>14</v>
      </c>
      <c r="V1042" s="72" t="s">
        <v>1927</v>
      </c>
      <c r="W1042" s="72" t="s">
        <v>1925</v>
      </c>
      <c r="X1042" s="72" t="s">
        <v>2916</v>
      </c>
      <c r="Y1042" s="72" t="s">
        <v>3124</v>
      </c>
      <c r="Z1042" s="72" t="s">
        <v>4</v>
      </c>
      <c r="AA1042" s="146" t="s">
        <v>3461</v>
      </c>
    </row>
    <row r="1043" spans="1:27" ht="18.600000000000001" customHeight="1">
      <c r="A1043" s="139" t="str">
        <f>IF(priority(Main[[#This Row],[Comments]])&lt;&gt;0, priority(Main[[#This Row],[Comments]]),"")</f>
        <v/>
      </c>
      <c r="B1043" s="89" t="s">
        <v>2241</v>
      </c>
      <c r="C1043" s="72" t="s">
        <v>4</v>
      </c>
      <c r="D1043" s="73" t="s">
        <v>2242</v>
      </c>
      <c r="E1043" s="74"/>
      <c r="F1043" s="74"/>
      <c r="G1043" s="75" t="str">
        <f>IF(stdProdLT(Main[[#This Row],[Comments]])=0.1,"N/A",IF(stdProdLT(Main[[#This Row],[Comments]])=0,"",stdProdLT(Main[[#This Row],[Comments]])))</f>
        <v/>
      </c>
      <c r="H1043" s="76" t="str">
        <f>IF(AND(Main[[#This Row],[In Stock Date]]&lt;&gt;"",Main[[#This Row],[Revised Due Date]]&lt;&gt;""),Main[[#This Row],[In Stock Date]]-Main[[#This Row],[Revised Due Date]],"")</f>
        <v/>
      </c>
      <c r="I1043" s="72" t="s">
        <v>4</v>
      </c>
      <c r="J1043" s="72" t="s">
        <v>4</v>
      </c>
      <c r="K1043" s="72" t="s">
        <v>4</v>
      </c>
      <c r="L1043" s="74"/>
      <c r="M1043" s="77" t="str">
        <f>IF(Main[[#This Row],[Tech Start Date]]&lt;1/1/1990,"",IF(Main[[#This Row],[Class]]="C",WORKDAY(Main[[#This Row],[Tech Start Date]],9),IF(Main[[#This Row],[Class]]="B", WORKDAY(Main[[#This Row],[Tech Start Date]],6),IF(Main[[#This Row],[Class]]="A",WORKDAY(Main[[#This Row],[Tech Start Date]],2),""))))</f>
        <v/>
      </c>
      <c r="N1043" s="77" t="str">
        <f>IF(Main[[#This Row],[Tech Start Date]]&lt;1/1/1990,"",IF(Main[[#This Row],[Class]]="C",WORKDAY(Main[[#This Row],[Tech Start Date]],19),IF(Main[[#This Row],[Class]]="B", WORKDAY(Main[[#This Row],[Tech Start Date]],12),IF(Main[[#This Row],[Class]]="A",WORKDAY(Main[[#This Row],[Tech Start Date]],4),""))))</f>
        <v/>
      </c>
      <c r="O1043" s="77" t="str">
        <f>IF(Main[[#This Row],[Tech Start Date]]&lt;1/1/1990,"",IF(Main[[#This Row],[Class]]="C",WORKDAY(Main[[#This Row],[Tech Start Date]],23),IF(Main[[#This Row],[Class]]="B", WORKDAY(Main[[#This Row],[Tech Start Date]],15),IF(Main[[#This Row],[Class]]="A",WORKDAY(Main[[#This Row],[Tech Start Date]],5),""))))</f>
        <v/>
      </c>
      <c r="P1043" s="77" t="str">
        <f>IF(Main[[#This Row],[Tech Start Date]]&lt;1/1/1990,"",IF(Main[[#This Row],[Class]]="C",WORKDAY(Main[[#This Row],[Tech Start Date]],28),IF(Main[[#This Row],[Class]]="B", WORKDAY(Main[[#This Row],[Tech Start Date]],19),IF(Main[[#This Row],[Class]]="A",WORKDAY(Main[[#This Row],[Tech Start Date]],9),""))))</f>
        <v/>
      </c>
      <c r="Q1043" s="74"/>
      <c r="R1043" s="74"/>
      <c r="S1043" s="72" t="s">
        <v>49</v>
      </c>
      <c r="T1043" s="80" t="s">
        <v>4</v>
      </c>
      <c r="U1043" s="72" t="s">
        <v>14</v>
      </c>
      <c r="V1043" s="72" t="s">
        <v>1917</v>
      </c>
      <c r="W1043" s="72" t="s">
        <v>1921</v>
      </c>
      <c r="X1043" s="72" t="s">
        <v>306</v>
      </c>
      <c r="Y1043" s="72" t="s">
        <v>4</v>
      </c>
      <c r="Z1043" s="72" t="s">
        <v>4</v>
      </c>
      <c r="AA1043" s="146" t="s">
        <v>4</v>
      </c>
    </row>
    <row r="1044" spans="1:27" ht="18.600000000000001" customHeight="1">
      <c r="A1044" s="139" t="str">
        <f>IF(priority(Main[[#This Row],[Comments]])&lt;&gt;0, priority(Main[[#This Row],[Comments]]),"")</f>
        <v/>
      </c>
      <c r="B1044" s="89" t="s">
        <v>1348</v>
      </c>
      <c r="C1044" s="72" t="s">
        <v>433</v>
      </c>
      <c r="D1044" s="73" t="s">
        <v>434</v>
      </c>
      <c r="E1044" s="74">
        <v>40505.653032407405</v>
      </c>
      <c r="F1044" s="74"/>
      <c r="G1044" s="75" t="str">
        <f>IF(stdProdLT(Main[[#This Row],[Comments]])=0.1,"N/A",IF(stdProdLT(Main[[#This Row],[Comments]])=0,"",stdProdLT(Main[[#This Row],[Comments]])))</f>
        <v/>
      </c>
      <c r="H1044" s="76" t="str">
        <f>IF(AND(Main[[#This Row],[In Stock Date]]&lt;&gt;"",Main[[#This Row],[Revised Due Date]]&lt;&gt;""),Main[[#This Row],[In Stock Date]]-Main[[#This Row],[Revised Due Date]],"")</f>
        <v/>
      </c>
      <c r="I1044" s="72" t="s">
        <v>30</v>
      </c>
      <c r="J1044" s="72" t="s">
        <v>28</v>
      </c>
      <c r="K1044" s="72" t="s">
        <v>1929</v>
      </c>
      <c r="L1044" s="74"/>
      <c r="M1044" s="77" t="str">
        <f>IF(Main[[#This Row],[Tech Start Date]]&lt;1/1/1990,"",IF(Main[[#This Row],[Class]]="C",WORKDAY(Main[[#This Row],[Tech Start Date]],9),IF(Main[[#This Row],[Class]]="B", WORKDAY(Main[[#This Row],[Tech Start Date]],6),IF(Main[[#This Row],[Class]]="A",WORKDAY(Main[[#This Row],[Tech Start Date]],2),""))))</f>
        <v/>
      </c>
      <c r="N1044" s="77" t="str">
        <f>IF(Main[[#This Row],[Tech Start Date]]&lt;1/1/1990,"",IF(Main[[#This Row],[Class]]="C",WORKDAY(Main[[#This Row],[Tech Start Date]],19),IF(Main[[#This Row],[Class]]="B", WORKDAY(Main[[#This Row],[Tech Start Date]],12),IF(Main[[#This Row],[Class]]="A",WORKDAY(Main[[#This Row],[Tech Start Date]],4),""))))</f>
        <v/>
      </c>
      <c r="O1044" s="77" t="str">
        <f>IF(Main[[#This Row],[Tech Start Date]]&lt;1/1/1990,"",IF(Main[[#This Row],[Class]]="C",WORKDAY(Main[[#This Row],[Tech Start Date]],23),IF(Main[[#This Row],[Class]]="B", WORKDAY(Main[[#This Row],[Tech Start Date]],15),IF(Main[[#This Row],[Class]]="A",WORKDAY(Main[[#This Row],[Tech Start Date]],5),""))))</f>
        <v/>
      </c>
      <c r="P1044" s="77" t="str">
        <f>IF(Main[[#This Row],[Tech Start Date]]&lt;1/1/1990,"",IF(Main[[#This Row],[Class]]="C",WORKDAY(Main[[#This Row],[Tech Start Date]],28),IF(Main[[#This Row],[Class]]="B", WORKDAY(Main[[#This Row],[Tech Start Date]],19),IF(Main[[#This Row],[Class]]="A",WORKDAY(Main[[#This Row],[Tech Start Date]],9),""))))</f>
        <v/>
      </c>
      <c r="Q1044" s="74">
        <v>40620</v>
      </c>
      <c r="R1044" s="74"/>
      <c r="S1044" s="72" t="s">
        <v>17</v>
      </c>
      <c r="T1044" s="80" t="s">
        <v>4</v>
      </c>
      <c r="U1044" s="72" t="s">
        <v>29</v>
      </c>
      <c r="V1044" s="72" t="s">
        <v>1920</v>
      </c>
      <c r="W1044" s="72" t="s">
        <v>1922</v>
      </c>
      <c r="X1044" s="72" t="s">
        <v>767</v>
      </c>
      <c r="Y1044" s="72" t="s">
        <v>3125</v>
      </c>
      <c r="Z1044" s="72" t="s">
        <v>30</v>
      </c>
      <c r="AA1044" s="146" t="s">
        <v>3462</v>
      </c>
    </row>
    <row r="1045" spans="1:27" ht="18.600000000000001" customHeight="1">
      <c r="A1045" s="139" t="str">
        <f>IF(priority(Main[[#This Row],[Comments]])&lt;&gt;0, priority(Main[[#This Row],[Comments]]),"")</f>
        <v/>
      </c>
      <c r="B1045" s="89" t="s">
        <v>1475</v>
      </c>
      <c r="C1045" s="72" t="s">
        <v>4</v>
      </c>
      <c r="D1045" s="73" t="s">
        <v>2412</v>
      </c>
      <c r="E1045" s="74">
        <v>40627.399282407408</v>
      </c>
      <c r="F1045" s="74"/>
      <c r="G1045" s="75" t="str">
        <f>IF(stdProdLT(Main[[#This Row],[Comments]])=0.1,"N/A",IF(stdProdLT(Main[[#This Row],[Comments]])=0,"",stdProdLT(Main[[#This Row],[Comments]])))</f>
        <v/>
      </c>
      <c r="H1045" s="76" t="str">
        <f>IF(AND(Main[[#This Row],[In Stock Date]]&lt;&gt;"",Main[[#This Row],[Revised Due Date]]&lt;&gt;""),Main[[#This Row],[In Stock Date]]-Main[[#This Row],[Revised Due Date]],"")</f>
        <v/>
      </c>
      <c r="I1045" s="72" t="s">
        <v>914</v>
      </c>
      <c r="J1045" s="72" t="s">
        <v>52</v>
      </c>
      <c r="K1045" s="72" t="s">
        <v>1926</v>
      </c>
      <c r="L1045" s="74"/>
      <c r="M1045" s="77" t="str">
        <f>IF(Main[[#This Row],[Tech Start Date]]&lt;1/1/1990,"",IF(Main[[#This Row],[Class]]="C",WORKDAY(Main[[#This Row],[Tech Start Date]],9),IF(Main[[#This Row],[Class]]="B", WORKDAY(Main[[#This Row],[Tech Start Date]],6),IF(Main[[#This Row],[Class]]="A",WORKDAY(Main[[#This Row],[Tech Start Date]],2),""))))</f>
        <v/>
      </c>
      <c r="N1045" s="77" t="str">
        <f>IF(Main[[#This Row],[Tech Start Date]]&lt;1/1/1990,"",IF(Main[[#This Row],[Class]]="C",WORKDAY(Main[[#This Row],[Tech Start Date]],19),IF(Main[[#This Row],[Class]]="B", WORKDAY(Main[[#This Row],[Tech Start Date]],12),IF(Main[[#This Row],[Class]]="A",WORKDAY(Main[[#This Row],[Tech Start Date]],4),""))))</f>
        <v/>
      </c>
      <c r="O1045" s="77" t="str">
        <f>IF(Main[[#This Row],[Tech Start Date]]&lt;1/1/1990,"",IF(Main[[#This Row],[Class]]="C",WORKDAY(Main[[#This Row],[Tech Start Date]],23),IF(Main[[#This Row],[Class]]="B", WORKDAY(Main[[#This Row],[Tech Start Date]],15),IF(Main[[#This Row],[Class]]="A",WORKDAY(Main[[#This Row],[Tech Start Date]],5),""))))</f>
        <v/>
      </c>
      <c r="P1045" s="77" t="str">
        <f>IF(Main[[#This Row],[Tech Start Date]]&lt;1/1/1990,"",IF(Main[[#This Row],[Class]]="C",WORKDAY(Main[[#This Row],[Tech Start Date]],28),IF(Main[[#This Row],[Class]]="B", WORKDAY(Main[[#This Row],[Tech Start Date]],19),IF(Main[[#This Row],[Class]]="A",WORKDAY(Main[[#This Row],[Tech Start Date]],9),""))))</f>
        <v/>
      </c>
      <c r="Q1045" s="74">
        <v>40632</v>
      </c>
      <c r="R1045" s="74"/>
      <c r="S1045" s="72" t="s">
        <v>6</v>
      </c>
      <c r="T1045" s="80" t="s">
        <v>4</v>
      </c>
      <c r="U1045" s="72" t="s">
        <v>29</v>
      </c>
      <c r="V1045" s="72" t="s">
        <v>1917</v>
      </c>
      <c r="W1045" s="72" t="s">
        <v>1921</v>
      </c>
      <c r="X1045" s="72" t="s">
        <v>939</v>
      </c>
      <c r="Y1045" s="72" t="s">
        <v>2990</v>
      </c>
      <c r="Z1045" s="72" t="s">
        <v>129</v>
      </c>
      <c r="AA1045" s="146" t="s">
        <v>939</v>
      </c>
    </row>
    <row r="1046" spans="1:27" ht="18.600000000000001" customHeight="1">
      <c r="A1046" s="139" t="str">
        <f>IF(priority(Main[[#This Row],[Comments]])&lt;&gt;0, priority(Main[[#This Row],[Comments]]),"")</f>
        <v/>
      </c>
      <c r="B1046" s="89" t="s">
        <v>1385</v>
      </c>
      <c r="C1046" s="72" t="s">
        <v>4</v>
      </c>
      <c r="D1046" s="73" t="s">
        <v>2413</v>
      </c>
      <c r="E1046" s="74">
        <v>40555.34138888889</v>
      </c>
      <c r="F1046" s="74">
        <v>40592</v>
      </c>
      <c r="G1046" s="75" t="str">
        <f>IF(stdProdLT(Main[[#This Row],[Comments]])=0.1,"N/A",IF(stdProdLT(Main[[#This Row],[Comments]])=0,"",stdProdLT(Main[[#This Row],[Comments]])))</f>
        <v/>
      </c>
      <c r="H1046" s="76" t="str">
        <f>IF(AND(Main[[#This Row],[In Stock Date]]&lt;&gt;"",Main[[#This Row],[Revised Due Date]]&lt;&gt;""),Main[[#This Row],[In Stock Date]]-Main[[#This Row],[Revised Due Date]],"")</f>
        <v/>
      </c>
      <c r="I1046" s="72" t="s">
        <v>914</v>
      </c>
      <c r="J1046" s="72" t="s">
        <v>52</v>
      </c>
      <c r="K1046" s="72" t="s">
        <v>1924</v>
      </c>
      <c r="L1046" s="74"/>
      <c r="M1046" s="77" t="str">
        <f>IF(Main[[#This Row],[Tech Start Date]]&lt;1/1/1990,"",IF(Main[[#This Row],[Class]]="C",WORKDAY(Main[[#This Row],[Tech Start Date]],9),IF(Main[[#This Row],[Class]]="B", WORKDAY(Main[[#This Row],[Tech Start Date]],6),IF(Main[[#This Row],[Class]]="A",WORKDAY(Main[[#This Row],[Tech Start Date]],2),""))))</f>
        <v/>
      </c>
      <c r="N1046" s="77" t="str">
        <f>IF(Main[[#This Row],[Tech Start Date]]&lt;1/1/1990,"",IF(Main[[#This Row],[Class]]="C",WORKDAY(Main[[#This Row],[Tech Start Date]],19),IF(Main[[#This Row],[Class]]="B", WORKDAY(Main[[#This Row],[Tech Start Date]],12),IF(Main[[#This Row],[Class]]="A",WORKDAY(Main[[#This Row],[Tech Start Date]],4),""))))</f>
        <v/>
      </c>
      <c r="O1046" s="77" t="str">
        <f>IF(Main[[#This Row],[Tech Start Date]]&lt;1/1/1990,"",IF(Main[[#This Row],[Class]]="C",WORKDAY(Main[[#This Row],[Tech Start Date]],23),IF(Main[[#This Row],[Class]]="B", WORKDAY(Main[[#This Row],[Tech Start Date]],15),IF(Main[[#This Row],[Class]]="A",WORKDAY(Main[[#This Row],[Tech Start Date]],5),""))))</f>
        <v/>
      </c>
      <c r="P1046" s="77" t="str">
        <f>IF(Main[[#This Row],[Tech Start Date]]&lt;1/1/1990,"",IF(Main[[#This Row],[Class]]="C",WORKDAY(Main[[#This Row],[Tech Start Date]],28),IF(Main[[#This Row],[Class]]="B", WORKDAY(Main[[#This Row],[Tech Start Date]],19),IF(Main[[#This Row],[Class]]="A",WORKDAY(Main[[#This Row],[Tech Start Date]],9),""))))</f>
        <v/>
      </c>
      <c r="Q1046" s="74">
        <v>40592</v>
      </c>
      <c r="R1046" s="74"/>
      <c r="S1046" s="72" t="s">
        <v>6</v>
      </c>
      <c r="T1046" s="80" t="s">
        <v>4</v>
      </c>
      <c r="U1046" s="72" t="s">
        <v>29</v>
      </c>
      <c r="V1046" s="72" t="s">
        <v>1917</v>
      </c>
      <c r="W1046" s="72" t="s">
        <v>1919</v>
      </c>
      <c r="X1046" s="72" t="s">
        <v>2824</v>
      </c>
      <c r="Y1046" s="72" t="s">
        <v>2935</v>
      </c>
      <c r="Z1046" s="72" t="s">
        <v>129</v>
      </c>
      <c r="AA1046" s="146" t="s">
        <v>2824</v>
      </c>
    </row>
    <row r="1047" spans="1:27" ht="18.600000000000001" customHeight="1">
      <c r="A1047" s="139" t="str">
        <f>IF(priority(Main[[#This Row],[Comments]])&lt;&gt;0, priority(Main[[#This Row],[Comments]]),"")</f>
        <v/>
      </c>
      <c r="B1047" s="89" t="s">
        <v>2064</v>
      </c>
      <c r="C1047" s="72" t="s">
        <v>4</v>
      </c>
      <c r="D1047" s="73" t="s">
        <v>2306</v>
      </c>
      <c r="E1047" s="74">
        <v>40758.6172337963</v>
      </c>
      <c r="F1047" s="74"/>
      <c r="G1047" s="75" t="str">
        <f>IF(stdProdLT(Main[[#This Row],[Comments]])=0.1,"N/A",IF(stdProdLT(Main[[#This Row],[Comments]])=0,"",stdProdLT(Main[[#This Row],[Comments]])))</f>
        <v/>
      </c>
      <c r="H1047" s="76" t="str">
        <f>IF(AND(Main[[#This Row],[In Stock Date]]&lt;&gt;"",Main[[#This Row],[Revised Due Date]]&lt;&gt;""),Main[[#This Row],[In Stock Date]]-Main[[#This Row],[Revised Due Date]],"")</f>
        <v/>
      </c>
      <c r="I1047" s="72" t="s">
        <v>530</v>
      </c>
      <c r="J1047" s="72" t="s">
        <v>21</v>
      </c>
      <c r="K1047" s="72" t="s">
        <v>1926</v>
      </c>
      <c r="L1047" s="74"/>
      <c r="M1047" s="77" t="str">
        <f>IF(Main[[#This Row],[Tech Start Date]]&lt;1/1/1990,"",IF(Main[[#This Row],[Class]]="C",WORKDAY(Main[[#This Row],[Tech Start Date]],9),IF(Main[[#This Row],[Class]]="B", WORKDAY(Main[[#This Row],[Tech Start Date]],6),IF(Main[[#This Row],[Class]]="A",WORKDAY(Main[[#This Row],[Tech Start Date]],2),""))))</f>
        <v/>
      </c>
      <c r="N1047" s="77" t="str">
        <f>IF(Main[[#This Row],[Tech Start Date]]&lt;1/1/1990,"",IF(Main[[#This Row],[Class]]="C",WORKDAY(Main[[#This Row],[Tech Start Date]],19),IF(Main[[#This Row],[Class]]="B", WORKDAY(Main[[#This Row],[Tech Start Date]],12),IF(Main[[#This Row],[Class]]="A",WORKDAY(Main[[#This Row],[Tech Start Date]],4),""))))</f>
        <v/>
      </c>
      <c r="O1047" s="77" t="str">
        <f>IF(Main[[#This Row],[Tech Start Date]]&lt;1/1/1990,"",IF(Main[[#This Row],[Class]]="C",WORKDAY(Main[[#This Row],[Tech Start Date]],23),IF(Main[[#This Row],[Class]]="B", WORKDAY(Main[[#This Row],[Tech Start Date]],15),IF(Main[[#This Row],[Class]]="A",WORKDAY(Main[[#This Row],[Tech Start Date]],5),""))))</f>
        <v/>
      </c>
      <c r="P1047" s="77" t="str">
        <f>IF(Main[[#This Row],[Tech Start Date]]&lt;1/1/1990,"",IF(Main[[#This Row],[Class]]="C",WORKDAY(Main[[#This Row],[Tech Start Date]],28),IF(Main[[#This Row],[Class]]="B", WORKDAY(Main[[#This Row],[Tech Start Date]],19),IF(Main[[#This Row],[Class]]="A",WORKDAY(Main[[#This Row],[Tech Start Date]],9),""))))</f>
        <v/>
      </c>
      <c r="Q1047" s="74"/>
      <c r="R1047" s="74"/>
      <c r="S1047" s="72" t="s">
        <v>6</v>
      </c>
      <c r="T1047" s="80" t="s">
        <v>4</v>
      </c>
      <c r="U1047" s="72" t="s">
        <v>29</v>
      </c>
      <c r="V1047" s="72" t="s">
        <v>1920</v>
      </c>
      <c r="W1047" s="72" t="s">
        <v>1921</v>
      </c>
      <c r="X1047" s="72" t="s">
        <v>102</v>
      </c>
      <c r="Y1047" s="72" t="s">
        <v>3127</v>
      </c>
      <c r="Z1047" s="72" t="s">
        <v>530</v>
      </c>
      <c r="AA1047" s="146" t="s">
        <v>3463</v>
      </c>
    </row>
    <row r="1048" spans="1:27" ht="18.600000000000001" customHeight="1">
      <c r="A1048" s="139" t="str">
        <f>IF(priority(Main[[#This Row],[Comments]])&lt;&gt;0, priority(Main[[#This Row],[Comments]]),"")</f>
        <v/>
      </c>
      <c r="B1048" s="89" t="s">
        <v>2223</v>
      </c>
      <c r="C1048" s="72" t="s">
        <v>4</v>
      </c>
      <c r="D1048" s="73" t="s">
        <v>2414</v>
      </c>
      <c r="E1048" s="74">
        <v>40798.679803240739</v>
      </c>
      <c r="F1048" s="74"/>
      <c r="G1048" s="75" t="str">
        <f>IF(stdProdLT(Main[[#This Row],[Comments]])=0.1,"N/A",IF(stdProdLT(Main[[#This Row],[Comments]])=0,"",stdProdLT(Main[[#This Row],[Comments]])))</f>
        <v/>
      </c>
      <c r="H1048" s="76" t="str">
        <f>IF(AND(Main[[#This Row],[In Stock Date]]&lt;&gt;"",Main[[#This Row],[Revised Due Date]]&lt;&gt;""),Main[[#This Row],[In Stock Date]]-Main[[#This Row],[Revised Due Date]],"")</f>
        <v/>
      </c>
      <c r="I1048" s="72" t="s">
        <v>767</v>
      </c>
      <c r="J1048" s="72" t="s">
        <v>52</v>
      </c>
      <c r="K1048" s="72" t="s">
        <v>1926</v>
      </c>
      <c r="L1048" s="74"/>
      <c r="M1048" s="77" t="str">
        <f>IF(Main[[#This Row],[Tech Start Date]]&lt;1/1/1990,"",IF(Main[[#This Row],[Class]]="C",WORKDAY(Main[[#This Row],[Tech Start Date]],9),IF(Main[[#This Row],[Class]]="B", WORKDAY(Main[[#This Row],[Tech Start Date]],6),IF(Main[[#This Row],[Class]]="A",WORKDAY(Main[[#This Row],[Tech Start Date]],2),""))))</f>
        <v/>
      </c>
      <c r="N1048" s="77" t="str">
        <f>IF(Main[[#This Row],[Tech Start Date]]&lt;1/1/1990,"",IF(Main[[#This Row],[Class]]="C",WORKDAY(Main[[#This Row],[Tech Start Date]],19),IF(Main[[#This Row],[Class]]="B", WORKDAY(Main[[#This Row],[Tech Start Date]],12),IF(Main[[#This Row],[Class]]="A",WORKDAY(Main[[#This Row],[Tech Start Date]],4),""))))</f>
        <v/>
      </c>
      <c r="O1048" s="77" t="str">
        <f>IF(Main[[#This Row],[Tech Start Date]]&lt;1/1/1990,"",IF(Main[[#This Row],[Class]]="C",WORKDAY(Main[[#This Row],[Tech Start Date]],23),IF(Main[[#This Row],[Class]]="B", WORKDAY(Main[[#This Row],[Tech Start Date]],15),IF(Main[[#This Row],[Class]]="A",WORKDAY(Main[[#This Row],[Tech Start Date]],5),""))))</f>
        <v/>
      </c>
      <c r="P1048" s="77" t="str">
        <f>IF(Main[[#This Row],[Tech Start Date]]&lt;1/1/1990,"",IF(Main[[#This Row],[Class]]="C",WORKDAY(Main[[#This Row],[Tech Start Date]],28),IF(Main[[#This Row],[Class]]="B", WORKDAY(Main[[#This Row],[Tech Start Date]],19),IF(Main[[#This Row],[Class]]="A",WORKDAY(Main[[#This Row],[Tech Start Date]],9),""))))</f>
        <v/>
      </c>
      <c r="Q1048" s="74">
        <v>40847</v>
      </c>
      <c r="R1048" s="74"/>
      <c r="S1048" s="72" t="s">
        <v>6</v>
      </c>
      <c r="T1048" s="80" t="s">
        <v>4</v>
      </c>
      <c r="U1048" s="72" t="s">
        <v>29</v>
      </c>
      <c r="V1048" s="72" t="s">
        <v>1920</v>
      </c>
      <c r="W1048" s="72" t="s">
        <v>1921</v>
      </c>
      <c r="X1048" s="72" t="s">
        <v>30</v>
      </c>
      <c r="Y1048" s="72" t="s">
        <v>2946</v>
      </c>
      <c r="Z1048" s="72" t="s">
        <v>30</v>
      </c>
      <c r="AA1048" s="146" t="s">
        <v>30</v>
      </c>
    </row>
    <row r="1049" spans="1:27" ht="18.600000000000001" customHeight="1">
      <c r="A1049" s="139" t="str">
        <f>IF(priority(Main[[#This Row],[Comments]])&lt;&gt;0, priority(Main[[#This Row],[Comments]]),"")</f>
        <v/>
      </c>
      <c r="B1049" s="89" t="s">
        <v>2415</v>
      </c>
      <c r="C1049" s="72" t="s">
        <v>4</v>
      </c>
      <c r="D1049" s="73" t="s">
        <v>2416</v>
      </c>
      <c r="E1049" s="74">
        <v>40843.719166666669</v>
      </c>
      <c r="F1049" s="74"/>
      <c r="G1049" s="75" t="str">
        <f>IF(stdProdLT(Main[[#This Row],[Comments]])=0.1,"N/A",IF(stdProdLT(Main[[#This Row],[Comments]])=0,"",stdProdLT(Main[[#This Row],[Comments]])))</f>
        <v/>
      </c>
      <c r="H1049" s="76" t="str">
        <f>IF(AND(Main[[#This Row],[In Stock Date]]&lt;&gt;"",Main[[#This Row],[Revised Due Date]]&lt;&gt;""),Main[[#This Row],[In Stock Date]]-Main[[#This Row],[Revised Due Date]],"")</f>
        <v/>
      </c>
      <c r="I1049" s="72" t="s">
        <v>4</v>
      </c>
      <c r="J1049" s="72" t="s">
        <v>51</v>
      </c>
      <c r="K1049" s="72" t="s">
        <v>4</v>
      </c>
      <c r="L1049" s="74"/>
      <c r="M1049" s="77" t="str">
        <f>IF(Main[[#This Row],[Tech Start Date]]&lt;1/1/1990,"",IF(Main[[#This Row],[Class]]="C",WORKDAY(Main[[#This Row],[Tech Start Date]],9),IF(Main[[#This Row],[Class]]="B", WORKDAY(Main[[#This Row],[Tech Start Date]],6),IF(Main[[#This Row],[Class]]="A",WORKDAY(Main[[#This Row],[Tech Start Date]],2),""))))</f>
        <v/>
      </c>
      <c r="N1049" s="77" t="str">
        <f>IF(Main[[#This Row],[Tech Start Date]]&lt;1/1/1990,"",IF(Main[[#This Row],[Class]]="C",WORKDAY(Main[[#This Row],[Tech Start Date]],19),IF(Main[[#This Row],[Class]]="B", WORKDAY(Main[[#This Row],[Tech Start Date]],12),IF(Main[[#This Row],[Class]]="A",WORKDAY(Main[[#This Row],[Tech Start Date]],4),""))))</f>
        <v/>
      </c>
      <c r="O1049" s="77" t="str">
        <f>IF(Main[[#This Row],[Tech Start Date]]&lt;1/1/1990,"",IF(Main[[#This Row],[Class]]="C",WORKDAY(Main[[#This Row],[Tech Start Date]],23),IF(Main[[#This Row],[Class]]="B", WORKDAY(Main[[#This Row],[Tech Start Date]],15),IF(Main[[#This Row],[Class]]="A",WORKDAY(Main[[#This Row],[Tech Start Date]],5),""))))</f>
        <v/>
      </c>
      <c r="P1049" s="77" t="str">
        <f>IF(Main[[#This Row],[Tech Start Date]]&lt;1/1/1990,"",IF(Main[[#This Row],[Class]]="C",WORKDAY(Main[[#This Row],[Tech Start Date]],28),IF(Main[[#This Row],[Class]]="B", WORKDAY(Main[[#This Row],[Tech Start Date]],19),IF(Main[[#This Row],[Class]]="A",WORKDAY(Main[[#This Row],[Tech Start Date]],9),""))))</f>
        <v/>
      </c>
      <c r="Q1049" s="74"/>
      <c r="R1049" s="74"/>
      <c r="S1049" s="72" t="s">
        <v>6</v>
      </c>
      <c r="T1049" s="80" t="s">
        <v>2417</v>
      </c>
      <c r="U1049" s="72" t="s">
        <v>534</v>
      </c>
      <c r="V1049" s="72" t="s">
        <v>1917</v>
      </c>
      <c r="W1049" s="72" t="s">
        <v>1923</v>
      </c>
      <c r="X1049" s="72" t="s">
        <v>306</v>
      </c>
      <c r="Y1049" s="72" t="s">
        <v>4</v>
      </c>
      <c r="Z1049" s="72" t="s">
        <v>4</v>
      </c>
      <c r="AA1049" s="146" t="s">
        <v>2845</v>
      </c>
    </row>
    <row r="1050" spans="1:27" ht="18.600000000000001" customHeight="1">
      <c r="A1050" s="139" t="str">
        <f>IF(priority(Main[[#This Row],[Comments]])&lt;&gt;0, priority(Main[[#This Row],[Comments]]),"")</f>
        <v/>
      </c>
      <c r="B1050" s="89" t="s">
        <v>2080</v>
      </c>
      <c r="C1050" s="72" t="s">
        <v>4</v>
      </c>
      <c r="D1050" s="73" t="s">
        <v>2081</v>
      </c>
      <c r="E1050" s="74"/>
      <c r="F1050" s="74"/>
      <c r="G1050" s="75" t="str">
        <f>IF(stdProdLT(Main[[#This Row],[Comments]])=0.1,"N/A",IF(stdProdLT(Main[[#This Row],[Comments]])=0,"",stdProdLT(Main[[#This Row],[Comments]])))</f>
        <v/>
      </c>
      <c r="H1050" s="76" t="str">
        <f>IF(AND(Main[[#This Row],[In Stock Date]]&lt;&gt;"",Main[[#This Row],[Revised Due Date]]&lt;&gt;""),Main[[#This Row],[In Stock Date]]-Main[[#This Row],[Revised Due Date]],"")</f>
        <v/>
      </c>
      <c r="I1050" s="72" t="s">
        <v>4</v>
      </c>
      <c r="J1050" s="72" t="s">
        <v>4</v>
      </c>
      <c r="K1050" s="81" t="s">
        <v>4</v>
      </c>
      <c r="L1050" s="74"/>
      <c r="M1050" s="77" t="str">
        <f>IF(Main[[#This Row],[Tech Start Date]]&lt;1/1/1990,"",IF(Main[[#This Row],[Class]]="C",WORKDAY(Main[[#This Row],[Tech Start Date]],9),IF(Main[[#This Row],[Class]]="B", WORKDAY(Main[[#This Row],[Tech Start Date]],6),IF(Main[[#This Row],[Class]]="A",WORKDAY(Main[[#This Row],[Tech Start Date]],2),""))))</f>
        <v/>
      </c>
      <c r="N1050" s="77" t="str">
        <f>IF(Main[[#This Row],[Tech Start Date]]&lt;1/1/1990,"",IF(Main[[#This Row],[Class]]="C",WORKDAY(Main[[#This Row],[Tech Start Date]],19),IF(Main[[#This Row],[Class]]="B", WORKDAY(Main[[#This Row],[Tech Start Date]],12),IF(Main[[#This Row],[Class]]="A",WORKDAY(Main[[#This Row],[Tech Start Date]],4),""))))</f>
        <v/>
      </c>
      <c r="O1050" s="77" t="str">
        <f>IF(Main[[#This Row],[Tech Start Date]]&lt;1/1/1990,"",IF(Main[[#This Row],[Class]]="C",WORKDAY(Main[[#This Row],[Tech Start Date]],23),IF(Main[[#This Row],[Class]]="B", WORKDAY(Main[[#This Row],[Tech Start Date]],15),IF(Main[[#This Row],[Class]]="A",WORKDAY(Main[[#This Row],[Tech Start Date]],5),""))))</f>
        <v/>
      </c>
      <c r="P1050" s="77" t="str">
        <f>IF(Main[[#This Row],[Tech Start Date]]&lt;1/1/1990,"",IF(Main[[#This Row],[Class]]="C",WORKDAY(Main[[#This Row],[Tech Start Date]],28),IF(Main[[#This Row],[Class]]="B", WORKDAY(Main[[#This Row],[Tech Start Date]],19),IF(Main[[#This Row],[Class]]="A",WORKDAY(Main[[#This Row],[Tech Start Date]],9),""))))</f>
        <v/>
      </c>
      <c r="Q1050" s="74"/>
      <c r="R1050" s="74"/>
      <c r="S1050" s="72" t="s">
        <v>6</v>
      </c>
      <c r="T1050" s="80" t="s">
        <v>4</v>
      </c>
      <c r="U1050" s="72" t="s">
        <v>14</v>
      </c>
      <c r="V1050" s="72" t="s">
        <v>1917</v>
      </c>
      <c r="W1050" s="72" t="s">
        <v>1921</v>
      </c>
      <c r="X1050" s="72" t="s">
        <v>306</v>
      </c>
      <c r="Y1050" s="72" t="s">
        <v>4</v>
      </c>
      <c r="Z1050" s="72" t="s">
        <v>4</v>
      </c>
      <c r="AA1050" s="146" t="s">
        <v>4</v>
      </c>
    </row>
    <row r="1051" spans="1:27" ht="18.600000000000001" customHeight="1">
      <c r="A1051" s="139" t="str">
        <f>IF(priority(Main[[#This Row],[Comments]])&lt;&gt;0, priority(Main[[#This Row],[Comments]]),"")</f>
        <v/>
      </c>
      <c r="B1051" s="89" t="s">
        <v>1761</v>
      </c>
      <c r="C1051" s="72" t="s">
        <v>4</v>
      </c>
      <c r="D1051" s="73" t="s">
        <v>2418</v>
      </c>
      <c r="E1051" s="74">
        <v>40616.425347222219</v>
      </c>
      <c r="F1051" s="74"/>
      <c r="G1051" s="75" t="str">
        <f>IF(stdProdLT(Main[[#This Row],[Comments]])=0.1,"N/A",IF(stdProdLT(Main[[#This Row],[Comments]])=0,"",stdProdLT(Main[[#This Row],[Comments]])))</f>
        <v/>
      </c>
      <c r="H1051" s="76" t="str">
        <f>IF(AND(Main[[#This Row],[In Stock Date]]&lt;&gt;"",Main[[#This Row],[Revised Due Date]]&lt;&gt;""),Main[[#This Row],[In Stock Date]]-Main[[#This Row],[Revised Due Date]],"")</f>
        <v/>
      </c>
      <c r="I1051" s="72" t="s">
        <v>914</v>
      </c>
      <c r="J1051" s="72" t="s">
        <v>52</v>
      </c>
      <c r="K1051" s="72" t="s">
        <v>1926</v>
      </c>
      <c r="L1051" s="74"/>
      <c r="M1051" s="77" t="str">
        <f>IF(Main[[#This Row],[Tech Start Date]]&lt;1/1/1990,"",IF(Main[[#This Row],[Class]]="C",WORKDAY(Main[[#This Row],[Tech Start Date]],9),IF(Main[[#This Row],[Class]]="B", WORKDAY(Main[[#This Row],[Tech Start Date]],6),IF(Main[[#This Row],[Class]]="A",WORKDAY(Main[[#This Row],[Tech Start Date]],2),""))))</f>
        <v/>
      </c>
      <c r="N1051" s="77" t="str">
        <f>IF(Main[[#This Row],[Tech Start Date]]&lt;1/1/1990,"",IF(Main[[#This Row],[Class]]="C",WORKDAY(Main[[#This Row],[Tech Start Date]],19),IF(Main[[#This Row],[Class]]="B", WORKDAY(Main[[#This Row],[Tech Start Date]],12),IF(Main[[#This Row],[Class]]="A",WORKDAY(Main[[#This Row],[Tech Start Date]],4),""))))</f>
        <v/>
      </c>
      <c r="O1051" s="77" t="str">
        <f>IF(Main[[#This Row],[Tech Start Date]]&lt;1/1/1990,"",IF(Main[[#This Row],[Class]]="C",WORKDAY(Main[[#This Row],[Tech Start Date]],23),IF(Main[[#This Row],[Class]]="B", WORKDAY(Main[[#This Row],[Tech Start Date]],15),IF(Main[[#This Row],[Class]]="A",WORKDAY(Main[[#This Row],[Tech Start Date]],5),""))))</f>
        <v/>
      </c>
      <c r="P1051" s="77" t="str">
        <f>IF(Main[[#This Row],[Tech Start Date]]&lt;1/1/1990,"",IF(Main[[#This Row],[Class]]="C",WORKDAY(Main[[#This Row],[Tech Start Date]],28),IF(Main[[#This Row],[Class]]="B", WORKDAY(Main[[#This Row],[Tech Start Date]],19),IF(Main[[#This Row],[Class]]="A",WORKDAY(Main[[#This Row],[Tech Start Date]],9),""))))</f>
        <v/>
      </c>
      <c r="Q1051" s="74"/>
      <c r="R1051" s="74"/>
      <c r="S1051" s="72" t="s">
        <v>6</v>
      </c>
      <c r="T1051" s="80" t="s">
        <v>4</v>
      </c>
      <c r="U1051" s="72" t="s">
        <v>29</v>
      </c>
      <c r="V1051" s="72" t="s">
        <v>1917</v>
      </c>
      <c r="W1051" s="72" t="s">
        <v>1921</v>
      </c>
      <c r="X1051" s="72" t="s">
        <v>2909</v>
      </c>
      <c r="Y1051" s="72" t="s">
        <v>3089</v>
      </c>
      <c r="Z1051" s="72" t="s">
        <v>530</v>
      </c>
      <c r="AA1051" s="146" t="s">
        <v>2909</v>
      </c>
    </row>
    <row r="1052" spans="1:27" ht="18.600000000000001" customHeight="1">
      <c r="A1052" s="139" t="str">
        <f>IF(priority(Main[[#This Row],[Comments]])&lt;&gt;0, priority(Main[[#This Row],[Comments]]),"")</f>
        <v/>
      </c>
      <c r="B1052" s="89" t="s">
        <v>2271</v>
      </c>
      <c r="C1052" s="72" t="s">
        <v>4</v>
      </c>
      <c r="D1052" s="73" t="s">
        <v>2272</v>
      </c>
      <c r="E1052" s="74">
        <v>40808.345057870371</v>
      </c>
      <c r="F1052" s="74"/>
      <c r="G1052" s="75" t="str">
        <f>IF(stdProdLT(Main[[#This Row],[Comments]])=0.1,"N/A",IF(stdProdLT(Main[[#This Row],[Comments]])=0,"",stdProdLT(Main[[#This Row],[Comments]])))</f>
        <v/>
      </c>
      <c r="H1052" s="76" t="str">
        <f>IF(AND(Main[[#This Row],[In Stock Date]]&lt;&gt;"",Main[[#This Row],[Revised Due Date]]&lt;&gt;""),Main[[#This Row],[In Stock Date]]-Main[[#This Row],[Revised Due Date]],"")</f>
        <v/>
      </c>
      <c r="I1052" s="72" t="s">
        <v>4</v>
      </c>
      <c r="J1052" s="72" t="s">
        <v>4</v>
      </c>
      <c r="K1052" s="72" t="s">
        <v>4</v>
      </c>
      <c r="L1052" s="74"/>
      <c r="M1052" s="77" t="str">
        <f>IF(Main[[#This Row],[Tech Start Date]]&lt;1/1/1990,"",IF(Main[[#This Row],[Class]]="C",WORKDAY(Main[[#This Row],[Tech Start Date]],9),IF(Main[[#This Row],[Class]]="B", WORKDAY(Main[[#This Row],[Tech Start Date]],6),IF(Main[[#This Row],[Class]]="A",WORKDAY(Main[[#This Row],[Tech Start Date]],2),""))))</f>
        <v/>
      </c>
      <c r="N1052" s="77" t="str">
        <f>IF(Main[[#This Row],[Tech Start Date]]&lt;1/1/1990,"",IF(Main[[#This Row],[Class]]="C",WORKDAY(Main[[#This Row],[Tech Start Date]],19),IF(Main[[#This Row],[Class]]="B", WORKDAY(Main[[#This Row],[Tech Start Date]],12),IF(Main[[#This Row],[Class]]="A",WORKDAY(Main[[#This Row],[Tech Start Date]],4),""))))</f>
        <v/>
      </c>
      <c r="O1052" s="77" t="str">
        <f>IF(Main[[#This Row],[Tech Start Date]]&lt;1/1/1990,"",IF(Main[[#This Row],[Class]]="C",WORKDAY(Main[[#This Row],[Tech Start Date]],23),IF(Main[[#This Row],[Class]]="B", WORKDAY(Main[[#This Row],[Tech Start Date]],15),IF(Main[[#This Row],[Class]]="A",WORKDAY(Main[[#This Row],[Tech Start Date]],5),""))))</f>
        <v/>
      </c>
      <c r="P1052" s="77" t="str">
        <f>IF(Main[[#This Row],[Tech Start Date]]&lt;1/1/1990,"",IF(Main[[#This Row],[Class]]="C",WORKDAY(Main[[#This Row],[Tech Start Date]],28),IF(Main[[#This Row],[Class]]="B", WORKDAY(Main[[#This Row],[Tech Start Date]],19),IF(Main[[#This Row],[Class]]="A",WORKDAY(Main[[#This Row],[Tech Start Date]],9),""))))</f>
        <v/>
      </c>
      <c r="Q1052" s="74"/>
      <c r="R1052" s="74"/>
      <c r="S1052" s="72" t="s">
        <v>17</v>
      </c>
      <c r="T1052" s="80" t="s">
        <v>4</v>
      </c>
      <c r="U1052" s="72" t="s">
        <v>7</v>
      </c>
      <c r="V1052" s="72" t="s">
        <v>1927</v>
      </c>
      <c r="W1052" s="72" t="s">
        <v>1919</v>
      </c>
      <c r="X1052" s="72" t="s">
        <v>2872</v>
      </c>
      <c r="Y1052" s="72" t="s">
        <v>3006</v>
      </c>
      <c r="Z1052" s="72" t="s">
        <v>4</v>
      </c>
      <c r="AA1052" s="146" t="s">
        <v>2872</v>
      </c>
    </row>
    <row r="1053" spans="1:27" ht="18.600000000000001" customHeight="1">
      <c r="A1053" s="139" t="str">
        <f>IF(priority(Main[[#This Row],[Comments]])&lt;&gt;0, priority(Main[[#This Row],[Comments]]),"")</f>
        <v/>
      </c>
      <c r="B1053" s="89" t="s">
        <v>2243</v>
      </c>
      <c r="C1053" s="72" t="s">
        <v>4</v>
      </c>
      <c r="D1053" s="73" t="s">
        <v>2244</v>
      </c>
      <c r="E1053" s="74"/>
      <c r="F1053" s="74"/>
      <c r="G1053" s="75" t="str">
        <f>IF(stdProdLT(Main[[#This Row],[Comments]])=0.1,"N/A",IF(stdProdLT(Main[[#This Row],[Comments]])=0,"",stdProdLT(Main[[#This Row],[Comments]])))</f>
        <v/>
      </c>
      <c r="H1053" s="76" t="str">
        <f>IF(AND(Main[[#This Row],[In Stock Date]]&lt;&gt;"",Main[[#This Row],[Revised Due Date]]&lt;&gt;""),Main[[#This Row],[In Stock Date]]-Main[[#This Row],[Revised Due Date]],"")</f>
        <v/>
      </c>
      <c r="I1053" s="72" t="s">
        <v>4</v>
      </c>
      <c r="J1053" s="72" t="s">
        <v>4</v>
      </c>
      <c r="K1053" s="72" t="s">
        <v>4</v>
      </c>
      <c r="L1053" s="74"/>
      <c r="M1053" s="77" t="str">
        <f>IF(Main[[#This Row],[Tech Start Date]]&lt;1/1/1990,"",IF(Main[[#This Row],[Class]]="C",WORKDAY(Main[[#This Row],[Tech Start Date]],9),IF(Main[[#This Row],[Class]]="B", WORKDAY(Main[[#This Row],[Tech Start Date]],6),IF(Main[[#This Row],[Class]]="A",WORKDAY(Main[[#This Row],[Tech Start Date]],2),""))))</f>
        <v/>
      </c>
      <c r="N1053" s="77" t="str">
        <f>IF(Main[[#This Row],[Tech Start Date]]&lt;1/1/1990,"",IF(Main[[#This Row],[Class]]="C",WORKDAY(Main[[#This Row],[Tech Start Date]],19),IF(Main[[#This Row],[Class]]="B", WORKDAY(Main[[#This Row],[Tech Start Date]],12),IF(Main[[#This Row],[Class]]="A",WORKDAY(Main[[#This Row],[Tech Start Date]],4),""))))</f>
        <v/>
      </c>
      <c r="O1053" s="77" t="str">
        <f>IF(Main[[#This Row],[Tech Start Date]]&lt;1/1/1990,"",IF(Main[[#This Row],[Class]]="C",WORKDAY(Main[[#This Row],[Tech Start Date]],23),IF(Main[[#This Row],[Class]]="B", WORKDAY(Main[[#This Row],[Tech Start Date]],15),IF(Main[[#This Row],[Class]]="A",WORKDAY(Main[[#This Row],[Tech Start Date]],5),""))))</f>
        <v/>
      </c>
      <c r="P1053" s="77" t="str">
        <f>IF(Main[[#This Row],[Tech Start Date]]&lt;1/1/1990,"",IF(Main[[#This Row],[Class]]="C",WORKDAY(Main[[#This Row],[Tech Start Date]],28),IF(Main[[#This Row],[Class]]="B", WORKDAY(Main[[#This Row],[Tech Start Date]],19),IF(Main[[#This Row],[Class]]="A",WORKDAY(Main[[#This Row],[Tech Start Date]],9),""))))</f>
        <v/>
      </c>
      <c r="Q1053" s="74"/>
      <c r="R1053" s="74"/>
      <c r="S1053" s="72" t="s">
        <v>6</v>
      </c>
      <c r="T1053" s="80" t="s">
        <v>4</v>
      </c>
      <c r="U1053" s="72" t="s">
        <v>14</v>
      </c>
      <c r="V1053" s="72" t="s">
        <v>1920</v>
      </c>
      <c r="W1053" s="72" t="s">
        <v>1921</v>
      </c>
      <c r="X1053" s="72" t="s">
        <v>102</v>
      </c>
      <c r="Y1053" s="72" t="s">
        <v>4</v>
      </c>
      <c r="Z1053" s="72" t="s">
        <v>4</v>
      </c>
      <c r="AA1053" s="146" t="s">
        <v>3464</v>
      </c>
    </row>
    <row r="1054" spans="1:27" ht="18.600000000000001" customHeight="1">
      <c r="A1054" s="139" t="str">
        <f>IF(priority(Main[[#This Row],[Comments]])&lt;&gt;0, priority(Main[[#This Row],[Comments]]),"")</f>
        <v/>
      </c>
      <c r="B1054" s="89" t="s">
        <v>2245</v>
      </c>
      <c r="C1054" s="72" t="s">
        <v>4</v>
      </c>
      <c r="D1054" s="73" t="s">
        <v>2246</v>
      </c>
      <c r="E1054" s="74">
        <v>40801.476770833331</v>
      </c>
      <c r="F1054" s="74"/>
      <c r="G1054" s="75" t="str">
        <f>IF(stdProdLT(Main[[#This Row],[Comments]])=0.1,"N/A",IF(stdProdLT(Main[[#This Row],[Comments]])=0,"",stdProdLT(Main[[#This Row],[Comments]])))</f>
        <v/>
      </c>
      <c r="H1054" s="76" t="str">
        <f>IF(AND(Main[[#This Row],[In Stock Date]]&lt;&gt;"",Main[[#This Row],[Revised Due Date]]&lt;&gt;""),Main[[#This Row],[In Stock Date]]-Main[[#This Row],[Revised Due Date]],"")</f>
        <v/>
      </c>
      <c r="I1054" s="72" t="s">
        <v>4</v>
      </c>
      <c r="J1054" s="72" t="s">
        <v>4</v>
      </c>
      <c r="K1054" s="72" t="s">
        <v>4</v>
      </c>
      <c r="L1054" s="74"/>
      <c r="M1054" s="77" t="str">
        <f>IF(Main[[#This Row],[Tech Start Date]]&lt;1/1/1990,"",IF(Main[[#This Row],[Class]]="C",WORKDAY(Main[[#This Row],[Tech Start Date]],9),IF(Main[[#This Row],[Class]]="B", WORKDAY(Main[[#This Row],[Tech Start Date]],6),IF(Main[[#This Row],[Class]]="A",WORKDAY(Main[[#This Row],[Tech Start Date]],2),""))))</f>
        <v/>
      </c>
      <c r="N1054" s="77" t="str">
        <f>IF(Main[[#This Row],[Tech Start Date]]&lt;1/1/1990,"",IF(Main[[#This Row],[Class]]="C",WORKDAY(Main[[#This Row],[Tech Start Date]],19),IF(Main[[#This Row],[Class]]="B", WORKDAY(Main[[#This Row],[Tech Start Date]],12),IF(Main[[#This Row],[Class]]="A",WORKDAY(Main[[#This Row],[Tech Start Date]],4),""))))</f>
        <v/>
      </c>
      <c r="O1054" s="77" t="str">
        <f>IF(Main[[#This Row],[Tech Start Date]]&lt;1/1/1990,"",IF(Main[[#This Row],[Class]]="C",WORKDAY(Main[[#This Row],[Tech Start Date]],23),IF(Main[[#This Row],[Class]]="B", WORKDAY(Main[[#This Row],[Tech Start Date]],15),IF(Main[[#This Row],[Class]]="A",WORKDAY(Main[[#This Row],[Tech Start Date]],5),""))))</f>
        <v/>
      </c>
      <c r="P1054" s="77" t="str">
        <f>IF(Main[[#This Row],[Tech Start Date]]&lt;1/1/1990,"",IF(Main[[#This Row],[Class]]="C",WORKDAY(Main[[#This Row],[Tech Start Date]],28),IF(Main[[#This Row],[Class]]="B", WORKDAY(Main[[#This Row],[Tech Start Date]],19),IF(Main[[#This Row],[Class]]="A",WORKDAY(Main[[#This Row],[Tech Start Date]],9),""))))</f>
        <v/>
      </c>
      <c r="Q1054" s="74">
        <v>40828</v>
      </c>
      <c r="R1054" s="74"/>
      <c r="S1054" s="72" t="s">
        <v>6</v>
      </c>
      <c r="T1054" s="80" t="s">
        <v>4</v>
      </c>
      <c r="U1054" s="72" t="s">
        <v>7</v>
      </c>
      <c r="V1054" s="72" t="s">
        <v>1917</v>
      </c>
      <c r="W1054" s="72" t="s">
        <v>1925</v>
      </c>
      <c r="X1054" s="72" t="s">
        <v>2827</v>
      </c>
      <c r="Y1054" s="72" t="s">
        <v>2942</v>
      </c>
      <c r="Z1054" s="72" t="s">
        <v>4</v>
      </c>
      <c r="AA1054" s="146" t="s">
        <v>2827</v>
      </c>
    </row>
    <row r="1055" spans="1:27" ht="18.600000000000001" customHeight="1">
      <c r="A1055" s="139" t="str">
        <f>IF(priority(Main[[#This Row],[Comments]])&lt;&gt;0, priority(Main[[#This Row],[Comments]]),"")</f>
        <v/>
      </c>
      <c r="B1055" s="89" t="s">
        <v>1176</v>
      </c>
      <c r="C1055" s="72" t="s">
        <v>4</v>
      </c>
      <c r="D1055" s="73" t="s">
        <v>229</v>
      </c>
      <c r="E1055" s="74">
        <v>40847.6950462963</v>
      </c>
      <c r="F1055" s="74"/>
      <c r="G1055" s="75" t="str">
        <f>IF(stdProdLT(Main[[#This Row],[Comments]])=0.1,"N/A",IF(stdProdLT(Main[[#This Row],[Comments]])=0,"",stdProdLT(Main[[#This Row],[Comments]])))</f>
        <v/>
      </c>
      <c r="H1055" s="76" t="str">
        <f>IF(AND(Main[[#This Row],[In Stock Date]]&lt;&gt;"",Main[[#This Row],[Revised Due Date]]&lt;&gt;""),Main[[#This Row],[In Stock Date]]-Main[[#This Row],[Revised Due Date]],"")</f>
        <v/>
      </c>
      <c r="I1055" s="72" t="s">
        <v>4</v>
      </c>
      <c r="J1055" s="72" t="s">
        <v>4</v>
      </c>
      <c r="K1055" s="72" t="s">
        <v>4</v>
      </c>
      <c r="L1055" s="74"/>
      <c r="M1055" s="77" t="str">
        <f>IF(Main[[#This Row],[Tech Start Date]]&lt;1/1/1990,"",IF(Main[[#This Row],[Class]]="C",WORKDAY(Main[[#This Row],[Tech Start Date]],9),IF(Main[[#This Row],[Class]]="B", WORKDAY(Main[[#This Row],[Tech Start Date]],6),IF(Main[[#This Row],[Class]]="A",WORKDAY(Main[[#This Row],[Tech Start Date]],2),""))))</f>
        <v/>
      </c>
      <c r="N1055" s="77" t="str">
        <f>IF(Main[[#This Row],[Tech Start Date]]&lt;1/1/1990,"",IF(Main[[#This Row],[Class]]="C",WORKDAY(Main[[#This Row],[Tech Start Date]],19),IF(Main[[#This Row],[Class]]="B", WORKDAY(Main[[#This Row],[Tech Start Date]],12),IF(Main[[#This Row],[Class]]="A",WORKDAY(Main[[#This Row],[Tech Start Date]],4),""))))</f>
        <v/>
      </c>
      <c r="O1055" s="77" t="str">
        <f>IF(Main[[#This Row],[Tech Start Date]]&lt;1/1/1990,"",IF(Main[[#This Row],[Class]]="C",WORKDAY(Main[[#This Row],[Tech Start Date]],23),IF(Main[[#This Row],[Class]]="B", WORKDAY(Main[[#This Row],[Tech Start Date]],15),IF(Main[[#This Row],[Class]]="A",WORKDAY(Main[[#This Row],[Tech Start Date]],5),""))))</f>
        <v/>
      </c>
      <c r="P1055" s="77" t="str">
        <f>IF(Main[[#This Row],[Tech Start Date]]&lt;1/1/1990,"",IF(Main[[#This Row],[Class]]="C",WORKDAY(Main[[#This Row],[Tech Start Date]],28),IF(Main[[#This Row],[Class]]="B", WORKDAY(Main[[#This Row],[Tech Start Date]],19),IF(Main[[#This Row],[Class]]="A",WORKDAY(Main[[#This Row],[Tech Start Date]],9),""))))</f>
        <v/>
      </c>
      <c r="Q1055" s="74"/>
      <c r="R1055" s="74"/>
      <c r="S1055" s="72" t="s">
        <v>49</v>
      </c>
      <c r="T1055" s="80" t="s">
        <v>4</v>
      </c>
      <c r="U1055" s="72" t="s">
        <v>7</v>
      </c>
      <c r="V1055" s="72" t="s">
        <v>1917</v>
      </c>
      <c r="W1055" s="72" t="s">
        <v>1921</v>
      </c>
      <c r="X1055" s="72" t="s">
        <v>909</v>
      </c>
      <c r="Y1055" s="72" t="s">
        <v>3023</v>
      </c>
      <c r="Z1055" s="72" t="s">
        <v>4</v>
      </c>
      <c r="AA1055" s="146" t="s">
        <v>909</v>
      </c>
    </row>
    <row r="1056" spans="1:27" ht="18.600000000000001" customHeight="1">
      <c r="A1056" s="139" t="str">
        <f>IF(priority(Main[[#This Row],[Comments]])&lt;&gt;0, priority(Main[[#This Row],[Comments]]),"")</f>
        <v/>
      </c>
      <c r="B1056" s="89" t="s">
        <v>2229</v>
      </c>
      <c r="C1056" s="72" t="s">
        <v>4</v>
      </c>
      <c r="D1056" s="73" t="s">
        <v>2230</v>
      </c>
      <c r="E1056" s="74">
        <v>40802.356851851851</v>
      </c>
      <c r="F1056" s="74"/>
      <c r="G1056" s="75" t="str">
        <f>IF(stdProdLT(Main[[#This Row],[Comments]])=0.1,"N/A",IF(stdProdLT(Main[[#This Row],[Comments]])=0,"",stdProdLT(Main[[#This Row],[Comments]])))</f>
        <v/>
      </c>
      <c r="H1056" s="76" t="str">
        <f>IF(AND(Main[[#This Row],[In Stock Date]]&lt;&gt;"",Main[[#This Row],[Revised Due Date]]&lt;&gt;""),Main[[#This Row],[In Stock Date]]-Main[[#This Row],[Revised Due Date]],"")</f>
        <v/>
      </c>
      <c r="I1056" s="72" t="s">
        <v>102</v>
      </c>
      <c r="J1056" s="72" t="s">
        <v>75</v>
      </c>
      <c r="K1056" s="72" t="s">
        <v>1930</v>
      </c>
      <c r="L1056" s="74"/>
      <c r="M1056" s="77" t="str">
        <f>IF(Main[[#This Row],[Tech Start Date]]&lt;1/1/1990,"",IF(Main[[#This Row],[Class]]="C",WORKDAY(Main[[#This Row],[Tech Start Date]],9),IF(Main[[#This Row],[Class]]="B", WORKDAY(Main[[#This Row],[Tech Start Date]],6),IF(Main[[#This Row],[Class]]="A",WORKDAY(Main[[#This Row],[Tech Start Date]],2),""))))</f>
        <v/>
      </c>
      <c r="N1056" s="77" t="str">
        <f>IF(Main[[#This Row],[Tech Start Date]]&lt;1/1/1990,"",IF(Main[[#This Row],[Class]]="C",WORKDAY(Main[[#This Row],[Tech Start Date]],19),IF(Main[[#This Row],[Class]]="B", WORKDAY(Main[[#This Row],[Tech Start Date]],12),IF(Main[[#This Row],[Class]]="A",WORKDAY(Main[[#This Row],[Tech Start Date]],4),""))))</f>
        <v/>
      </c>
      <c r="O1056" s="77" t="str">
        <f>IF(Main[[#This Row],[Tech Start Date]]&lt;1/1/1990,"",IF(Main[[#This Row],[Class]]="C",WORKDAY(Main[[#This Row],[Tech Start Date]],23),IF(Main[[#This Row],[Class]]="B", WORKDAY(Main[[#This Row],[Tech Start Date]],15),IF(Main[[#This Row],[Class]]="A",WORKDAY(Main[[#This Row],[Tech Start Date]],5),""))))</f>
        <v/>
      </c>
      <c r="P1056" s="77" t="str">
        <f>IF(Main[[#This Row],[Tech Start Date]]&lt;1/1/1990,"",IF(Main[[#This Row],[Class]]="C",WORKDAY(Main[[#This Row],[Tech Start Date]],28),IF(Main[[#This Row],[Class]]="B", WORKDAY(Main[[#This Row],[Tech Start Date]],19),IF(Main[[#This Row],[Class]]="A",WORKDAY(Main[[#This Row],[Tech Start Date]],9),""))))</f>
        <v/>
      </c>
      <c r="Q1056" s="74"/>
      <c r="R1056" s="74"/>
      <c r="S1056" s="72" t="s">
        <v>6</v>
      </c>
      <c r="T1056" s="80" t="s">
        <v>4</v>
      </c>
      <c r="U1056" s="72" t="s">
        <v>29</v>
      </c>
      <c r="V1056" s="72" t="s">
        <v>1920</v>
      </c>
      <c r="W1056" s="72" t="s">
        <v>1921</v>
      </c>
      <c r="X1056" s="72" t="s">
        <v>102</v>
      </c>
      <c r="Y1056" s="72" t="s">
        <v>3128</v>
      </c>
      <c r="Z1056" s="72" t="s">
        <v>306</v>
      </c>
      <c r="AA1056" s="146" t="s">
        <v>3457</v>
      </c>
    </row>
    <row r="1057" spans="1:27" ht="18.600000000000001" customHeight="1">
      <c r="A1057" s="139" t="str">
        <f>IF(priority(Main[[#This Row],[Comments]])&lt;&gt;0, priority(Main[[#This Row],[Comments]]),"")</f>
        <v/>
      </c>
      <c r="B1057" s="89" t="s">
        <v>3311</v>
      </c>
      <c r="C1057" s="72" t="s">
        <v>4</v>
      </c>
      <c r="D1057" s="73" t="s">
        <v>3312</v>
      </c>
      <c r="E1057" s="74">
        <v>40933.366932870369</v>
      </c>
      <c r="F1057" s="74"/>
      <c r="G1057" s="75" t="str">
        <f>IF(stdProdLT(Main[[#This Row],[Comments]])=0.1,"N/A",IF(stdProdLT(Main[[#This Row],[Comments]])=0,"",stdProdLT(Main[[#This Row],[Comments]])))</f>
        <v/>
      </c>
      <c r="H1057" s="76" t="str">
        <f>IF(AND(Main[[#This Row],[In Stock Date]]&lt;&gt;"",Main[[#This Row],[Revised Due Date]]&lt;&gt;""),Main[[#This Row],[In Stock Date]]-Main[[#This Row],[Revised Due Date]],"")</f>
        <v/>
      </c>
      <c r="I1057" s="72" t="s">
        <v>44</v>
      </c>
      <c r="J1057" s="72" t="s">
        <v>52</v>
      </c>
      <c r="K1057" s="72" t="s">
        <v>1926</v>
      </c>
      <c r="L1057" s="74"/>
      <c r="M1057" s="77" t="str">
        <f>IF(Main[[#This Row],[Tech Start Date]]&lt;1/1/1990,"",IF(Main[[#This Row],[Class]]="C",WORKDAY(Main[[#This Row],[Tech Start Date]],9),IF(Main[[#This Row],[Class]]="B", WORKDAY(Main[[#This Row],[Tech Start Date]],6),IF(Main[[#This Row],[Class]]="A",WORKDAY(Main[[#This Row],[Tech Start Date]],2),""))))</f>
        <v/>
      </c>
      <c r="N1057" s="77" t="str">
        <f>IF(Main[[#This Row],[Tech Start Date]]&lt;1/1/1990,"",IF(Main[[#This Row],[Class]]="C",WORKDAY(Main[[#This Row],[Tech Start Date]],19),IF(Main[[#This Row],[Class]]="B", WORKDAY(Main[[#This Row],[Tech Start Date]],12),IF(Main[[#This Row],[Class]]="A",WORKDAY(Main[[#This Row],[Tech Start Date]],4),""))))</f>
        <v/>
      </c>
      <c r="O1057" s="77" t="str">
        <f>IF(Main[[#This Row],[Tech Start Date]]&lt;1/1/1990,"",IF(Main[[#This Row],[Class]]="C",WORKDAY(Main[[#This Row],[Tech Start Date]],23),IF(Main[[#This Row],[Class]]="B", WORKDAY(Main[[#This Row],[Tech Start Date]],15),IF(Main[[#This Row],[Class]]="A",WORKDAY(Main[[#This Row],[Tech Start Date]],5),""))))</f>
        <v/>
      </c>
      <c r="P1057" s="77" t="str">
        <f>IF(Main[[#This Row],[Tech Start Date]]&lt;1/1/1990,"",IF(Main[[#This Row],[Class]]="C",WORKDAY(Main[[#This Row],[Tech Start Date]],28),IF(Main[[#This Row],[Class]]="B", WORKDAY(Main[[#This Row],[Tech Start Date]],19),IF(Main[[#This Row],[Class]]="A",WORKDAY(Main[[#This Row],[Tech Start Date]],9),""))))</f>
        <v/>
      </c>
      <c r="Q1057" s="74"/>
      <c r="R1057" s="74"/>
      <c r="S1057" s="72" t="s">
        <v>6</v>
      </c>
      <c r="T1057" s="80" t="s">
        <v>4</v>
      </c>
      <c r="U1057" s="72" t="s">
        <v>29</v>
      </c>
      <c r="V1057" s="72" t="s">
        <v>1920</v>
      </c>
      <c r="W1057" s="72" t="s">
        <v>1921</v>
      </c>
      <c r="X1057" s="72" t="s">
        <v>2872</v>
      </c>
      <c r="Y1057" s="72" t="s">
        <v>3006</v>
      </c>
      <c r="Z1057" s="72" t="s">
        <v>30</v>
      </c>
      <c r="AA1057" s="146" t="s">
        <v>2872</v>
      </c>
    </row>
    <row r="1058" spans="1:27" ht="18.600000000000001" customHeight="1">
      <c r="A1058" s="139" t="str">
        <f>IF(priority(Main[[#This Row],[Comments]])&lt;&gt;0, priority(Main[[#This Row],[Comments]]),"")</f>
        <v/>
      </c>
      <c r="B1058" s="89" t="s">
        <v>1844</v>
      </c>
      <c r="C1058" s="72" t="s">
        <v>4</v>
      </c>
      <c r="D1058" s="73" t="s">
        <v>899</v>
      </c>
      <c r="E1058" s="74">
        <v>40080.410775462966</v>
      </c>
      <c r="F1058" s="74"/>
      <c r="G1058" s="75" t="str">
        <f>IF(stdProdLT(Main[[#This Row],[Comments]])=0.1,"N/A",IF(stdProdLT(Main[[#This Row],[Comments]])=0,"",stdProdLT(Main[[#This Row],[Comments]])))</f>
        <v/>
      </c>
      <c r="H1058" s="76" t="str">
        <f>IF(AND(Main[[#This Row],[In Stock Date]]&lt;&gt;"",Main[[#This Row],[Revised Due Date]]&lt;&gt;""),Main[[#This Row],[In Stock Date]]-Main[[#This Row],[Revised Due Date]],"")</f>
        <v/>
      </c>
      <c r="I1058" s="72" t="s">
        <v>900</v>
      </c>
      <c r="J1058" s="72" t="s">
        <v>28</v>
      </c>
      <c r="K1058" s="72" t="s">
        <v>1926</v>
      </c>
      <c r="L1058" s="74"/>
      <c r="M1058" s="77" t="str">
        <f>IF(Main[[#This Row],[Tech Start Date]]&lt;1/1/1990,"",IF(Main[[#This Row],[Class]]="C",WORKDAY(Main[[#This Row],[Tech Start Date]],9),IF(Main[[#This Row],[Class]]="B", WORKDAY(Main[[#This Row],[Tech Start Date]],6),IF(Main[[#This Row],[Class]]="A",WORKDAY(Main[[#This Row],[Tech Start Date]],2),""))))</f>
        <v/>
      </c>
      <c r="N1058" s="77" t="str">
        <f>IF(Main[[#This Row],[Tech Start Date]]&lt;1/1/1990,"",IF(Main[[#This Row],[Class]]="C",WORKDAY(Main[[#This Row],[Tech Start Date]],19),IF(Main[[#This Row],[Class]]="B", WORKDAY(Main[[#This Row],[Tech Start Date]],12),IF(Main[[#This Row],[Class]]="A",WORKDAY(Main[[#This Row],[Tech Start Date]],4),""))))</f>
        <v/>
      </c>
      <c r="O1058" s="77" t="str">
        <f>IF(Main[[#This Row],[Tech Start Date]]&lt;1/1/1990,"",IF(Main[[#This Row],[Class]]="C",WORKDAY(Main[[#This Row],[Tech Start Date]],23),IF(Main[[#This Row],[Class]]="B", WORKDAY(Main[[#This Row],[Tech Start Date]],15),IF(Main[[#This Row],[Class]]="A",WORKDAY(Main[[#This Row],[Tech Start Date]],5),""))))</f>
        <v/>
      </c>
      <c r="P1058" s="77" t="str">
        <f>IF(Main[[#This Row],[Tech Start Date]]&lt;1/1/1990,"",IF(Main[[#This Row],[Class]]="C",WORKDAY(Main[[#This Row],[Tech Start Date]],28),IF(Main[[#This Row],[Class]]="B", WORKDAY(Main[[#This Row],[Tech Start Date]],19),IF(Main[[#This Row],[Class]]="A",WORKDAY(Main[[#This Row],[Tech Start Date]],9),""))))</f>
        <v/>
      </c>
      <c r="Q1058" s="74"/>
      <c r="R1058" s="74">
        <v>40494</v>
      </c>
      <c r="S1058" s="72" t="s">
        <v>6</v>
      </c>
      <c r="T1058" s="80" t="s">
        <v>4</v>
      </c>
      <c r="U1058" s="72" t="s">
        <v>29</v>
      </c>
      <c r="V1058" s="72" t="s">
        <v>1920</v>
      </c>
      <c r="W1058" s="72" t="s">
        <v>1921</v>
      </c>
      <c r="X1058" s="72" t="s">
        <v>2893</v>
      </c>
      <c r="Y1058" s="72" t="s">
        <v>3049</v>
      </c>
      <c r="Z1058" s="72" t="s">
        <v>415</v>
      </c>
      <c r="AA1058" s="146" t="s">
        <v>2893</v>
      </c>
    </row>
    <row r="1059" spans="1:27" ht="18.600000000000001" customHeight="1">
      <c r="A1059" s="139" t="str">
        <f>IF(priority(Main[[#This Row],[Comments]])&lt;&gt;0, priority(Main[[#This Row],[Comments]]),"")</f>
        <v/>
      </c>
      <c r="B1059" s="89" t="s">
        <v>1798</v>
      </c>
      <c r="C1059" s="72" t="s">
        <v>4</v>
      </c>
      <c r="D1059" s="73" t="s">
        <v>841</v>
      </c>
      <c r="E1059" s="74">
        <v>40639.681793981479</v>
      </c>
      <c r="F1059" s="74"/>
      <c r="G1059" s="75" t="str">
        <f>IF(stdProdLT(Main[[#This Row],[Comments]])=0.1,"N/A",IF(stdProdLT(Main[[#This Row],[Comments]])=0,"",stdProdLT(Main[[#This Row],[Comments]])))</f>
        <v/>
      </c>
      <c r="H1059" s="76" t="str">
        <f>IF(AND(Main[[#This Row],[In Stock Date]]&lt;&gt;"",Main[[#This Row],[Revised Due Date]]&lt;&gt;""),Main[[#This Row],[In Stock Date]]-Main[[#This Row],[Revised Due Date]],"")</f>
        <v/>
      </c>
      <c r="I1059" s="72" t="s">
        <v>130</v>
      </c>
      <c r="J1059" s="72" t="s">
        <v>70</v>
      </c>
      <c r="K1059" s="72" t="s">
        <v>1926</v>
      </c>
      <c r="L1059" s="74"/>
      <c r="M1059" s="77" t="str">
        <f>IF(Main[[#This Row],[Tech Start Date]]&lt;1/1/1990,"",IF(Main[[#This Row],[Class]]="C",WORKDAY(Main[[#This Row],[Tech Start Date]],9),IF(Main[[#This Row],[Class]]="B", WORKDAY(Main[[#This Row],[Tech Start Date]],6),IF(Main[[#This Row],[Class]]="A",WORKDAY(Main[[#This Row],[Tech Start Date]],2),""))))</f>
        <v/>
      </c>
      <c r="N1059" s="77" t="str">
        <f>IF(Main[[#This Row],[Tech Start Date]]&lt;1/1/1990,"",IF(Main[[#This Row],[Class]]="C",WORKDAY(Main[[#This Row],[Tech Start Date]],19),IF(Main[[#This Row],[Class]]="B", WORKDAY(Main[[#This Row],[Tech Start Date]],12),IF(Main[[#This Row],[Class]]="A",WORKDAY(Main[[#This Row],[Tech Start Date]],4),""))))</f>
        <v/>
      </c>
      <c r="O1059" s="77" t="str">
        <f>IF(Main[[#This Row],[Tech Start Date]]&lt;1/1/1990,"",IF(Main[[#This Row],[Class]]="C",WORKDAY(Main[[#This Row],[Tech Start Date]],23),IF(Main[[#This Row],[Class]]="B", WORKDAY(Main[[#This Row],[Tech Start Date]],15),IF(Main[[#This Row],[Class]]="A",WORKDAY(Main[[#This Row],[Tech Start Date]],5),""))))</f>
        <v/>
      </c>
      <c r="P1059" s="77" t="str">
        <f>IF(Main[[#This Row],[Tech Start Date]]&lt;1/1/1990,"",IF(Main[[#This Row],[Class]]="C",WORKDAY(Main[[#This Row],[Tech Start Date]],28),IF(Main[[#This Row],[Class]]="B", WORKDAY(Main[[#This Row],[Tech Start Date]],19),IF(Main[[#This Row],[Class]]="A",WORKDAY(Main[[#This Row],[Tech Start Date]],9),""))))</f>
        <v/>
      </c>
      <c r="Q1059" s="74">
        <v>40669</v>
      </c>
      <c r="R1059" s="74"/>
      <c r="S1059" s="72" t="s">
        <v>6</v>
      </c>
      <c r="T1059" s="80" t="s">
        <v>4</v>
      </c>
      <c r="U1059" s="72" t="s">
        <v>29</v>
      </c>
      <c r="V1059" s="72" t="s">
        <v>1920</v>
      </c>
      <c r="W1059" s="72" t="s">
        <v>1921</v>
      </c>
      <c r="X1059" s="72" t="s">
        <v>2825</v>
      </c>
      <c r="Y1059" s="72" t="s">
        <v>2938</v>
      </c>
      <c r="Z1059" s="72" t="s">
        <v>530</v>
      </c>
      <c r="AA1059" s="146" t="s">
        <v>2825</v>
      </c>
    </row>
    <row r="1060" spans="1:27" ht="18.600000000000001" customHeight="1">
      <c r="A1060" s="139" t="str">
        <f>IF(priority(Main[[#This Row],[Comments]])&lt;&gt;0, priority(Main[[#This Row],[Comments]]),"")</f>
        <v/>
      </c>
      <c r="B1060" s="89" t="s">
        <v>1894</v>
      </c>
      <c r="C1060" s="72" t="s">
        <v>116</v>
      </c>
      <c r="D1060" s="73" t="s">
        <v>2318</v>
      </c>
      <c r="E1060" s="74">
        <v>40673.421898148146</v>
      </c>
      <c r="F1060" s="74"/>
      <c r="G1060" s="75" t="str">
        <f>IF(stdProdLT(Main[[#This Row],[Comments]])=0.1,"N/A",IF(stdProdLT(Main[[#This Row],[Comments]])=0,"",stdProdLT(Main[[#This Row],[Comments]])))</f>
        <v/>
      </c>
      <c r="H1060" s="76" t="str">
        <f>IF(AND(Main[[#This Row],[In Stock Date]]&lt;&gt;"",Main[[#This Row],[Revised Due Date]]&lt;&gt;""),Main[[#This Row],[In Stock Date]]-Main[[#This Row],[Revised Due Date]],"")</f>
        <v/>
      </c>
      <c r="I1060" s="72" t="s">
        <v>939</v>
      </c>
      <c r="J1060" s="72" t="s">
        <v>28</v>
      </c>
      <c r="K1060" s="72" t="s">
        <v>1929</v>
      </c>
      <c r="L1060" s="74"/>
      <c r="M1060" s="77" t="str">
        <f>IF(Main[[#This Row],[Tech Start Date]]&lt;1/1/1990,"",IF(Main[[#This Row],[Class]]="C",WORKDAY(Main[[#This Row],[Tech Start Date]],9),IF(Main[[#This Row],[Class]]="B", WORKDAY(Main[[#This Row],[Tech Start Date]],6),IF(Main[[#This Row],[Class]]="A",WORKDAY(Main[[#This Row],[Tech Start Date]],2),""))))</f>
        <v/>
      </c>
      <c r="N1060" s="77" t="str">
        <f>IF(Main[[#This Row],[Tech Start Date]]&lt;1/1/1990,"",IF(Main[[#This Row],[Class]]="C",WORKDAY(Main[[#This Row],[Tech Start Date]],19),IF(Main[[#This Row],[Class]]="B", WORKDAY(Main[[#This Row],[Tech Start Date]],12),IF(Main[[#This Row],[Class]]="A",WORKDAY(Main[[#This Row],[Tech Start Date]],4),""))))</f>
        <v/>
      </c>
      <c r="O1060" s="77" t="str">
        <f>IF(Main[[#This Row],[Tech Start Date]]&lt;1/1/1990,"",IF(Main[[#This Row],[Class]]="C",WORKDAY(Main[[#This Row],[Tech Start Date]],23),IF(Main[[#This Row],[Class]]="B", WORKDAY(Main[[#This Row],[Tech Start Date]],15),IF(Main[[#This Row],[Class]]="A",WORKDAY(Main[[#This Row],[Tech Start Date]],5),""))))</f>
        <v/>
      </c>
      <c r="P1060" s="77" t="str">
        <f>IF(Main[[#This Row],[Tech Start Date]]&lt;1/1/1990,"",IF(Main[[#This Row],[Class]]="C",WORKDAY(Main[[#This Row],[Tech Start Date]],28),IF(Main[[#This Row],[Class]]="B", WORKDAY(Main[[#This Row],[Tech Start Date]],19),IF(Main[[#This Row],[Class]]="A",WORKDAY(Main[[#This Row],[Tech Start Date]],9),""))))</f>
        <v/>
      </c>
      <c r="Q1060" s="74">
        <v>40724</v>
      </c>
      <c r="R1060" s="74">
        <v>40847</v>
      </c>
      <c r="S1060" s="72" t="s">
        <v>6</v>
      </c>
      <c r="T1060" s="80" t="s">
        <v>2419</v>
      </c>
      <c r="U1060" s="72" t="s">
        <v>29</v>
      </c>
      <c r="V1060" s="72" t="s">
        <v>1917</v>
      </c>
      <c r="W1060" s="72" t="s">
        <v>1921</v>
      </c>
      <c r="X1060" s="72" t="s">
        <v>914</v>
      </c>
      <c r="Y1060" s="72" t="s">
        <v>3063</v>
      </c>
      <c r="Z1060" s="72" t="s">
        <v>129</v>
      </c>
      <c r="AA1060" s="146" t="s">
        <v>914</v>
      </c>
    </row>
    <row r="1061" spans="1:27" ht="18.600000000000001" customHeight="1">
      <c r="A1061" s="139" t="str">
        <f>IF(priority(Main[[#This Row],[Comments]])&lt;&gt;0, priority(Main[[#This Row],[Comments]]),"")</f>
        <v/>
      </c>
      <c r="B1061" s="89" t="s">
        <v>2420</v>
      </c>
      <c r="C1061" s="72" t="s">
        <v>213</v>
      </c>
      <c r="D1061" s="73" t="s">
        <v>2421</v>
      </c>
      <c r="E1061" s="74">
        <v>40861.655509259261</v>
      </c>
      <c r="F1061" s="74"/>
      <c r="G1061" s="75" t="str">
        <f>IF(stdProdLT(Main[[#This Row],[Comments]])=0.1,"N/A",IF(stdProdLT(Main[[#This Row],[Comments]])=0,"",stdProdLT(Main[[#This Row],[Comments]])))</f>
        <v/>
      </c>
      <c r="H1061" s="76" t="str">
        <f>IF(AND(Main[[#This Row],[In Stock Date]]&lt;&gt;"",Main[[#This Row],[Revised Due Date]]&lt;&gt;""),Main[[#This Row],[In Stock Date]]-Main[[#This Row],[Revised Due Date]],"")</f>
        <v/>
      </c>
      <c r="I1061" s="72" t="s">
        <v>4</v>
      </c>
      <c r="J1061" s="72" t="s">
        <v>4</v>
      </c>
      <c r="K1061" s="72" t="s">
        <v>4</v>
      </c>
      <c r="L1061" s="74"/>
      <c r="M1061" s="77" t="str">
        <f>IF(Main[[#This Row],[Tech Start Date]]&lt;1/1/1990,"",IF(Main[[#This Row],[Class]]="C",WORKDAY(Main[[#This Row],[Tech Start Date]],9),IF(Main[[#This Row],[Class]]="B", WORKDAY(Main[[#This Row],[Tech Start Date]],6),IF(Main[[#This Row],[Class]]="A",WORKDAY(Main[[#This Row],[Tech Start Date]],2),""))))</f>
        <v/>
      </c>
      <c r="N1061" s="77" t="str">
        <f>IF(Main[[#This Row],[Tech Start Date]]&lt;1/1/1990,"",IF(Main[[#This Row],[Class]]="C",WORKDAY(Main[[#This Row],[Tech Start Date]],19),IF(Main[[#This Row],[Class]]="B", WORKDAY(Main[[#This Row],[Tech Start Date]],12),IF(Main[[#This Row],[Class]]="A",WORKDAY(Main[[#This Row],[Tech Start Date]],4),""))))</f>
        <v/>
      </c>
      <c r="O1061" s="77" t="str">
        <f>IF(Main[[#This Row],[Tech Start Date]]&lt;1/1/1990,"",IF(Main[[#This Row],[Class]]="C",WORKDAY(Main[[#This Row],[Tech Start Date]],23),IF(Main[[#This Row],[Class]]="B", WORKDAY(Main[[#This Row],[Tech Start Date]],15),IF(Main[[#This Row],[Class]]="A",WORKDAY(Main[[#This Row],[Tech Start Date]],5),""))))</f>
        <v/>
      </c>
      <c r="P1061" s="77" t="str">
        <f>IF(Main[[#This Row],[Tech Start Date]]&lt;1/1/1990,"",IF(Main[[#This Row],[Class]]="C",WORKDAY(Main[[#This Row],[Tech Start Date]],28),IF(Main[[#This Row],[Class]]="B", WORKDAY(Main[[#This Row],[Tech Start Date]],19),IF(Main[[#This Row],[Class]]="A",WORKDAY(Main[[#This Row],[Tech Start Date]],9),""))))</f>
        <v/>
      </c>
      <c r="Q1061" s="74">
        <v>40967</v>
      </c>
      <c r="R1061" s="74"/>
      <c r="S1061" s="72" t="s">
        <v>17</v>
      </c>
      <c r="T1061" s="80" t="s">
        <v>4</v>
      </c>
      <c r="U1061" s="72" t="s">
        <v>7</v>
      </c>
      <c r="V1061" s="72" t="s">
        <v>1927</v>
      </c>
      <c r="W1061" s="72" t="s">
        <v>1922</v>
      </c>
      <c r="X1061" s="72" t="s">
        <v>431</v>
      </c>
      <c r="Y1061" s="72" t="s">
        <v>3129</v>
      </c>
      <c r="Z1061" s="72" t="s">
        <v>4</v>
      </c>
      <c r="AA1061" s="146" t="s">
        <v>431</v>
      </c>
    </row>
    <row r="1062" spans="1:27" ht="18.600000000000001" customHeight="1">
      <c r="A1062" s="139" t="str">
        <f>IF(priority(Main[[#This Row],[Comments]])&lt;&gt;0, priority(Main[[#This Row],[Comments]]),"")</f>
        <v/>
      </c>
      <c r="B1062" s="89" t="s">
        <v>2282</v>
      </c>
      <c r="C1062" s="72" t="s">
        <v>2283</v>
      </c>
      <c r="D1062" s="73" t="s">
        <v>2284</v>
      </c>
      <c r="E1062" s="74"/>
      <c r="F1062" s="74">
        <v>40816</v>
      </c>
      <c r="G1062" s="75" t="str">
        <f>IF(stdProdLT(Main[[#This Row],[Comments]])=0.1,"N/A",IF(stdProdLT(Main[[#This Row],[Comments]])=0,"",stdProdLT(Main[[#This Row],[Comments]])))</f>
        <v/>
      </c>
      <c r="H1062" s="76" t="str">
        <f>IF(AND(Main[[#This Row],[In Stock Date]]&lt;&gt;"",Main[[#This Row],[Revised Due Date]]&lt;&gt;""),Main[[#This Row],[In Stock Date]]-Main[[#This Row],[Revised Due Date]],"")</f>
        <v/>
      </c>
      <c r="I1062" s="72" t="s">
        <v>4</v>
      </c>
      <c r="J1062" s="72" t="s">
        <v>4</v>
      </c>
      <c r="K1062" s="81" t="s">
        <v>4</v>
      </c>
      <c r="L1062" s="74"/>
      <c r="M1062" s="77" t="str">
        <f>IF(Main[[#This Row],[Tech Start Date]]&lt;1/1/1990,"",IF(Main[[#This Row],[Class]]="C",WORKDAY(Main[[#This Row],[Tech Start Date]],9),IF(Main[[#This Row],[Class]]="B", WORKDAY(Main[[#This Row],[Tech Start Date]],6),IF(Main[[#This Row],[Class]]="A",WORKDAY(Main[[#This Row],[Tech Start Date]],2),""))))</f>
        <v/>
      </c>
      <c r="N1062" s="77" t="str">
        <f>IF(Main[[#This Row],[Tech Start Date]]&lt;1/1/1990,"",IF(Main[[#This Row],[Class]]="C",WORKDAY(Main[[#This Row],[Tech Start Date]],19),IF(Main[[#This Row],[Class]]="B", WORKDAY(Main[[#This Row],[Tech Start Date]],12),IF(Main[[#This Row],[Class]]="A",WORKDAY(Main[[#This Row],[Tech Start Date]],4),""))))</f>
        <v/>
      </c>
      <c r="O1062" s="77" t="str">
        <f>IF(Main[[#This Row],[Tech Start Date]]&lt;1/1/1990,"",IF(Main[[#This Row],[Class]]="C",WORKDAY(Main[[#This Row],[Tech Start Date]],23),IF(Main[[#This Row],[Class]]="B", WORKDAY(Main[[#This Row],[Tech Start Date]],15),IF(Main[[#This Row],[Class]]="A",WORKDAY(Main[[#This Row],[Tech Start Date]],5),""))))</f>
        <v/>
      </c>
      <c r="P1062" s="77" t="str">
        <f>IF(Main[[#This Row],[Tech Start Date]]&lt;1/1/1990,"",IF(Main[[#This Row],[Class]]="C",WORKDAY(Main[[#This Row],[Tech Start Date]],28),IF(Main[[#This Row],[Class]]="B", WORKDAY(Main[[#This Row],[Tech Start Date]],19),IF(Main[[#This Row],[Class]]="A",WORKDAY(Main[[#This Row],[Tech Start Date]],9),""))))</f>
        <v/>
      </c>
      <c r="Q1062" s="74">
        <v>40816</v>
      </c>
      <c r="R1062" s="74"/>
      <c r="S1062" s="72" t="s">
        <v>296</v>
      </c>
      <c r="T1062" s="80" t="s">
        <v>4</v>
      </c>
      <c r="U1062" s="72" t="s">
        <v>14</v>
      </c>
      <c r="V1062" s="72" t="s">
        <v>1927</v>
      </c>
      <c r="W1062" s="72" t="s">
        <v>1925</v>
      </c>
      <c r="X1062" s="72" t="s">
        <v>2916</v>
      </c>
      <c r="Y1062" s="72" t="s">
        <v>3130</v>
      </c>
      <c r="Z1062" s="72" t="s">
        <v>4</v>
      </c>
      <c r="AA1062" s="146" t="s">
        <v>3461</v>
      </c>
    </row>
    <row r="1063" spans="1:27" ht="18.600000000000001" customHeight="1">
      <c r="A1063" s="139" t="str">
        <f>IF(priority(Main[[#This Row],[Comments]])&lt;&gt;0, priority(Main[[#This Row],[Comments]]),"")</f>
        <v/>
      </c>
      <c r="B1063" s="89" t="s">
        <v>2422</v>
      </c>
      <c r="C1063" s="72" t="s">
        <v>4</v>
      </c>
      <c r="D1063" s="73" t="s">
        <v>2423</v>
      </c>
      <c r="E1063" s="74">
        <v>40826.139097222222</v>
      </c>
      <c r="F1063" s="74"/>
      <c r="G1063" s="75" t="str">
        <f>IF(stdProdLT(Main[[#This Row],[Comments]])=0.1,"N/A",IF(stdProdLT(Main[[#This Row],[Comments]])=0,"",stdProdLT(Main[[#This Row],[Comments]])))</f>
        <v/>
      </c>
      <c r="H1063" s="76" t="str">
        <f>IF(AND(Main[[#This Row],[In Stock Date]]&lt;&gt;"",Main[[#This Row],[Revised Due Date]]&lt;&gt;""),Main[[#This Row],[In Stock Date]]-Main[[#This Row],[Revised Due Date]],"")</f>
        <v/>
      </c>
      <c r="I1063" s="72" t="s">
        <v>4</v>
      </c>
      <c r="J1063" s="72" t="s">
        <v>4</v>
      </c>
      <c r="K1063" s="72" t="s">
        <v>4</v>
      </c>
      <c r="L1063" s="74"/>
      <c r="M1063" s="77" t="str">
        <f>IF(Main[[#This Row],[Tech Start Date]]&lt;1/1/1990,"",IF(Main[[#This Row],[Class]]="C",WORKDAY(Main[[#This Row],[Tech Start Date]],9),IF(Main[[#This Row],[Class]]="B", WORKDAY(Main[[#This Row],[Tech Start Date]],6),IF(Main[[#This Row],[Class]]="A",WORKDAY(Main[[#This Row],[Tech Start Date]],2),""))))</f>
        <v/>
      </c>
      <c r="N1063" s="77" t="str">
        <f>IF(Main[[#This Row],[Tech Start Date]]&lt;1/1/1990,"",IF(Main[[#This Row],[Class]]="C",WORKDAY(Main[[#This Row],[Tech Start Date]],19),IF(Main[[#This Row],[Class]]="B", WORKDAY(Main[[#This Row],[Tech Start Date]],12),IF(Main[[#This Row],[Class]]="A",WORKDAY(Main[[#This Row],[Tech Start Date]],4),""))))</f>
        <v/>
      </c>
      <c r="O1063" s="77" t="str">
        <f>IF(Main[[#This Row],[Tech Start Date]]&lt;1/1/1990,"",IF(Main[[#This Row],[Class]]="C",WORKDAY(Main[[#This Row],[Tech Start Date]],23),IF(Main[[#This Row],[Class]]="B", WORKDAY(Main[[#This Row],[Tech Start Date]],15),IF(Main[[#This Row],[Class]]="A",WORKDAY(Main[[#This Row],[Tech Start Date]],5),""))))</f>
        <v/>
      </c>
      <c r="P1063" s="77" t="str">
        <f>IF(Main[[#This Row],[Tech Start Date]]&lt;1/1/1990,"",IF(Main[[#This Row],[Class]]="C",WORKDAY(Main[[#This Row],[Tech Start Date]],28),IF(Main[[#This Row],[Class]]="B", WORKDAY(Main[[#This Row],[Tech Start Date]],19),IF(Main[[#This Row],[Class]]="A",WORKDAY(Main[[#This Row],[Tech Start Date]],9),""))))</f>
        <v/>
      </c>
      <c r="Q1063" s="74">
        <v>40847</v>
      </c>
      <c r="R1063" s="74"/>
      <c r="S1063" s="72" t="s">
        <v>6</v>
      </c>
      <c r="T1063" s="80" t="s">
        <v>4</v>
      </c>
      <c r="U1063" s="72" t="s">
        <v>7</v>
      </c>
      <c r="V1063" s="72" t="s">
        <v>1917</v>
      </c>
      <c r="W1063" s="72" t="s">
        <v>4</v>
      </c>
      <c r="X1063" s="72" t="s">
        <v>2857</v>
      </c>
      <c r="Y1063" s="72" t="s">
        <v>2992</v>
      </c>
      <c r="Z1063" s="72" t="s">
        <v>4</v>
      </c>
      <c r="AA1063" s="146" t="s">
        <v>2857</v>
      </c>
    </row>
    <row r="1064" spans="1:27" ht="18.600000000000001" customHeight="1">
      <c r="A1064" s="139" t="str">
        <f>IF(priority(Main[[#This Row],[Comments]])&lt;&gt;0, priority(Main[[#This Row],[Comments]]),"")</f>
        <v/>
      </c>
      <c r="B1064" s="89" t="s">
        <v>2398</v>
      </c>
      <c r="C1064" s="72" t="s">
        <v>4</v>
      </c>
      <c r="D1064" s="73" t="s">
        <v>2399</v>
      </c>
      <c r="E1064" s="74"/>
      <c r="F1064" s="74"/>
      <c r="G1064" s="75" t="str">
        <f>IF(stdProdLT(Main[[#This Row],[Comments]])=0.1,"N/A",IF(stdProdLT(Main[[#This Row],[Comments]])=0,"",stdProdLT(Main[[#This Row],[Comments]])))</f>
        <v/>
      </c>
      <c r="H1064" s="76" t="str">
        <f>IF(AND(Main[[#This Row],[In Stock Date]]&lt;&gt;"",Main[[#This Row],[Revised Due Date]]&lt;&gt;""),Main[[#This Row],[In Stock Date]]-Main[[#This Row],[Revised Due Date]],"")</f>
        <v/>
      </c>
      <c r="I1064" s="72" t="s">
        <v>4</v>
      </c>
      <c r="J1064" s="72" t="s">
        <v>4</v>
      </c>
      <c r="K1064" s="72" t="s">
        <v>4</v>
      </c>
      <c r="L1064" s="74"/>
      <c r="M1064" s="77" t="str">
        <f>IF(Main[[#This Row],[Tech Start Date]]&lt;1/1/1990,"",IF(Main[[#This Row],[Class]]="C",WORKDAY(Main[[#This Row],[Tech Start Date]],9),IF(Main[[#This Row],[Class]]="B", WORKDAY(Main[[#This Row],[Tech Start Date]],6),IF(Main[[#This Row],[Class]]="A",WORKDAY(Main[[#This Row],[Tech Start Date]],2),""))))</f>
        <v/>
      </c>
      <c r="N1064" s="77" t="str">
        <f>IF(Main[[#This Row],[Tech Start Date]]&lt;1/1/1990,"",IF(Main[[#This Row],[Class]]="C",WORKDAY(Main[[#This Row],[Tech Start Date]],19),IF(Main[[#This Row],[Class]]="B", WORKDAY(Main[[#This Row],[Tech Start Date]],12),IF(Main[[#This Row],[Class]]="A",WORKDAY(Main[[#This Row],[Tech Start Date]],4),""))))</f>
        <v/>
      </c>
      <c r="O1064" s="77" t="str">
        <f>IF(Main[[#This Row],[Tech Start Date]]&lt;1/1/1990,"",IF(Main[[#This Row],[Class]]="C",WORKDAY(Main[[#This Row],[Tech Start Date]],23),IF(Main[[#This Row],[Class]]="B", WORKDAY(Main[[#This Row],[Tech Start Date]],15),IF(Main[[#This Row],[Class]]="A",WORKDAY(Main[[#This Row],[Tech Start Date]],5),""))))</f>
        <v/>
      </c>
      <c r="P1064" s="77" t="str">
        <f>IF(Main[[#This Row],[Tech Start Date]]&lt;1/1/1990,"",IF(Main[[#This Row],[Class]]="C",WORKDAY(Main[[#This Row],[Tech Start Date]],28),IF(Main[[#This Row],[Class]]="B", WORKDAY(Main[[#This Row],[Tech Start Date]],19),IF(Main[[#This Row],[Class]]="A",WORKDAY(Main[[#This Row],[Tech Start Date]],9),""))))</f>
        <v/>
      </c>
      <c r="Q1064" s="74"/>
      <c r="R1064" s="74"/>
      <c r="S1064" s="72" t="s">
        <v>6</v>
      </c>
      <c r="T1064" s="80" t="s">
        <v>4</v>
      </c>
      <c r="U1064" s="72" t="s">
        <v>14</v>
      </c>
      <c r="V1064" s="72" t="s">
        <v>1917</v>
      </c>
      <c r="W1064" s="72" t="s">
        <v>1921</v>
      </c>
      <c r="X1064" s="72" t="s">
        <v>399</v>
      </c>
      <c r="Y1064" s="72" t="s">
        <v>4</v>
      </c>
      <c r="Z1064" s="72" t="s">
        <v>4</v>
      </c>
      <c r="AA1064" s="146" t="s">
        <v>3465</v>
      </c>
    </row>
    <row r="1065" spans="1:27" ht="18.600000000000001" customHeight="1">
      <c r="A1065" s="139" t="str">
        <f>IF(priority(Main[[#This Row],[Comments]])&lt;&gt;0, priority(Main[[#This Row],[Comments]]),"")</f>
        <v/>
      </c>
      <c r="B1065" s="89" t="s">
        <v>1634</v>
      </c>
      <c r="C1065" s="72" t="s">
        <v>79</v>
      </c>
      <c r="D1065" s="73" t="s">
        <v>706</v>
      </c>
      <c r="E1065" s="74">
        <v>40610.683993055558</v>
      </c>
      <c r="F1065" s="74"/>
      <c r="G1065" s="75" t="str">
        <f>IF(stdProdLT(Main[[#This Row],[Comments]])=0.1,"N/A",IF(stdProdLT(Main[[#This Row],[Comments]])=0,"",stdProdLT(Main[[#This Row],[Comments]])))</f>
        <v/>
      </c>
      <c r="H1065" s="76" t="str">
        <f>IF(AND(Main[[#This Row],[In Stock Date]]&lt;&gt;"",Main[[#This Row],[Revised Due Date]]&lt;&gt;""),Main[[#This Row],[In Stock Date]]-Main[[#This Row],[Revised Due Date]],"")</f>
        <v/>
      </c>
      <c r="I1065" s="72" t="s">
        <v>530</v>
      </c>
      <c r="J1065" s="72" t="s">
        <v>28</v>
      </c>
      <c r="K1065" s="72" t="s">
        <v>1929</v>
      </c>
      <c r="L1065" s="74"/>
      <c r="M1065" s="77" t="str">
        <f>IF(Main[[#This Row],[Tech Start Date]]&lt;1/1/1990,"",IF(Main[[#This Row],[Class]]="C",WORKDAY(Main[[#This Row],[Tech Start Date]],9),IF(Main[[#This Row],[Class]]="B", WORKDAY(Main[[#This Row],[Tech Start Date]],6),IF(Main[[#This Row],[Class]]="A",WORKDAY(Main[[#This Row],[Tech Start Date]],2),""))))</f>
        <v/>
      </c>
      <c r="N1065" s="77" t="str">
        <f>IF(Main[[#This Row],[Tech Start Date]]&lt;1/1/1990,"",IF(Main[[#This Row],[Class]]="C",WORKDAY(Main[[#This Row],[Tech Start Date]],19),IF(Main[[#This Row],[Class]]="B", WORKDAY(Main[[#This Row],[Tech Start Date]],12),IF(Main[[#This Row],[Class]]="A",WORKDAY(Main[[#This Row],[Tech Start Date]],4),""))))</f>
        <v/>
      </c>
      <c r="O1065" s="77" t="str">
        <f>IF(Main[[#This Row],[Tech Start Date]]&lt;1/1/1990,"",IF(Main[[#This Row],[Class]]="C",WORKDAY(Main[[#This Row],[Tech Start Date]],23),IF(Main[[#This Row],[Class]]="B", WORKDAY(Main[[#This Row],[Tech Start Date]],15),IF(Main[[#This Row],[Class]]="A",WORKDAY(Main[[#This Row],[Tech Start Date]],5),""))))</f>
        <v/>
      </c>
      <c r="P1065" s="77" t="str">
        <f>IF(Main[[#This Row],[Tech Start Date]]&lt;1/1/1990,"",IF(Main[[#This Row],[Class]]="C",WORKDAY(Main[[#This Row],[Tech Start Date]],28),IF(Main[[#This Row],[Class]]="B", WORKDAY(Main[[#This Row],[Tech Start Date]],19),IF(Main[[#This Row],[Class]]="A",WORKDAY(Main[[#This Row],[Tech Start Date]],9),""))))</f>
        <v/>
      </c>
      <c r="Q1065" s="74">
        <v>40725</v>
      </c>
      <c r="R1065" s="74"/>
      <c r="S1065" s="72" t="s">
        <v>6</v>
      </c>
      <c r="T1065" s="80" t="s">
        <v>4</v>
      </c>
      <c r="U1065" s="72" t="s">
        <v>29</v>
      </c>
      <c r="V1065" s="72" t="s">
        <v>1920</v>
      </c>
      <c r="W1065" s="72" t="s">
        <v>1919</v>
      </c>
      <c r="X1065" s="72" t="s">
        <v>554</v>
      </c>
      <c r="Y1065" s="72" t="s">
        <v>2958</v>
      </c>
      <c r="Z1065" s="72" t="s">
        <v>30</v>
      </c>
      <c r="AA1065" s="146" t="s">
        <v>554</v>
      </c>
    </row>
    <row r="1066" spans="1:27" ht="18.600000000000001" customHeight="1">
      <c r="A1066" s="139" t="str">
        <f>IF(priority(Main[[#This Row],[Comments]])&lt;&gt;0, priority(Main[[#This Row],[Comments]]),"")</f>
        <v/>
      </c>
      <c r="B1066" s="89" t="s">
        <v>1173</v>
      </c>
      <c r="C1066" s="72" t="s">
        <v>4</v>
      </c>
      <c r="D1066" s="73" t="s">
        <v>2427</v>
      </c>
      <c r="E1066" s="74">
        <v>40567.661041666666</v>
      </c>
      <c r="F1066" s="74">
        <v>40602</v>
      </c>
      <c r="G1066" s="75" t="str">
        <f>IF(stdProdLT(Main[[#This Row],[Comments]])=0.1,"N/A",IF(stdProdLT(Main[[#This Row],[Comments]])=0,"",stdProdLT(Main[[#This Row],[Comments]])))</f>
        <v/>
      </c>
      <c r="H1066" s="76" t="str">
        <f>IF(AND(Main[[#This Row],[In Stock Date]]&lt;&gt;"",Main[[#This Row],[Revised Due Date]]&lt;&gt;""),Main[[#This Row],[In Stock Date]]-Main[[#This Row],[Revised Due Date]],"")</f>
        <v/>
      </c>
      <c r="I1066" s="72" t="s">
        <v>914</v>
      </c>
      <c r="J1066" s="72" t="s">
        <v>52</v>
      </c>
      <c r="K1066" s="81" t="s">
        <v>1926</v>
      </c>
      <c r="L1066" s="74"/>
      <c r="M1066" s="77" t="str">
        <f>IF(Main[[#This Row],[Tech Start Date]]&lt;1/1/1990,"",IF(Main[[#This Row],[Class]]="C",WORKDAY(Main[[#This Row],[Tech Start Date]],9),IF(Main[[#This Row],[Class]]="B", WORKDAY(Main[[#This Row],[Tech Start Date]],6),IF(Main[[#This Row],[Class]]="A",WORKDAY(Main[[#This Row],[Tech Start Date]],2),""))))</f>
        <v/>
      </c>
      <c r="N1066" s="77" t="str">
        <f>IF(Main[[#This Row],[Tech Start Date]]&lt;1/1/1990,"",IF(Main[[#This Row],[Class]]="C",WORKDAY(Main[[#This Row],[Tech Start Date]],19),IF(Main[[#This Row],[Class]]="B", WORKDAY(Main[[#This Row],[Tech Start Date]],12),IF(Main[[#This Row],[Class]]="A",WORKDAY(Main[[#This Row],[Tech Start Date]],4),""))))</f>
        <v/>
      </c>
      <c r="O1066" s="77" t="str">
        <f>IF(Main[[#This Row],[Tech Start Date]]&lt;1/1/1990,"",IF(Main[[#This Row],[Class]]="C",WORKDAY(Main[[#This Row],[Tech Start Date]],23),IF(Main[[#This Row],[Class]]="B", WORKDAY(Main[[#This Row],[Tech Start Date]],15),IF(Main[[#This Row],[Class]]="A",WORKDAY(Main[[#This Row],[Tech Start Date]],5),""))))</f>
        <v/>
      </c>
      <c r="P1066" s="77" t="str">
        <f>IF(Main[[#This Row],[Tech Start Date]]&lt;1/1/1990,"",IF(Main[[#This Row],[Class]]="C",WORKDAY(Main[[#This Row],[Tech Start Date]],28),IF(Main[[#This Row],[Class]]="B", WORKDAY(Main[[#This Row],[Tech Start Date]],19),IF(Main[[#This Row],[Class]]="A",WORKDAY(Main[[#This Row],[Tech Start Date]],9),""))))</f>
        <v/>
      </c>
      <c r="Q1066" s="74">
        <v>40602</v>
      </c>
      <c r="R1066" s="74"/>
      <c r="S1066" s="72" t="s">
        <v>6</v>
      </c>
      <c r="T1066" s="80" t="s">
        <v>4</v>
      </c>
      <c r="U1066" s="72" t="s">
        <v>29</v>
      </c>
      <c r="V1066" s="72" t="s">
        <v>1917</v>
      </c>
      <c r="W1066" s="72" t="s">
        <v>1919</v>
      </c>
      <c r="X1066" s="72" t="s">
        <v>2824</v>
      </c>
      <c r="Y1066" s="72" t="s">
        <v>2935</v>
      </c>
      <c r="Z1066" s="72" t="s">
        <v>129</v>
      </c>
      <c r="AA1066" s="146" t="s">
        <v>2824</v>
      </c>
    </row>
    <row r="1067" spans="1:27" ht="18.600000000000001" customHeight="1">
      <c r="A1067" s="139" t="str">
        <f>IF(priority(Main[[#This Row],[Comments]])&lt;&gt;0, priority(Main[[#This Row],[Comments]]),"")</f>
        <v/>
      </c>
      <c r="B1067" s="89" t="s">
        <v>1576</v>
      </c>
      <c r="C1067" s="72" t="s">
        <v>4</v>
      </c>
      <c r="D1067" s="73" t="s">
        <v>2428</v>
      </c>
      <c r="E1067" s="74">
        <v>40463.34134259259</v>
      </c>
      <c r="F1067" s="74"/>
      <c r="G1067" s="75" t="str">
        <f>IF(stdProdLT(Main[[#This Row],[Comments]])=0.1,"N/A",IF(stdProdLT(Main[[#This Row],[Comments]])=0,"",stdProdLT(Main[[#This Row],[Comments]])))</f>
        <v/>
      </c>
      <c r="H1067" s="76" t="str">
        <f>IF(AND(Main[[#This Row],[In Stock Date]]&lt;&gt;"",Main[[#This Row],[Revised Due Date]]&lt;&gt;""),Main[[#This Row],[In Stock Date]]-Main[[#This Row],[Revised Due Date]],"")</f>
        <v/>
      </c>
      <c r="I1067" s="72" t="s">
        <v>914</v>
      </c>
      <c r="J1067" s="72" t="s">
        <v>52</v>
      </c>
      <c r="K1067" s="72" t="s">
        <v>4</v>
      </c>
      <c r="L1067" s="74"/>
      <c r="M1067" s="77" t="str">
        <f>IF(Main[[#This Row],[Tech Start Date]]&lt;1/1/1990,"",IF(Main[[#This Row],[Class]]="C",WORKDAY(Main[[#This Row],[Tech Start Date]],9),IF(Main[[#This Row],[Class]]="B", WORKDAY(Main[[#This Row],[Tech Start Date]],6),IF(Main[[#This Row],[Class]]="A",WORKDAY(Main[[#This Row],[Tech Start Date]],2),""))))</f>
        <v/>
      </c>
      <c r="N1067" s="77" t="str">
        <f>IF(Main[[#This Row],[Tech Start Date]]&lt;1/1/1990,"",IF(Main[[#This Row],[Class]]="C",WORKDAY(Main[[#This Row],[Tech Start Date]],19),IF(Main[[#This Row],[Class]]="B", WORKDAY(Main[[#This Row],[Tech Start Date]],12),IF(Main[[#This Row],[Class]]="A",WORKDAY(Main[[#This Row],[Tech Start Date]],4),""))))</f>
        <v/>
      </c>
      <c r="O1067" s="77" t="str">
        <f>IF(Main[[#This Row],[Tech Start Date]]&lt;1/1/1990,"",IF(Main[[#This Row],[Class]]="C",WORKDAY(Main[[#This Row],[Tech Start Date]],23),IF(Main[[#This Row],[Class]]="B", WORKDAY(Main[[#This Row],[Tech Start Date]],15),IF(Main[[#This Row],[Class]]="A",WORKDAY(Main[[#This Row],[Tech Start Date]],5),""))))</f>
        <v/>
      </c>
      <c r="P1067" s="77" t="str">
        <f>IF(Main[[#This Row],[Tech Start Date]]&lt;1/1/1990,"",IF(Main[[#This Row],[Class]]="C",WORKDAY(Main[[#This Row],[Tech Start Date]],28),IF(Main[[#This Row],[Class]]="B", WORKDAY(Main[[#This Row],[Tech Start Date]],19),IF(Main[[#This Row],[Class]]="A",WORKDAY(Main[[#This Row],[Tech Start Date]],9),""))))</f>
        <v/>
      </c>
      <c r="Q1067" s="74">
        <v>40497</v>
      </c>
      <c r="R1067" s="74"/>
      <c r="S1067" s="72" t="s">
        <v>6</v>
      </c>
      <c r="T1067" s="80" t="s">
        <v>4</v>
      </c>
      <c r="U1067" s="72" t="s">
        <v>29</v>
      </c>
      <c r="V1067" s="72" t="s">
        <v>1917</v>
      </c>
      <c r="W1067" s="72" t="s">
        <v>1921</v>
      </c>
      <c r="X1067" s="72" t="s">
        <v>2824</v>
      </c>
      <c r="Y1067" s="72" t="s">
        <v>2935</v>
      </c>
      <c r="Z1067" s="72" t="s">
        <v>129</v>
      </c>
      <c r="AA1067" s="146" t="s">
        <v>2824</v>
      </c>
    </row>
    <row r="1068" spans="1:27" ht="18.600000000000001" customHeight="1">
      <c r="A1068" s="140" t="str">
        <f>IF(priority(Main[[#This Row],[Comments]])&lt;&gt;0, priority(Main[[#This Row],[Comments]]),"")</f>
        <v/>
      </c>
      <c r="B1068" s="91" t="s">
        <v>2429</v>
      </c>
      <c r="C1068" s="92" t="s">
        <v>4</v>
      </c>
      <c r="D1068" s="83" t="s">
        <v>2430</v>
      </c>
      <c r="E1068" s="93">
        <v>40833.65898148148</v>
      </c>
      <c r="F1068" s="93"/>
      <c r="G1068" s="92" t="str">
        <f>IF(stdProdLT(Main[[#This Row],[Comments]])=0.1,"N/A",IF(stdProdLT(Main[[#This Row],[Comments]])=0,"",stdProdLT(Main[[#This Row],[Comments]])))</f>
        <v/>
      </c>
      <c r="H1068" s="94" t="str">
        <f>IF(AND(Main[[#This Row],[In Stock Date]]&lt;&gt;"",Main[[#This Row],[Revised Due Date]]&lt;&gt;""),Main[[#This Row],[In Stock Date]]-Main[[#This Row],[Revised Due Date]],"")</f>
        <v/>
      </c>
      <c r="I1068" s="92" t="s">
        <v>530</v>
      </c>
      <c r="J1068" s="92" t="s">
        <v>28</v>
      </c>
      <c r="K1068" s="92" t="s">
        <v>1926</v>
      </c>
      <c r="L1068" s="93"/>
      <c r="M1068" s="95" t="str">
        <f>IF(Main[[#This Row],[Tech Start Date]]&lt;1/1/1990,"",IF(Main[[#This Row],[Class]]="C",WORKDAY(Main[[#This Row],[Tech Start Date]],9),IF(Main[[#This Row],[Class]]="B", WORKDAY(Main[[#This Row],[Tech Start Date]],6),IF(Main[[#This Row],[Class]]="A",WORKDAY(Main[[#This Row],[Tech Start Date]],2),""))))</f>
        <v/>
      </c>
      <c r="N1068" s="95" t="str">
        <f>IF(Main[[#This Row],[Tech Start Date]]&lt;1/1/1990,"",IF(Main[[#This Row],[Class]]="C",WORKDAY(Main[[#This Row],[Tech Start Date]],19),IF(Main[[#This Row],[Class]]="B", WORKDAY(Main[[#This Row],[Tech Start Date]],12),IF(Main[[#This Row],[Class]]="A",WORKDAY(Main[[#This Row],[Tech Start Date]],4),""))))</f>
        <v/>
      </c>
      <c r="O1068" s="95" t="str">
        <f>IF(Main[[#This Row],[Tech Start Date]]&lt;1/1/1990,"",IF(Main[[#This Row],[Class]]="C",WORKDAY(Main[[#This Row],[Tech Start Date]],23),IF(Main[[#This Row],[Class]]="B", WORKDAY(Main[[#This Row],[Tech Start Date]],15),IF(Main[[#This Row],[Class]]="A",WORKDAY(Main[[#This Row],[Tech Start Date]],5),""))))</f>
        <v/>
      </c>
      <c r="P1068" s="95" t="str">
        <f>IF(Main[[#This Row],[Tech Start Date]]&lt;1/1/1990,"",IF(Main[[#This Row],[Class]]="C",WORKDAY(Main[[#This Row],[Tech Start Date]],28),IF(Main[[#This Row],[Class]]="B", WORKDAY(Main[[#This Row],[Tech Start Date]],19),IF(Main[[#This Row],[Class]]="A",WORKDAY(Main[[#This Row],[Tech Start Date]],9),""))))</f>
        <v/>
      </c>
      <c r="Q1068" s="93">
        <v>40923</v>
      </c>
      <c r="R1068" s="93"/>
      <c r="S1068" s="92" t="s">
        <v>6</v>
      </c>
      <c r="T1068" s="96" t="s">
        <v>4</v>
      </c>
      <c r="U1068" s="92" t="s">
        <v>29</v>
      </c>
      <c r="V1068" s="92" t="s">
        <v>1920</v>
      </c>
      <c r="W1068" s="92" t="s">
        <v>1921</v>
      </c>
      <c r="X1068" s="82" t="s">
        <v>554</v>
      </c>
      <c r="Y1068" s="82" t="s">
        <v>2958</v>
      </c>
      <c r="Z1068" s="82" t="s">
        <v>30</v>
      </c>
      <c r="AA1068" s="146" t="s">
        <v>554</v>
      </c>
    </row>
    <row r="1069" spans="1:27" ht="18.600000000000001" customHeight="1">
      <c r="A1069" s="139" t="str">
        <f>IF(priority(Main[[#This Row],[Comments]])&lt;&gt;0, priority(Main[[#This Row],[Comments]]),"")</f>
        <v/>
      </c>
      <c r="B1069" s="89" t="s">
        <v>1768</v>
      </c>
      <c r="C1069" s="72" t="s">
        <v>4</v>
      </c>
      <c r="D1069" s="73" t="s">
        <v>2316</v>
      </c>
      <c r="E1069" s="74">
        <v>40660.402291666665</v>
      </c>
      <c r="F1069" s="74"/>
      <c r="G1069" s="75" t="str">
        <f>IF(stdProdLT(Main[[#This Row],[Comments]])=0.1,"N/A",IF(stdProdLT(Main[[#This Row],[Comments]])=0,"",stdProdLT(Main[[#This Row],[Comments]])))</f>
        <v/>
      </c>
      <c r="H1069" s="76" t="str">
        <f>IF(AND(Main[[#This Row],[In Stock Date]]&lt;&gt;"",Main[[#This Row],[Revised Due Date]]&lt;&gt;""),Main[[#This Row],[In Stock Date]]-Main[[#This Row],[Revised Due Date]],"")</f>
        <v/>
      </c>
      <c r="I1069" s="72" t="s">
        <v>562</v>
      </c>
      <c r="J1069" s="72" t="s">
        <v>21</v>
      </c>
      <c r="K1069" s="72" t="s">
        <v>4</v>
      </c>
      <c r="L1069" s="74"/>
      <c r="M1069" s="77" t="str">
        <f>IF(Main[[#This Row],[Tech Start Date]]&lt;1/1/1990,"",IF(Main[[#This Row],[Class]]="C",WORKDAY(Main[[#This Row],[Tech Start Date]],9),IF(Main[[#This Row],[Class]]="B", WORKDAY(Main[[#This Row],[Tech Start Date]],6),IF(Main[[#This Row],[Class]]="A",WORKDAY(Main[[#This Row],[Tech Start Date]],2),""))))</f>
        <v/>
      </c>
      <c r="N1069" s="77" t="str">
        <f>IF(Main[[#This Row],[Tech Start Date]]&lt;1/1/1990,"",IF(Main[[#This Row],[Class]]="C",WORKDAY(Main[[#This Row],[Tech Start Date]],19),IF(Main[[#This Row],[Class]]="B", WORKDAY(Main[[#This Row],[Tech Start Date]],12),IF(Main[[#This Row],[Class]]="A",WORKDAY(Main[[#This Row],[Tech Start Date]],4),""))))</f>
        <v/>
      </c>
      <c r="O1069" s="77" t="str">
        <f>IF(Main[[#This Row],[Tech Start Date]]&lt;1/1/1990,"",IF(Main[[#This Row],[Class]]="C",WORKDAY(Main[[#This Row],[Tech Start Date]],23),IF(Main[[#This Row],[Class]]="B", WORKDAY(Main[[#This Row],[Tech Start Date]],15),IF(Main[[#This Row],[Class]]="A",WORKDAY(Main[[#This Row],[Tech Start Date]],5),""))))</f>
        <v/>
      </c>
      <c r="P1069" s="77" t="str">
        <f>IF(Main[[#This Row],[Tech Start Date]]&lt;1/1/1990,"",IF(Main[[#This Row],[Class]]="C",WORKDAY(Main[[#This Row],[Tech Start Date]],28),IF(Main[[#This Row],[Class]]="B", WORKDAY(Main[[#This Row],[Tech Start Date]],19),IF(Main[[#This Row],[Class]]="A",WORKDAY(Main[[#This Row],[Tech Start Date]],9),""))))</f>
        <v/>
      </c>
      <c r="Q1069" s="74">
        <v>40676</v>
      </c>
      <c r="R1069" s="74"/>
      <c r="S1069" s="72" t="s">
        <v>6</v>
      </c>
      <c r="T1069" s="80" t="s">
        <v>4</v>
      </c>
      <c r="U1069" s="72" t="s">
        <v>29</v>
      </c>
      <c r="V1069" s="72" t="s">
        <v>1917</v>
      </c>
      <c r="W1069" s="72" t="s">
        <v>1921</v>
      </c>
      <c r="X1069" s="72" t="s">
        <v>2827</v>
      </c>
      <c r="Y1069" s="72" t="s">
        <v>2942</v>
      </c>
      <c r="Z1069" s="72" t="s">
        <v>4</v>
      </c>
      <c r="AA1069" s="146" t="s">
        <v>2827</v>
      </c>
    </row>
    <row r="1070" spans="1:27" ht="18.600000000000001" customHeight="1">
      <c r="A1070" s="139" t="str">
        <f>IF(priority(Main[[#This Row],[Comments]])&lt;&gt;0, priority(Main[[#This Row],[Comments]]),"")</f>
        <v/>
      </c>
      <c r="B1070" s="89" t="s">
        <v>2503</v>
      </c>
      <c r="C1070" s="72" t="s">
        <v>4</v>
      </c>
      <c r="D1070" s="73" t="s">
        <v>2504</v>
      </c>
      <c r="E1070" s="74"/>
      <c r="F1070" s="74"/>
      <c r="G1070" s="75" t="str">
        <f>IF(stdProdLT(Main[[#This Row],[Comments]])=0.1,"N/A",IF(stdProdLT(Main[[#This Row],[Comments]])=0,"",stdProdLT(Main[[#This Row],[Comments]])))</f>
        <v/>
      </c>
      <c r="H1070" s="76" t="str">
        <f>IF(AND(Main[[#This Row],[In Stock Date]]&lt;&gt;"",Main[[#This Row],[Revised Due Date]]&lt;&gt;""),Main[[#This Row],[In Stock Date]]-Main[[#This Row],[Revised Due Date]],"")</f>
        <v/>
      </c>
      <c r="I1070" s="72" t="s">
        <v>530</v>
      </c>
      <c r="J1070" s="72" t="s">
        <v>28</v>
      </c>
      <c r="K1070" s="72" t="s">
        <v>1926</v>
      </c>
      <c r="L1070" s="74"/>
      <c r="M1070" s="77" t="str">
        <f>IF(Main[[#This Row],[Tech Start Date]]&lt;1/1/1990,"",IF(Main[[#This Row],[Class]]="C",WORKDAY(Main[[#This Row],[Tech Start Date]],9),IF(Main[[#This Row],[Class]]="B", WORKDAY(Main[[#This Row],[Tech Start Date]],6),IF(Main[[#This Row],[Class]]="A",WORKDAY(Main[[#This Row],[Tech Start Date]],2),""))))</f>
        <v/>
      </c>
      <c r="N1070" s="77" t="str">
        <f>IF(Main[[#This Row],[Tech Start Date]]&lt;1/1/1990,"",IF(Main[[#This Row],[Class]]="C",WORKDAY(Main[[#This Row],[Tech Start Date]],19),IF(Main[[#This Row],[Class]]="B", WORKDAY(Main[[#This Row],[Tech Start Date]],12),IF(Main[[#This Row],[Class]]="A",WORKDAY(Main[[#This Row],[Tech Start Date]],4),""))))</f>
        <v/>
      </c>
      <c r="O1070" s="77" t="str">
        <f>IF(Main[[#This Row],[Tech Start Date]]&lt;1/1/1990,"",IF(Main[[#This Row],[Class]]="C",WORKDAY(Main[[#This Row],[Tech Start Date]],23),IF(Main[[#This Row],[Class]]="B", WORKDAY(Main[[#This Row],[Tech Start Date]],15),IF(Main[[#This Row],[Class]]="A",WORKDAY(Main[[#This Row],[Tech Start Date]],5),""))))</f>
        <v/>
      </c>
      <c r="P1070" s="77" t="str">
        <f>IF(Main[[#This Row],[Tech Start Date]]&lt;1/1/1990,"",IF(Main[[#This Row],[Class]]="C",WORKDAY(Main[[#This Row],[Tech Start Date]],28),IF(Main[[#This Row],[Class]]="B", WORKDAY(Main[[#This Row],[Tech Start Date]],19),IF(Main[[#This Row],[Class]]="A",WORKDAY(Main[[#This Row],[Tech Start Date]],9),""))))</f>
        <v/>
      </c>
      <c r="Q1070" s="74">
        <v>40939</v>
      </c>
      <c r="R1070" s="74"/>
      <c r="S1070" s="72" t="s">
        <v>6</v>
      </c>
      <c r="T1070" s="80" t="s">
        <v>4</v>
      </c>
      <c r="U1070" s="72" t="s">
        <v>14</v>
      </c>
      <c r="V1070" s="72" t="s">
        <v>1920</v>
      </c>
      <c r="W1070" s="72" t="s">
        <v>1921</v>
      </c>
      <c r="X1070" s="72" t="s">
        <v>554</v>
      </c>
      <c r="Y1070" s="72" t="s">
        <v>2958</v>
      </c>
      <c r="Z1070" s="72" t="s">
        <v>30</v>
      </c>
      <c r="AA1070" s="146" t="s">
        <v>554</v>
      </c>
    </row>
    <row r="1071" spans="1:27" ht="18.600000000000001" customHeight="1">
      <c r="A1071" s="139" t="str">
        <f>IF(priority(Main[[#This Row],[Comments]])&lt;&gt;0, priority(Main[[#This Row],[Comments]]),"")</f>
        <v/>
      </c>
      <c r="B1071" s="89" t="s">
        <v>3639</v>
      </c>
      <c r="C1071" s="72" t="s">
        <v>3640</v>
      </c>
      <c r="D1071" s="73" t="s">
        <v>3641</v>
      </c>
      <c r="E1071" s="74">
        <v>40956.576782407406</v>
      </c>
      <c r="F1071" s="74"/>
      <c r="G1071" s="75" t="str">
        <f>IF(stdProdLT(Main[[#This Row],[Comments]])=0.1,"N/A",IF(stdProdLT(Main[[#This Row],[Comments]])=0,"",stdProdLT(Main[[#This Row],[Comments]])))</f>
        <v>N/A</v>
      </c>
      <c r="H1071" s="76" t="str">
        <f>IF(AND(Main[[#This Row],[In Stock Date]]&lt;&gt;"",Main[[#This Row],[Revised Due Date]]&lt;&gt;""),Main[[#This Row],[In Stock Date]]-Main[[#This Row],[Revised Due Date]],"")</f>
        <v/>
      </c>
      <c r="I1071" s="72" t="s">
        <v>943</v>
      </c>
      <c r="J1071" s="72" t="s">
        <v>28</v>
      </c>
      <c r="K1071" s="72" t="s">
        <v>1924</v>
      </c>
      <c r="L1071" s="74"/>
      <c r="M1071" s="77" t="str">
        <f>IF(Main[[#This Row],[Tech Start Date]]&lt;1/1/1990,"",IF(Main[[#This Row],[Class]]="C",WORKDAY(Main[[#This Row],[Tech Start Date]],9),IF(Main[[#This Row],[Class]]="B", WORKDAY(Main[[#This Row],[Tech Start Date]],6),IF(Main[[#This Row],[Class]]="A",WORKDAY(Main[[#This Row],[Tech Start Date]],2),""))))</f>
        <v/>
      </c>
      <c r="N1071" s="77" t="str">
        <f>IF(Main[[#This Row],[Tech Start Date]]&lt;1/1/1990,"",IF(Main[[#This Row],[Class]]="C",WORKDAY(Main[[#This Row],[Tech Start Date]],19),IF(Main[[#This Row],[Class]]="B", WORKDAY(Main[[#This Row],[Tech Start Date]],12),IF(Main[[#This Row],[Class]]="A",WORKDAY(Main[[#This Row],[Tech Start Date]],4),""))))</f>
        <v/>
      </c>
      <c r="O1071" s="77" t="str">
        <f>IF(Main[[#This Row],[Tech Start Date]]&lt;1/1/1990,"",IF(Main[[#This Row],[Class]]="C",WORKDAY(Main[[#This Row],[Tech Start Date]],23),IF(Main[[#This Row],[Class]]="B", WORKDAY(Main[[#This Row],[Tech Start Date]],15),IF(Main[[#This Row],[Class]]="A",WORKDAY(Main[[#This Row],[Tech Start Date]],5),""))))</f>
        <v/>
      </c>
      <c r="P1071" s="77" t="str">
        <f>IF(Main[[#This Row],[Tech Start Date]]&lt;1/1/1990,"",IF(Main[[#This Row],[Class]]="C",WORKDAY(Main[[#This Row],[Tech Start Date]],28),IF(Main[[#This Row],[Class]]="B", WORKDAY(Main[[#This Row],[Tech Start Date]],19),IF(Main[[#This Row],[Class]]="A",WORKDAY(Main[[#This Row],[Tech Start Date]],9),""))))</f>
        <v/>
      </c>
      <c r="Q1071" s="74"/>
      <c r="R1071" s="74"/>
      <c r="S1071" s="72" t="s">
        <v>6</v>
      </c>
      <c r="T1071" s="80" t="s">
        <v>3244</v>
      </c>
      <c r="U1071" s="72" t="s">
        <v>29</v>
      </c>
      <c r="V1071" s="72" t="s">
        <v>1918</v>
      </c>
      <c r="W1071" s="72" t="s">
        <v>1921</v>
      </c>
      <c r="X1071" s="72" t="s">
        <v>2822</v>
      </c>
      <c r="Y1071" s="72" t="s">
        <v>2999</v>
      </c>
      <c r="Z1071" s="72" t="s">
        <v>2056</v>
      </c>
      <c r="AA1071" s="146" t="s">
        <v>3642</v>
      </c>
    </row>
    <row r="1072" spans="1:27" ht="18.600000000000001" customHeight="1">
      <c r="A1072" s="139" t="str">
        <f>IF(priority(Main[[#This Row],[Comments]])&lt;&gt;0, priority(Main[[#This Row],[Comments]]),"")</f>
        <v/>
      </c>
      <c r="B1072" s="89" t="s">
        <v>3643</v>
      </c>
      <c r="C1072" s="72" t="s">
        <v>4</v>
      </c>
      <c r="D1072" s="73" t="s">
        <v>3644</v>
      </c>
      <c r="E1072" s="74">
        <v>40953.403587962966</v>
      </c>
      <c r="F1072" s="74"/>
      <c r="G1072" s="75" t="str">
        <f>IF(stdProdLT(Main[[#This Row],[Comments]])=0.1,"N/A",IF(stdProdLT(Main[[#This Row],[Comments]])=0,"",stdProdLT(Main[[#This Row],[Comments]])))</f>
        <v/>
      </c>
      <c r="H1072" s="76" t="str">
        <f>IF(AND(Main[[#This Row],[In Stock Date]]&lt;&gt;"",Main[[#This Row],[Revised Due Date]]&lt;&gt;""),Main[[#This Row],[In Stock Date]]-Main[[#This Row],[Revised Due Date]],"")</f>
        <v/>
      </c>
      <c r="I1072" s="72" t="s">
        <v>530</v>
      </c>
      <c r="J1072" s="72" t="s">
        <v>28</v>
      </c>
      <c r="K1072" s="72" t="s">
        <v>1926</v>
      </c>
      <c r="L1072" s="74"/>
      <c r="M1072" s="77" t="str">
        <f>IF(Main[[#This Row],[Tech Start Date]]&lt;1/1/1990,"",IF(Main[[#This Row],[Class]]="C",WORKDAY(Main[[#This Row],[Tech Start Date]],9),IF(Main[[#This Row],[Class]]="B", WORKDAY(Main[[#This Row],[Tech Start Date]],6),IF(Main[[#This Row],[Class]]="A",WORKDAY(Main[[#This Row],[Tech Start Date]],2),""))))</f>
        <v/>
      </c>
      <c r="N1072" s="77" t="str">
        <f>IF(Main[[#This Row],[Tech Start Date]]&lt;1/1/1990,"",IF(Main[[#This Row],[Class]]="C",WORKDAY(Main[[#This Row],[Tech Start Date]],19),IF(Main[[#This Row],[Class]]="B", WORKDAY(Main[[#This Row],[Tech Start Date]],12),IF(Main[[#This Row],[Class]]="A",WORKDAY(Main[[#This Row],[Tech Start Date]],4),""))))</f>
        <v/>
      </c>
      <c r="O1072" s="77" t="str">
        <f>IF(Main[[#This Row],[Tech Start Date]]&lt;1/1/1990,"",IF(Main[[#This Row],[Class]]="C",WORKDAY(Main[[#This Row],[Tech Start Date]],23),IF(Main[[#This Row],[Class]]="B", WORKDAY(Main[[#This Row],[Tech Start Date]],15),IF(Main[[#This Row],[Class]]="A",WORKDAY(Main[[#This Row],[Tech Start Date]],5),""))))</f>
        <v/>
      </c>
      <c r="P1072" s="77" t="str">
        <f>IF(Main[[#This Row],[Tech Start Date]]&lt;1/1/1990,"",IF(Main[[#This Row],[Class]]="C",WORKDAY(Main[[#This Row],[Tech Start Date]],28),IF(Main[[#This Row],[Class]]="B", WORKDAY(Main[[#This Row],[Tech Start Date]],19),IF(Main[[#This Row],[Class]]="A",WORKDAY(Main[[#This Row],[Tech Start Date]],9),""))))</f>
        <v/>
      </c>
      <c r="Q1072" s="74"/>
      <c r="R1072" s="74"/>
      <c r="S1072" s="72" t="s">
        <v>6</v>
      </c>
      <c r="T1072" s="80" t="s">
        <v>4</v>
      </c>
      <c r="U1072" s="72" t="s">
        <v>29</v>
      </c>
      <c r="V1072" s="72" t="s">
        <v>1920</v>
      </c>
      <c r="W1072" s="72" t="s">
        <v>1919</v>
      </c>
      <c r="X1072" s="72" t="s">
        <v>530</v>
      </c>
      <c r="Y1072" s="72" t="s">
        <v>3150</v>
      </c>
      <c r="Z1072" s="72" t="s">
        <v>30</v>
      </c>
      <c r="AA1072" s="146" t="s">
        <v>530</v>
      </c>
    </row>
    <row r="1073" spans="1:27" ht="18.600000000000001" customHeight="1">
      <c r="A1073" s="139" t="str">
        <f>IF(priority(Main[[#This Row],[Comments]])&lt;&gt;0, priority(Main[[#This Row],[Comments]]),"")</f>
        <v/>
      </c>
      <c r="B1073" s="89" t="s">
        <v>1910</v>
      </c>
      <c r="C1073" s="72" t="s">
        <v>4</v>
      </c>
      <c r="D1073" s="73" t="s">
        <v>959</v>
      </c>
      <c r="E1073" s="74">
        <v>40140.581273148149</v>
      </c>
      <c r="F1073" s="74"/>
      <c r="G1073" s="75" t="str">
        <f>IF(stdProdLT(Main[[#This Row],[Comments]])=0.1,"N/A",IF(stdProdLT(Main[[#This Row],[Comments]])=0,"",stdProdLT(Main[[#This Row],[Comments]])))</f>
        <v/>
      </c>
      <c r="H1073" s="76" t="str">
        <f>IF(AND(Main[[#This Row],[In Stock Date]]&lt;&gt;"",Main[[#This Row],[Revised Due Date]]&lt;&gt;""),Main[[#This Row],[In Stock Date]]-Main[[#This Row],[Revised Due Date]],"")</f>
        <v/>
      </c>
      <c r="I1073" s="72" t="s">
        <v>431</v>
      </c>
      <c r="J1073" s="72" t="s">
        <v>28</v>
      </c>
      <c r="K1073" s="72" t="s">
        <v>1929</v>
      </c>
      <c r="L1073" s="74"/>
      <c r="M1073" s="77" t="str">
        <f>IF(Main[[#This Row],[Tech Start Date]]&lt;1/1/1990,"",IF(Main[[#This Row],[Class]]="C",WORKDAY(Main[[#This Row],[Tech Start Date]],9),IF(Main[[#This Row],[Class]]="B", WORKDAY(Main[[#This Row],[Tech Start Date]],6),IF(Main[[#This Row],[Class]]="A",WORKDAY(Main[[#This Row],[Tech Start Date]],2),""))))</f>
        <v/>
      </c>
      <c r="N1073" s="77" t="str">
        <f>IF(Main[[#This Row],[Tech Start Date]]&lt;1/1/1990,"",IF(Main[[#This Row],[Class]]="C",WORKDAY(Main[[#This Row],[Tech Start Date]],19),IF(Main[[#This Row],[Class]]="B", WORKDAY(Main[[#This Row],[Tech Start Date]],12),IF(Main[[#This Row],[Class]]="A",WORKDAY(Main[[#This Row],[Tech Start Date]],4),""))))</f>
        <v/>
      </c>
      <c r="O1073" s="77" t="str">
        <f>IF(Main[[#This Row],[Tech Start Date]]&lt;1/1/1990,"",IF(Main[[#This Row],[Class]]="C",WORKDAY(Main[[#This Row],[Tech Start Date]],23),IF(Main[[#This Row],[Class]]="B", WORKDAY(Main[[#This Row],[Tech Start Date]],15),IF(Main[[#This Row],[Class]]="A",WORKDAY(Main[[#This Row],[Tech Start Date]],5),""))))</f>
        <v/>
      </c>
      <c r="P1073" s="77" t="str">
        <f>IF(Main[[#This Row],[Tech Start Date]]&lt;1/1/1990,"",IF(Main[[#This Row],[Class]]="C",WORKDAY(Main[[#This Row],[Tech Start Date]],28),IF(Main[[#This Row],[Class]]="B", WORKDAY(Main[[#This Row],[Tech Start Date]],19),IF(Main[[#This Row],[Class]]="A",WORKDAY(Main[[#This Row],[Tech Start Date]],9),""))))</f>
        <v/>
      </c>
      <c r="Q1073" s="74">
        <v>40326</v>
      </c>
      <c r="R1073" s="74">
        <v>40966</v>
      </c>
      <c r="S1073" s="72" t="s">
        <v>17</v>
      </c>
      <c r="T1073" s="80" t="s">
        <v>4</v>
      </c>
      <c r="U1073" s="72" t="s">
        <v>29</v>
      </c>
      <c r="V1073" s="72" t="s">
        <v>1920</v>
      </c>
      <c r="W1073" s="72" t="s">
        <v>1922</v>
      </c>
      <c r="X1073" s="72" t="s">
        <v>415</v>
      </c>
      <c r="Y1073" s="72" t="s">
        <v>2981</v>
      </c>
      <c r="Z1073" s="72" t="s">
        <v>415</v>
      </c>
      <c r="AA1073" s="146" t="s">
        <v>415</v>
      </c>
    </row>
    <row r="1074" spans="1:27" ht="18.600000000000001" customHeight="1">
      <c r="A1074" s="139" t="str">
        <f>IF(priority(Main[[#This Row],[Comments]])&lt;&gt;0, priority(Main[[#This Row],[Comments]]),"")</f>
        <v/>
      </c>
      <c r="B1074" s="89" t="s">
        <v>2127</v>
      </c>
      <c r="C1074" s="72" t="s">
        <v>4</v>
      </c>
      <c r="D1074" s="73" t="s">
        <v>2425</v>
      </c>
      <c r="E1074" s="74"/>
      <c r="F1074" s="74"/>
      <c r="G1074" s="75" t="str">
        <f>IF(stdProdLT(Main[[#This Row],[Comments]])=0.1,"N/A",IF(stdProdLT(Main[[#This Row],[Comments]])=0,"",stdProdLT(Main[[#This Row],[Comments]])))</f>
        <v/>
      </c>
      <c r="H1074" s="76" t="str">
        <f>IF(AND(Main[[#This Row],[In Stock Date]]&lt;&gt;"",Main[[#This Row],[Revised Due Date]]&lt;&gt;""),Main[[#This Row],[In Stock Date]]-Main[[#This Row],[Revised Due Date]],"")</f>
        <v/>
      </c>
      <c r="I1074" s="72" t="s">
        <v>2054</v>
      </c>
      <c r="J1074" s="72" t="s">
        <v>28</v>
      </c>
      <c r="K1074" s="72" t="s">
        <v>1926</v>
      </c>
      <c r="L1074" s="74"/>
      <c r="M1074" s="77" t="str">
        <f>IF(Main[[#This Row],[Tech Start Date]]&lt;1/1/1990,"",IF(Main[[#This Row],[Class]]="C",WORKDAY(Main[[#This Row],[Tech Start Date]],9),IF(Main[[#This Row],[Class]]="B", WORKDAY(Main[[#This Row],[Tech Start Date]],6),IF(Main[[#This Row],[Class]]="A",WORKDAY(Main[[#This Row],[Tech Start Date]],2),""))))</f>
        <v/>
      </c>
      <c r="N1074" s="77" t="str">
        <f>IF(Main[[#This Row],[Tech Start Date]]&lt;1/1/1990,"",IF(Main[[#This Row],[Class]]="C",WORKDAY(Main[[#This Row],[Tech Start Date]],19),IF(Main[[#This Row],[Class]]="B", WORKDAY(Main[[#This Row],[Tech Start Date]],12),IF(Main[[#This Row],[Class]]="A",WORKDAY(Main[[#This Row],[Tech Start Date]],4),""))))</f>
        <v/>
      </c>
      <c r="O1074" s="77" t="str">
        <f>IF(Main[[#This Row],[Tech Start Date]]&lt;1/1/1990,"",IF(Main[[#This Row],[Class]]="C",WORKDAY(Main[[#This Row],[Tech Start Date]],23),IF(Main[[#This Row],[Class]]="B", WORKDAY(Main[[#This Row],[Tech Start Date]],15),IF(Main[[#This Row],[Class]]="A",WORKDAY(Main[[#This Row],[Tech Start Date]],5),""))))</f>
        <v/>
      </c>
      <c r="P1074" s="77" t="str">
        <f>IF(Main[[#This Row],[Tech Start Date]]&lt;1/1/1990,"",IF(Main[[#This Row],[Class]]="C",WORKDAY(Main[[#This Row],[Tech Start Date]],28),IF(Main[[#This Row],[Class]]="B", WORKDAY(Main[[#This Row],[Tech Start Date]],19),IF(Main[[#This Row],[Class]]="A",WORKDAY(Main[[#This Row],[Tech Start Date]],9),""))))</f>
        <v/>
      </c>
      <c r="Q1074" s="74">
        <v>40816</v>
      </c>
      <c r="R1074" s="74"/>
      <c r="S1074" s="72" t="s">
        <v>6</v>
      </c>
      <c r="T1074" s="80" t="s">
        <v>4</v>
      </c>
      <c r="U1074" s="72" t="s">
        <v>14</v>
      </c>
      <c r="V1074" s="72" t="s">
        <v>1927</v>
      </c>
      <c r="W1074" s="72" t="s">
        <v>1921</v>
      </c>
      <c r="X1074" s="72" t="s">
        <v>2909</v>
      </c>
      <c r="Y1074" s="72" t="s">
        <v>3089</v>
      </c>
      <c r="Z1074" s="72" t="s">
        <v>44</v>
      </c>
      <c r="AA1074" s="146" t="s">
        <v>2909</v>
      </c>
    </row>
    <row r="1075" spans="1:27" ht="18.600000000000001" customHeight="1">
      <c r="A1075" s="139" t="str">
        <f>IF(priority(Main[[#This Row],[Comments]])&lt;&gt;0, priority(Main[[#This Row],[Comments]]),"")</f>
        <v/>
      </c>
      <c r="B1075" s="89" t="s">
        <v>2466</v>
      </c>
      <c r="C1075" s="72" t="s">
        <v>95</v>
      </c>
      <c r="D1075" s="73" t="s">
        <v>2693</v>
      </c>
      <c r="E1075" s="74">
        <v>40876.601030092592</v>
      </c>
      <c r="F1075" s="74"/>
      <c r="G1075" s="75" t="str">
        <f>IF(stdProdLT(Main[[#This Row],[Comments]])=0.1,"N/A",IF(stdProdLT(Main[[#This Row],[Comments]])=0,"",stdProdLT(Main[[#This Row],[Comments]])))</f>
        <v/>
      </c>
      <c r="H1075" s="76" t="str">
        <f>IF(AND(Main[[#This Row],[In Stock Date]]&lt;&gt;"",Main[[#This Row],[Revised Due Date]]&lt;&gt;""),Main[[#This Row],[In Stock Date]]-Main[[#This Row],[Revised Due Date]],"")</f>
        <v/>
      </c>
      <c r="I1075" s="72" t="s">
        <v>530</v>
      </c>
      <c r="J1075" s="72" t="s">
        <v>28</v>
      </c>
      <c r="K1075" s="72" t="s">
        <v>1926</v>
      </c>
      <c r="L1075" s="74"/>
      <c r="M1075" s="77" t="str">
        <f>IF(Main[[#This Row],[Tech Start Date]]&lt;1/1/1990,"",IF(Main[[#This Row],[Class]]="C",WORKDAY(Main[[#This Row],[Tech Start Date]],9),IF(Main[[#This Row],[Class]]="B", WORKDAY(Main[[#This Row],[Tech Start Date]],6),IF(Main[[#This Row],[Class]]="A",WORKDAY(Main[[#This Row],[Tech Start Date]],2),""))))</f>
        <v/>
      </c>
      <c r="N1075" s="77" t="str">
        <f>IF(Main[[#This Row],[Tech Start Date]]&lt;1/1/1990,"",IF(Main[[#This Row],[Class]]="C",WORKDAY(Main[[#This Row],[Tech Start Date]],19),IF(Main[[#This Row],[Class]]="B", WORKDAY(Main[[#This Row],[Tech Start Date]],12),IF(Main[[#This Row],[Class]]="A",WORKDAY(Main[[#This Row],[Tech Start Date]],4),""))))</f>
        <v/>
      </c>
      <c r="O1075" s="77" t="str">
        <f>IF(Main[[#This Row],[Tech Start Date]]&lt;1/1/1990,"",IF(Main[[#This Row],[Class]]="C",WORKDAY(Main[[#This Row],[Tech Start Date]],23),IF(Main[[#This Row],[Class]]="B", WORKDAY(Main[[#This Row],[Tech Start Date]],15),IF(Main[[#This Row],[Class]]="A",WORKDAY(Main[[#This Row],[Tech Start Date]],5),""))))</f>
        <v/>
      </c>
      <c r="P1075" s="77" t="str">
        <f>IF(Main[[#This Row],[Tech Start Date]]&lt;1/1/1990,"",IF(Main[[#This Row],[Class]]="C",WORKDAY(Main[[#This Row],[Tech Start Date]],28),IF(Main[[#This Row],[Class]]="B", WORKDAY(Main[[#This Row],[Tech Start Date]],19),IF(Main[[#This Row],[Class]]="A",WORKDAY(Main[[#This Row],[Tech Start Date]],9),""))))</f>
        <v/>
      </c>
      <c r="Q1075" s="74">
        <v>40900</v>
      </c>
      <c r="R1075" s="74"/>
      <c r="S1075" s="72" t="s">
        <v>6</v>
      </c>
      <c r="T1075" s="80" t="s">
        <v>4</v>
      </c>
      <c r="U1075" s="72" t="s">
        <v>29</v>
      </c>
      <c r="V1075" s="72" t="s">
        <v>1927</v>
      </c>
      <c r="W1075" s="72" t="s">
        <v>1925</v>
      </c>
      <c r="X1075" s="72" t="s">
        <v>885</v>
      </c>
      <c r="Y1075" s="72" t="s">
        <v>2969</v>
      </c>
      <c r="Z1075" s="72" t="s">
        <v>30</v>
      </c>
      <c r="AA1075" s="146" t="s">
        <v>885</v>
      </c>
    </row>
    <row r="1076" spans="1:27" ht="18.600000000000001" customHeight="1">
      <c r="A1076" s="139" t="str">
        <f>IF(priority(Main[[#This Row],[Comments]])&lt;&gt;0, priority(Main[[#This Row],[Comments]]),"")</f>
        <v/>
      </c>
      <c r="B1076" s="89" t="s">
        <v>3645</v>
      </c>
      <c r="C1076" s="72" t="s">
        <v>2359</v>
      </c>
      <c r="D1076" s="73" t="s">
        <v>3646</v>
      </c>
      <c r="E1076" s="74">
        <v>40966.113449074073</v>
      </c>
      <c r="F1076" s="74">
        <v>41014</v>
      </c>
      <c r="G1076" s="75" t="str">
        <f>IF(stdProdLT(Main[[#This Row],[Comments]])=0.1,"N/A",IF(stdProdLT(Main[[#This Row],[Comments]])=0,"",stdProdLT(Main[[#This Row],[Comments]])))</f>
        <v/>
      </c>
      <c r="H1076" s="76" t="str">
        <f>IF(AND(Main[[#This Row],[In Stock Date]]&lt;&gt;"",Main[[#This Row],[Revised Due Date]]&lt;&gt;""),Main[[#This Row],[In Stock Date]]-Main[[#This Row],[Revised Due Date]],"")</f>
        <v/>
      </c>
      <c r="I1076" s="72" t="s">
        <v>4</v>
      </c>
      <c r="J1076" s="72" t="s">
        <v>4</v>
      </c>
      <c r="K1076" s="72" t="s">
        <v>4</v>
      </c>
      <c r="L1076" s="74"/>
      <c r="M1076" s="77" t="str">
        <f>IF(Main[[#This Row],[Tech Start Date]]&lt;1/1/1990,"",IF(Main[[#This Row],[Class]]="C",WORKDAY(Main[[#This Row],[Tech Start Date]],9),IF(Main[[#This Row],[Class]]="B", WORKDAY(Main[[#This Row],[Tech Start Date]],6),IF(Main[[#This Row],[Class]]="A",WORKDAY(Main[[#This Row],[Tech Start Date]],2),""))))</f>
        <v/>
      </c>
      <c r="N1076" s="77" t="str">
        <f>IF(Main[[#This Row],[Tech Start Date]]&lt;1/1/1990,"",IF(Main[[#This Row],[Class]]="C",WORKDAY(Main[[#This Row],[Tech Start Date]],19),IF(Main[[#This Row],[Class]]="B", WORKDAY(Main[[#This Row],[Tech Start Date]],12),IF(Main[[#This Row],[Class]]="A",WORKDAY(Main[[#This Row],[Tech Start Date]],4),""))))</f>
        <v/>
      </c>
      <c r="O1076" s="77" t="str">
        <f>IF(Main[[#This Row],[Tech Start Date]]&lt;1/1/1990,"",IF(Main[[#This Row],[Class]]="C",WORKDAY(Main[[#This Row],[Tech Start Date]],23),IF(Main[[#This Row],[Class]]="B", WORKDAY(Main[[#This Row],[Tech Start Date]],15),IF(Main[[#This Row],[Class]]="A",WORKDAY(Main[[#This Row],[Tech Start Date]],5),""))))</f>
        <v/>
      </c>
      <c r="P1076" s="77" t="str">
        <f>IF(Main[[#This Row],[Tech Start Date]]&lt;1/1/1990,"",IF(Main[[#This Row],[Class]]="C",WORKDAY(Main[[#This Row],[Tech Start Date]],28),IF(Main[[#This Row],[Class]]="B", WORKDAY(Main[[#This Row],[Tech Start Date]],19),IF(Main[[#This Row],[Class]]="A",WORKDAY(Main[[#This Row],[Tech Start Date]],9),""))))</f>
        <v/>
      </c>
      <c r="Q1076" s="74">
        <v>40916</v>
      </c>
      <c r="R1076" s="74"/>
      <c r="S1076" s="72" t="s">
        <v>11</v>
      </c>
      <c r="T1076" s="80" t="s">
        <v>4</v>
      </c>
      <c r="U1076" s="72" t="s">
        <v>696</v>
      </c>
      <c r="V1076" s="72" t="s">
        <v>1927</v>
      </c>
      <c r="W1076" s="72" t="s">
        <v>1925</v>
      </c>
      <c r="X1076" s="72" t="s">
        <v>2849</v>
      </c>
      <c r="Y1076" s="72" t="s">
        <v>4</v>
      </c>
      <c r="Z1076" s="72" t="s">
        <v>4</v>
      </c>
      <c r="AA1076" s="146" t="s">
        <v>2849</v>
      </c>
    </row>
    <row r="1077" spans="1:27" ht="18.600000000000001" customHeight="1">
      <c r="A1077" s="139" t="str">
        <f>IF(priority(Main[[#This Row],[Comments]])&lt;&gt;0, priority(Main[[#This Row],[Comments]]),"")</f>
        <v/>
      </c>
      <c r="B1077" s="89" t="s">
        <v>2779</v>
      </c>
      <c r="C1077" s="72" t="s">
        <v>2780</v>
      </c>
      <c r="D1077" s="73" t="s">
        <v>3282</v>
      </c>
      <c r="E1077" s="74"/>
      <c r="F1077" s="74"/>
      <c r="G1077" s="75">
        <f>IF(stdProdLT(Main[[#This Row],[Comments]])=0.1,"N/A",IF(stdProdLT(Main[[#This Row],[Comments]])=0,"",stdProdLT(Main[[#This Row],[Comments]])))</f>
        <v>112</v>
      </c>
      <c r="H1077" s="76" t="str">
        <f>IF(AND(Main[[#This Row],[In Stock Date]]&lt;&gt;"",Main[[#This Row],[Revised Due Date]]&lt;&gt;""),Main[[#This Row],[In Stock Date]]-Main[[#This Row],[Revised Due Date]],"")</f>
        <v/>
      </c>
      <c r="I1077" s="72" t="s">
        <v>4</v>
      </c>
      <c r="J1077" s="72" t="s">
        <v>4</v>
      </c>
      <c r="K1077" s="72" t="s">
        <v>4</v>
      </c>
      <c r="L1077" s="74"/>
      <c r="M1077" s="77" t="str">
        <f>IF(Main[[#This Row],[Tech Start Date]]&lt;1/1/1990,"",IF(Main[[#This Row],[Class]]="C",WORKDAY(Main[[#This Row],[Tech Start Date]],9),IF(Main[[#This Row],[Class]]="B", WORKDAY(Main[[#This Row],[Tech Start Date]],6),IF(Main[[#This Row],[Class]]="A",WORKDAY(Main[[#This Row],[Tech Start Date]],2),""))))</f>
        <v/>
      </c>
      <c r="N1077" s="77" t="str">
        <f>IF(Main[[#This Row],[Tech Start Date]]&lt;1/1/1990,"",IF(Main[[#This Row],[Class]]="C",WORKDAY(Main[[#This Row],[Tech Start Date]],19),IF(Main[[#This Row],[Class]]="B", WORKDAY(Main[[#This Row],[Tech Start Date]],12),IF(Main[[#This Row],[Class]]="A",WORKDAY(Main[[#This Row],[Tech Start Date]],4),""))))</f>
        <v/>
      </c>
      <c r="O1077" s="77" t="str">
        <f>IF(Main[[#This Row],[Tech Start Date]]&lt;1/1/1990,"",IF(Main[[#This Row],[Class]]="C",WORKDAY(Main[[#This Row],[Tech Start Date]],23),IF(Main[[#This Row],[Class]]="B", WORKDAY(Main[[#This Row],[Tech Start Date]],15),IF(Main[[#This Row],[Class]]="A",WORKDAY(Main[[#This Row],[Tech Start Date]],5),""))))</f>
        <v/>
      </c>
      <c r="P1077" s="77" t="str">
        <f>IF(Main[[#This Row],[Tech Start Date]]&lt;1/1/1990,"",IF(Main[[#This Row],[Class]]="C",WORKDAY(Main[[#This Row],[Tech Start Date]],28),IF(Main[[#This Row],[Class]]="B", WORKDAY(Main[[#This Row],[Tech Start Date]],19),IF(Main[[#This Row],[Class]]="A",WORKDAY(Main[[#This Row],[Tech Start Date]],9),""))))</f>
        <v/>
      </c>
      <c r="Q1077" s="74"/>
      <c r="R1077" s="74"/>
      <c r="S1077" s="72" t="s">
        <v>11</v>
      </c>
      <c r="T1077" s="80" t="s">
        <v>3182</v>
      </c>
      <c r="U1077" s="72" t="s">
        <v>14</v>
      </c>
      <c r="V1077" s="72" t="s">
        <v>1920</v>
      </c>
      <c r="W1077" s="72" t="s">
        <v>1925</v>
      </c>
      <c r="X1077" s="72" t="s">
        <v>306</v>
      </c>
      <c r="Y1077" s="72" t="s">
        <v>4</v>
      </c>
      <c r="Z1077" s="72" t="s">
        <v>4</v>
      </c>
      <c r="AA1077" s="146" t="s">
        <v>4</v>
      </c>
    </row>
    <row r="1078" spans="1:27" ht="18.600000000000001" customHeight="1">
      <c r="A1078" s="139" t="str">
        <f>IF(priority(Main[[#This Row],[Comments]])&lt;&gt;0, priority(Main[[#This Row],[Comments]]),"")</f>
        <v/>
      </c>
      <c r="B1078" s="89" t="s">
        <v>3647</v>
      </c>
      <c r="C1078" s="72" t="s">
        <v>4</v>
      </c>
      <c r="D1078" s="73" t="s">
        <v>3648</v>
      </c>
      <c r="E1078" s="74">
        <v>40959.588020833333</v>
      </c>
      <c r="F1078" s="74"/>
      <c r="G1078" s="75" t="str">
        <f>IF(stdProdLT(Main[[#This Row],[Comments]])=0.1,"N/A",IF(stdProdLT(Main[[#This Row],[Comments]])=0,"",stdProdLT(Main[[#This Row],[Comments]])))</f>
        <v/>
      </c>
      <c r="H1078" s="76" t="str">
        <f>IF(AND(Main[[#This Row],[In Stock Date]]&lt;&gt;"",Main[[#This Row],[Revised Due Date]]&lt;&gt;""),Main[[#This Row],[In Stock Date]]-Main[[#This Row],[Revised Due Date]],"")</f>
        <v/>
      </c>
      <c r="I1078" s="72" t="s">
        <v>4</v>
      </c>
      <c r="J1078" s="72" t="s">
        <v>4</v>
      </c>
      <c r="K1078" s="72" t="s">
        <v>4</v>
      </c>
      <c r="L1078" s="74"/>
      <c r="M1078" s="77" t="str">
        <f>IF(Main[[#This Row],[Tech Start Date]]&lt;1/1/1990,"",IF(Main[[#This Row],[Class]]="C",WORKDAY(Main[[#This Row],[Tech Start Date]],9),IF(Main[[#This Row],[Class]]="B", WORKDAY(Main[[#This Row],[Tech Start Date]],6),IF(Main[[#This Row],[Class]]="A",WORKDAY(Main[[#This Row],[Tech Start Date]],2),""))))</f>
        <v/>
      </c>
      <c r="N1078" s="77" t="str">
        <f>IF(Main[[#This Row],[Tech Start Date]]&lt;1/1/1990,"",IF(Main[[#This Row],[Class]]="C",WORKDAY(Main[[#This Row],[Tech Start Date]],19),IF(Main[[#This Row],[Class]]="B", WORKDAY(Main[[#This Row],[Tech Start Date]],12),IF(Main[[#This Row],[Class]]="A",WORKDAY(Main[[#This Row],[Tech Start Date]],4),""))))</f>
        <v/>
      </c>
      <c r="O1078" s="77" t="str">
        <f>IF(Main[[#This Row],[Tech Start Date]]&lt;1/1/1990,"",IF(Main[[#This Row],[Class]]="C",WORKDAY(Main[[#This Row],[Tech Start Date]],23),IF(Main[[#This Row],[Class]]="B", WORKDAY(Main[[#This Row],[Tech Start Date]],15),IF(Main[[#This Row],[Class]]="A",WORKDAY(Main[[#This Row],[Tech Start Date]],5),""))))</f>
        <v/>
      </c>
      <c r="P1078" s="77" t="str">
        <f>IF(Main[[#This Row],[Tech Start Date]]&lt;1/1/1990,"",IF(Main[[#This Row],[Class]]="C",WORKDAY(Main[[#This Row],[Tech Start Date]],28),IF(Main[[#This Row],[Class]]="B", WORKDAY(Main[[#This Row],[Tech Start Date]],19),IF(Main[[#This Row],[Class]]="A",WORKDAY(Main[[#This Row],[Tech Start Date]],9),""))))</f>
        <v/>
      </c>
      <c r="Q1078" s="74"/>
      <c r="R1078" s="74"/>
      <c r="S1078" s="72" t="s">
        <v>6</v>
      </c>
      <c r="T1078" s="80" t="s">
        <v>4</v>
      </c>
      <c r="U1078" s="72" t="s">
        <v>29</v>
      </c>
      <c r="V1078" s="72" t="s">
        <v>1927</v>
      </c>
      <c r="W1078" s="72" t="s">
        <v>4</v>
      </c>
      <c r="X1078" s="72" t="s">
        <v>102</v>
      </c>
      <c r="Y1078" s="72" t="s">
        <v>3131</v>
      </c>
      <c r="Z1078" s="72" t="s">
        <v>4</v>
      </c>
      <c r="AA1078" s="146" t="s">
        <v>3466</v>
      </c>
    </row>
    <row r="1079" spans="1:27" ht="18.600000000000001" customHeight="1">
      <c r="A1079" s="139" t="str">
        <f>IF(priority(Main[[#This Row],[Comments]])&lt;&gt;0, priority(Main[[#This Row],[Comments]]),"")</f>
        <v/>
      </c>
      <c r="B1079" s="89" t="s">
        <v>3543</v>
      </c>
      <c r="C1079" s="72" t="s">
        <v>4</v>
      </c>
      <c r="D1079" s="73" t="s">
        <v>3544</v>
      </c>
      <c r="E1079" s="74">
        <v>40947.470821759256</v>
      </c>
      <c r="F1079" s="74"/>
      <c r="G1079" s="75" t="str">
        <f>IF(stdProdLT(Main[[#This Row],[Comments]])=0.1,"N/A",IF(stdProdLT(Main[[#This Row],[Comments]])=0,"",stdProdLT(Main[[#This Row],[Comments]])))</f>
        <v/>
      </c>
      <c r="H1079" s="76" t="str">
        <f>IF(AND(Main[[#This Row],[In Stock Date]]&lt;&gt;"",Main[[#This Row],[Revised Due Date]]&lt;&gt;""),Main[[#This Row],[In Stock Date]]-Main[[#This Row],[Revised Due Date]],"")</f>
        <v/>
      </c>
      <c r="I1079" s="72" t="s">
        <v>4</v>
      </c>
      <c r="J1079" s="72" t="s">
        <v>4</v>
      </c>
      <c r="K1079" s="72" t="s">
        <v>4</v>
      </c>
      <c r="L1079" s="74"/>
      <c r="M1079" s="77" t="str">
        <f>IF(Main[[#This Row],[Tech Start Date]]&lt;1/1/1990,"",IF(Main[[#This Row],[Class]]="C",WORKDAY(Main[[#This Row],[Tech Start Date]],9),IF(Main[[#This Row],[Class]]="B", WORKDAY(Main[[#This Row],[Tech Start Date]],6),IF(Main[[#This Row],[Class]]="A",WORKDAY(Main[[#This Row],[Tech Start Date]],2),""))))</f>
        <v/>
      </c>
      <c r="N1079" s="77" t="str">
        <f>IF(Main[[#This Row],[Tech Start Date]]&lt;1/1/1990,"",IF(Main[[#This Row],[Class]]="C",WORKDAY(Main[[#This Row],[Tech Start Date]],19),IF(Main[[#This Row],[Class]]="B", WORKDAY(Main[[#This Row],[Tech Start Date]],12),IF(Main[[#This Row],[Class]]="A",WORKDAY(Main[[#This Row],[Tech Start Date]],4),""))))</f>
        <v/>
      </c>
      <c r="O1079" s="77" t="str">
        <f>IF(Main[[#This Row],[Tech Start Date]]&lt;1/1/1990,"",IF(Main[[#This Row],[Class]]="C",WORKDAY(Main[[#This Row],[Tech Start Date]],23),IF(Main[[#This Row],[Class]]="B", WORKDAY(Main[[#This Row],[Tech Start Date]],15),IF(Main[[#This Row],[Class]]="A",WORKDAY(Main[[#This Row],[Tech Start Date]],5),""))))</f>
        <v/>
      </c>
      <c r="P1079" s="77" t="str">
        <f>IF(Main[[#This Row],[Tech Start Date]]&lt;1/1/1990,"",IF(Main[[#This Row],[Class]]="C",WORKDAY(Main[[#This Row],[Tech Start Date]],28),IF(Main[[#This Row],[Class]]="B", WORKDAY(Main[[#This Row],[Tech Start Date]],19),IF(Main[[#This Row],[Class]]="A",WORKDAY(Main[[#This Row],[Tech Start Date]],9),""))))</f>
        <v/>
      </c>
      <c r="Q1079" s="74"/>
      <c r="R1079" s="74"/>
      <c r="S1079" s="72" t="s">
        <v>6</v>
      </c>
      <c r="T1079" s="80" t="s">
        <v>4</v>
      </c>
      <c r="U1079" s="72" t="s">
        <v>29</v>
      </c>
      <c r="V1079" s="72" t="s">
        <v>1918</v>
      </c>
      <c r="W1079" s="72" t="s">
        <v>1921</v>
      </c>
      <c r="X1079" s="72" t="s">
        <v>306</v>
      </c>
      <c r="Y1079" s="72" t="s">
        <v>4</v>
      </c>
      <c r="Z1079" s="72" t="s">
        <v>4</v>
      </c>
      <c r="AA1079" s="146" t="s">
        <v>4</v>
      </c>
    </row>
    <row r="1080" spans="1:27" ht="18.600000000000001" customHeight="1">
      <c r="A1080" s="139" t="str">
        <f>IF(priority(Main[[#This Row],[Comments]])&lt;&gt;0, priority(Main[[#This Row],[Comments]]),"")</f>
        <v/>
      </c>
      <c r="B1080" s="89" t="s">
        <v>2578</v>
      </c>
      <c r="C1080" s="72" t="s">
        <v>4</v>
      </c>
      <c r="D1080" s="73" t="s">
        <v>2579</v>
      </c>
      <c r="E1080" s="74"/>
      <c r="F1080" s="74"/>
      <c r="G1080" s="75" t="str">
        <f>IF(stdProdLT(Main[[#This Row],[Comments]])=0.1,"N/A",IF(stdProdLT(Main[[#This Row],[Comments]])=0,"",stdProdLT(Main[[#This Row],[Comments]])))</f>
        <v/>
      </c>
      <c r="H1080" s="76" t="str">
        <f>IF(AND(Main[[#This Row],[In Stock Date]]&lt;&gt;"",Main[[#This Row],[Revised Due Date]]&lt;&gt;""),Main[[#This Row],[In Stock Date]]-Main[[#This Row],[Revised Due Date]],"")</f>
        <v/>
      </c>
      <c r="I1080" s="72" t="s">
        <v>4</v>
      </c>
      <c r="J1080" s="72" t="s">
        <v>4</v>
      </c>
      <c r="K1080" s="72" t="s">
        <v>4</v>
      </c>
      <c r="L1080" s="74"/>
      <c r="M1080" s="77" t="str">
        <f>IF(Main[[#This Row],[Tech Start Date]]&lt;1/1/1990,"",IF(Main[[#This Row],[Class]]="C",WORKDAY(Main[[#This Row],[Tech Start Date]],9),IF(Main[[#This Row],[Class]]="B", WORKDAY(Main[[#This Row],[Tech Start Date]],6),IF(Main[[#This Row],[Class]]="A",WORKDAY(Main[[#This Row],[Tech Start Date]],2),""))))</f>
        <v/>
      </c>
      <c r="N1080" s="77" t="str">
        <f>IF(Main[[#This Row],[Tech Start Date]]&lt;1/1/1990,"",IF(Main[[#This Row],[Class]]="C",WORKDAY(Main[[#This Row],[Tech Start Date]],19),IF(Main[[#This Row],[Class]]="B", WORKDAY(Main[[#This Row],[Tech Start Date]],12),IF(Main[[#This Row],[Class]]="A",WORKDAY(Main[[#This Row],[Tech Start Date]],4),""))))</f>
        <v/>
      </c>
      <c r="O1080" s="77" t="str">
        <f>IF(Main[[#This Row],[Tech Start Date]]&lt;1/1/1990,"",IF(Main[[#This Row],[Class]]="C",WORKDAY(Main[[#This Row],[Tech Start Date]],23),IF(Main[[#This Row],[Class]]="B", WORKDAY(Main[[#This Row],[Tech Start Date]],15),IF(Main[[#This Row],[Class]]="A",WORKDAY(Main[[#This Row],[Tech Start Date]],5),""))))</f>
        <v/>
      </c>
      <c r="P1080" s="77" t="str">
        <f>IF(Main[[#This Row],[Tech Start Date]]&lt;1/1/1990,"",IF(Main[[#This Row],[Class]]="C",WORKDAY(Main[[#This Row],[Tech Start Date]],28),IF(Main[[#This Row],[Class]]="B", WORKDAY(Main[[#This Row],[Tech Start Date]],19),IF(Main[[#This Row],[Class]]="A",WORKDAY(Main[[#This Row],[Tech Start Date]],9),""))))</f>
        <v/>
      </c>
      <c r="Q1080" s="74"/>
      <c r="R1080" s="74"/>
      <c r="S1080" s="72" t="s">
        <v>6</v>
      </c>
      <c r="T1080" s="80" t="s">
        <v>4</v>
      </c>
      <c r="U1080" s="72" t="s">
        <v>14</v>
      </c>
      <c r="V1080" s="72" t="s">
        <v>1920</v>
      </c>
      <c r="W1080" s="72" t="s">
        <v>1921</v>
      </c>
      <c r="X1080" s="72" t="s">
        <v>306</v>
      </c>
      <c r="Y1080" s="72" t="s">
        <v>2947</v>
      </c>
      <c r="Z1080" s="72" t="s">
        <v>4</v>
      </c>
      <c r="AA1080" s="146" t="s">
        <v>306</v>
      </c>
    </row>
    <row r="1081" spans="1:27" ht="18.600000000000001" customHeight="1">
      <c r="A1081" s="139" t="str">
        <f>IF(priority(Main[[#This Row],[Comments]])&lt;&gt;0, priority(Main[[#This Row],[Comments]]),"")</f>
        <v/>
      </c>
      <c r="B1081" s="89" t="s">
        <v>2277</v>
      </c>
      <c r="C1081" s="72" t="s">
        <v>4</v>
      </c>
      <c r="D1081" s="73" t="s">
        <v>2278</v>
      </c>
      <c r="E1081" s="74">
        <v>40809.888067129628</v>
      </c>
      <c r="F1081" s="74"/>
      <c r="G1081" s="75" t="str">
        <f>IF(stdProdLT(Main[[#This Row],[Comments]])=0.1,"N/A",IF(stdProdLT(Main[[#This Row],[Comments]])=0,"",stdProdLT(Main[[#This Row],[Comments]])))</f>
        <v/>
      </c>
      <c r="H1081" s="76" t="str">
        <f>IF(AND(Main[[#This Row],[In Stock Date]]&lt;&gt;"",Main[[#This Row],[Revised Due Date]]&lt;&gt;""),Main[[#This Row],[In Stock Date]]-Main[[#This Row],[Revised Due Date]],"")</f>
        <v/>
      </c>
      <c r="I1081" s="72" t="s">
        <v>81</v>
      </c>
      <c r="J1081" s="72" t="s">
        <v>52</v>
      </c>
      <c r="K1081" s="72" t="s">
        <v>1926</v>
      </c>
      <c r="L1081" s="74"/>
      <c r="M1081" s="77" t="str">
        <f>IF(Main[[#This Row],[Tech Start Date]]&lt;1/1/1990,"",IF(Main[[#This Row],[Class]]="C",WORKDAY(Main[[#This Row],[Tech Start Date]],9),IF(Main[[#This Row],[Class]]="B", WORKDAY(Main[[#This Row],[Tech Start Date]],6),IF(Main[[#This Row],[Class]]="A",WORKDAY(Main[[#This Row],[Tech Start Date]],2),""))))</f>
        <v/>
      </c>
      <c r="N1081" s="77" t="str">
        <f>IF(Main[[#This Row],[Tech Start Date]]&lt;1/1/1990,"",IF(Main[[#This Row],[Class]]="C",WORKDAY(Main[[#This Row],[Tech Start Date]],19),IF(Main[[#This Row],[Class]]="B", WORKDAY(Main[[#This Row],[Tech Start Date]],12),IF(Main[[#This Row],[Class]]="A",WORKDAY(Main[[#This Row],[Tech Start Date]],4),""))))</f>
        <v/>
      </c>
      <c r="O1081" s="77" t="str">
        <f>IF(Main[[#This Row],[Tech Start Date]]&lt;1/1/1990,"",IF(Main[[#This Row],[Class]]="C",WORKDAY(Main[[#This Row],[Tech Start Date]],23),IF(Main[[#This Row],[Class]]="B", WORKDAY(Main[[#This Row],[Tech Start Date]],15),IF(Main[[#This Row],[Class]]="A",WORKDAY(Main[[#This Row],[Tech Start Date]],5),""))))</f>
        <v/>
      </c>
      <c r="P1081" s="77" t="str">
        <f>IF(Main[[#This Row],[Tech Start Date]]&lt;1/1/1990,"",IF(Main[[#This Row],[Class]]="C",WORKDAY(Main[[#This Row],[Tech Start Date]],28),IF(Main[[#This Row],[Class]]="B", WORKDAY(Main[[#This Row],[Tech Start Date]],19),IF(Main[[#This Row],[Class]]="A",WORKDAY(Main[[#This Row],[Tech Start Date]],9),""))))</f>
        <v/>
      </c>
      <c r="Q1081" s="74"/>
      <c r="R1081" s="74"/>
      <c r="S1081" s="72" t="s">
        <v>6</v>
      </c>
      <c r="T1081" s="80" t="s">
        <v>4</v>
      </c>
      <c r="U1081" s="72" t="s">
        <v>29</v>
      </c>
      <c r="V1081" s="72" t="s">
        <v>1927</v>
      </c>
      <c r="W1081" s="72" t="s">
        <v>1921</v>
      </c>
      <c r="X1081" s="72" t="s">
        <v>2871</v>
      </c>
      <c r="Y1081" s="72" t="s">
        <v>3016</v>
      </c>
      <c r="Z1081" s="72" t="s">
        <v>30</v>
      </c>
      <c r="AA1081" s="146" t="s">
        <v>2871</v>
      </c>
    </row>
    <row r="1082" spans="1:27" ht="18.600000000000001" customHeight="1">
      <c r="A1082" s="139" t="str">
        <f>IF(priority(Main[[#This Row],[Comments]])&lt;&gt;0, priority(Main[[#This Row],[Comments]]),"")</f>
        <v/>
      </c>
      <c r="B1082" s="89" t="s">
        <v>2255</v>
      </c>
      <c r="C1082" s="72" t="s">
        <v>4</v>
      </c>
      <c r="D1082" s="73" t="s">
        <v>2256</v>
      </c>
      <c r="E1082" s="74">
        <v>40806.354490740741</v>
      </c>
      <c r="F1082" s="74"/>
      <c r="G1082" s="75" t="str">
        <f>IF(stdProdLT(Main[[#This Row],[Comments]])=0.1,"N/A",IF(stdProdLT(Main[[#This Row],[Comments]])=0,"",stdProdLT(Main[[#This Row],[Comments]])))</f>
        <v/>
      </c>
      <c r="H1082" s="76" t="str">
        <f>IF(AND(Main[[#This Row],[In Stock Date]]&lt;&gt;"",Main[[#This Row],[Revised Due Date]]&lt;&gt;""),Main[[#This Row],[In Stock Date]]-Main[[#This Row],[Revised Due Date]],"")</f>
        <v/>
      </c>
      <c r="I1082" s="72" t="s">
        <v>4</v>
      </c>
      <c r="J1082" s="72" t="s">
        <v>4</v>
      </c>
      <c r="K1082" s="72" t="s">
        <v>4</v>
      </c>
      <c r="L1082" s="74"/>
      <c r="M1082" s="77" t="str">
        <f>IF(Main[[#This Row],[Tech Start Date]]&lt;1/1/1990,"",IF(Main[[#This Row],[Class]]="C",WORKDAY(Main[[#This Row],[Tech Start Date]],9),IF(Main[[#This Row],[Class]]="B", WORKDAY(Main[[#This Row],[Tech Start Date]],6),IF(Main[[#This Row],[Class]]="A",WORKDAY(Main[[#This Row],[Tech Start Date]],2),""))))</f>
        <v/>
      </c>
      <c r="N1082" s="77" t="str">
        <f>IF(Main[[#This Row],[Tech Start Date]]&lt;1/1/1990,"",IF(Main[[#This Row],[Class]]="C",WORKDAY(Main[[#This Row],[Tech Start Date]],19),IF(Main[[#This Row],[Class]]="B", WORKDAY(Main[[#This Row],[Tech Start Date]],12),IF(Main[[#This Row],[Class]]="A",WORKDAY(Main[[#This Row],[Tech Start Date]],4),""))))</f>
        <v/>
      </c>
      <c r="O1082" s="77" t="str">
        <f>IF(Main[[#This Row],[Tech Start Date]]&lt;1/1/1990,"",IF(Main[[#This Row],[Class]]="C",WORKDAY(Main[[#This Row],[Tech Start Date]],23),IF(Main[[#This Row],[Class]]="B", WORKDAY(Main[[#This Row],[Tech Start Date]],15),IF(Main[[#This Row],[Class]]="A",WORKDAY(Main[[#This Row],[Tech Start Date]],5),""))))</f>
        <v/>
      </c>
      <c r="P1082" s="77" t="str">
        <f>IF(Main[[#This Row],[Tech Start Date]]&lt;1/1/1990,"",IF(Main[[#This Row],[Class]]="C",WORKDAY(Main[[#This Row],[Tech Start Date]],28),IF(Main[[#This Row],[Class]]="B", WORKDAY(Main[[#This Row],[Tech Start Date]],19),IF(Main[[#This Row],[Class]]="A",WORKDAY(Main[[#This Row],[Tech Start Date]],9),""))))</f>
        <v/>
      </c>
      <c r="Q1082" s="74"/>
      <c r="R1082" s="74"/>
      <c r="S1082" s="72" t="s">
        <v>17</v>
      </c>
      <c r="T1082" s="80" t="s">
        <v>4</v>
      </c>
      <c r="U1082" s="72" t="s">
        <v>7</v>
      </c>
      <c r="V1082" s="72" t="s">
        <v>1918</v>
      </c>
      <c r="W1082" s="72" t="s">
        <v>1919</v>
      </c>
      <c r="X1082" s="72" t="s">
        <v>2872</v>
      </c>
      <c r="Y1082" s="72" t="s">
        <v>3006</v>
      </c>
      <c r="Z1082" s="72" t="s">
        <v>4</v>
      </c>
      <c r="AA1082" s="146" t="s">
        <v>2872</v>
      </c>
    </row>
    <row r="1083" spans="1:27" ht="18.600000000000001" customHeight="1">
      <c r="A1083" s="139" t="str">
        <f>IF(priority(Main[[#This Row],[Comments]])&lt;&gt;0, priority(Main[[#This Row],[Comments]]),"")</f>
        <v/>
      </c>
      <c r="B1083" s="89" t="s">
        <v>2431</v>
      </c>
      <c r="C1083" s="72" t="s">
        <v>4</v>
      </c>
      <c r="D1083" s="73" t="s">
        <v>2432</v>
      </c>
      <c r="E1083" s="74"/>
      <c r="F1083" s="74"/>
      <c r="G1083" s="75" t="str">
        <f>IF(stdProdLT(Main[[#This Row],[Comments]])=0.1,"N/A",IF(stdProdLT(Main[[#This Row],[Comments]])=0,"",stdProdLT(Main[[#This Row],[Comments]])))</f>
        <v/>
      </c>
      <c r="H1083" s="76" t="str">
        <f>IF(AND(Main[[#This Row],[In Stock Date]]&lt;&gt;"",Main[[#This Row],[Revised Due Date]]&lt;&gt;""),Main[[#This Row],[In Stock Date]]-Main[[#This Row],[Revised Due Date]],"")</f>
        <v/>
      </c>
      <c r="I1083" s="72" t="s">
        <v>4</v>
      </c>
      <c r="J1083" s="72" t="s">
        <v>4</v>
      </c>
      <c r="K1083" s="72" t="s">
        <v>4</v>
      </c>
      <c r="L1083" s="74"/>
      <c r="M1083" s="77" t="str">
        <f>IF(Main[[#This Row],[Tech Start Date]]&lt;1/1/1990,"",IF(Main[[#This Row],[Class]]="C",WORKDAY(Main[[#This Row],[Tech Start Date]],9),IF(Main[[#This Row],[Class]]="B", WORKDAY(Main[[#This Row],[Tech Start Date]],6),IF(Main[[#This Row],[Class]]="A",WORKDAY(Main[[#This Row],[Tech Start Date]],2),""))))</f>
        <v/>
      </c>
      <c r="N1083" s="77" t="str">
        <f>IF(Main[[#This Row],[Tech Start Date]]&lt;1/1/1990,"",IF(Main[[#This Row],[Class]]="C",WORKDAY(Main[[#This Row],[Tech Start Date]],19),IF(Main[[#This Row],[Class]]="B", WORKDAY(Main[[#This Row],[Tech Start Date]],12),IF(Main[[#This Row],[Class]]="A",WORKDAY(Main[[#This Row],[Tech Start Date]],4),""))))</f>
        <v/>
      </c>
      <c r="O1083" s="77" t="str">
        <f>IF(Main[[#This Row],[Tech Start Date]]&lt;1/1/1990,"",IF(Main[[#This Row],[Class]]="C",WORKDAY(Main[[#This Row],[Tech Start Date]],23),IF(Main[[#This Row],[Class]]="B", WORKDAY(Main[[#This Row],[Tech Start Date]],15),IF(Main[[#This Row],[Class]]="A",WORKDAY(Main[[#This Row],[Tech Start Date]],5),""))))</f>
        <v/>
      </c>
      <c r="P1083" s="77" t="str">
        <f>IF(Main[[#This Row],[Tech Start Date]]&lt;1/1/1990,"",IF(Main[[#This Row],[Class]]="C",WORKDAY(Main[[#This Row],[Tech Start Date]],28),IF(Main[[#This Row],[Class]]="B", WORKDAY(Main[[#This Row],[Tech Start Date]],19),IF(Main[[#This Row],[Class]]="A",WORKDAY(Main[[#This Row],[Tech Start Date]],9),""))))</f>
        <v/>
      </c>
      <c r="Q1083" s="74">
        <v>40907</v>
      </c>
      <c r="R1083" s="74"/>
      <c r="S1083" s="72" t="s">
        <v>6</v>
      </c>
      <c r="T1083" s="80" t="s">
        <v>4</v>
      </c>
      <c r="U1083" s="72" t="s">
        <v>14</v>
      </c>
      <c r="V1083" s="72" t="s">
        <v>1917</v>
      </c>
      <c r="W1083" s="72" t="s">
        <v>1921</v>
      </c>
      <c r="X1083" s="72" t="s">
        <v>2827</v>
      </c>
      <c r="Y1083" s="72" t="s">
        <v>2942</v>
      </c>
      <c r="Z1083" s="72" t="s">
        <v>4</v>
      </c>
      <c r="AA1083" s="146" t="s">
        <v>2827</v>
      </c>
    </row>
    <row r="1084" spans="1:27" ht="18.600000000000001" customHeight="1">
      <c r="A1084" s="139" t="str">
        <f>IF(priority(Main[[#This Row],[Comments]])&lt;&gt;0, priority(Main[[#This Row],[Comments]]),"")</f>
        <v/>
      </c>
      <c r="B1084" s="89" t="s">
        <v>3535</v>
      </c>
      <c r="C1084" s="72" t="s">
        <v>53</v>
      </c>
      <c r="D1084" s="73" t="s">
        <v>3649</v>
      </c>
      <c r="E1084" s="74">
        <v>40949.374872685185</v>
      </c>
      <c r="F1084" s="74"/>
      <c r="G1084" s="75" t="str">
        <f>IF(stdProdLT(Main[[#This Row],[Comments]])=0.1,"N/A",IF(stdProdLT(Main[[#This Row],[Comments]])=0,"",stdProdLT(Main[[#This Row],[Comments]])))</f>
        <v/>
      </c>
      <c r="H1084" s="76" t="str">
        <f>IF(AND(Main[[#This Row],[In Stock Date]]&lt;&gt;"",Main[[#This Row],[Revised Due Date]]&lt;&gt;""),Main[[#This Row],[In Stock Date]]-Main[[#This Row],[Revised Due Date]],"")</f>
        <v/>
      </c>
      <c r="I1084" s="72" t="s">
        <v>943</v>
      </c>
      <c r="J1084" s="72" t="s">
        <v>28</v>
      </c>
      <c r="K1084" s="72" t="s">
        <v>1926</v>
      </c>
      <c r="L1084" s="74"/>
      <c r="M1084" s="77" t="str">
        <f>IF(Main[[#This Row],[Tech Start Date]]&lt;1/1/1990,"",IF(Main[[#This Row],[Class]]="C",WORKDAY(Main[[#This Row],[Tech Start Date]],9),IF(Main[[#This Row],[Class]]="B", WORKDAY(Main[[#This Row],[Tech Start Date]],6),IF(Main[[#This Row],[Class]]="A",WORKDAY(Main[[#This Row],[Tech Start Date]],2),""))))</f>
        <v/>
      </c>
      <c r="N1084" s="77" t="str">
        <f>IF(Main[[#This Row],[Tech Start Date]]&lt;1/1/1990,"",IF(Main[[#This Row],[Class]]="C",WORKDAY(Main[[#This Row],[Tech Start Date]],19),IF(Main[[#This Row],[Class]]="B", WORKDAY(Main[[#This Row],[Tech Start Date]],12),IF(Main[[#This Row],[Class]]="A",WORKDAY(Main[[#This Row],[Tech Start Date]],4),""))))</f>
        <v/>
      </c>
      <c r="O1084" s="77" t="str">
        <f>IF(Main[[#This Row],[Tech Start Date]]&lt;1/1/1990,"",IF(Main[[#This Row],[Class]]="C",WORKDAY(Main[[#This Row],[Tech Start Date]],23),IF(Main[[#This Row],[Class]]="B", WORKDAY(Main[[#This Row],[Tech Start Date]],15),IF(Main[[#This Row],[Class]]="A",WORKDAY(Main[[#This Row],[Tech Start Date]],5),""))))</f>
        <v/>
      </c>
      <c r="P1084" s="77" t="str">
        <f>IF(Main[[#This Row],[Tech Start Date]]&lt;1/1/1990,"",IF(Main[[#This Row],[Class]]="C",WORKDAY(Main[[#This Row],[Tech Start Date]],28),IF(Main[[#This Row],[Class]]="B", WORKDAY(Main[[#This Row],[Tech Start Date]],19),IF(Main[[#This Row],[Class]]="A",WORKDAY(Main[[#This Row],[Tech Start Date]],9),""))))</f>
        <v/>
      </c>
      <c r="Q1084" s="74">
        <v>40956</v>
      </c>
      <c r="R1084" s="74"/>
      <c r="S1084" s="72" t="s">
        <v>6</v>
      </c>
      <c r="T1084" s="80" t="s">
        <v>4</v>
      </c>
      <c r="U1084" s="72" t="s">
        <v>29</v>
      </c>
      <c r="V1084" s="72" t="s">
        <v>1918</v>
      </c>
      <c r="W1084" s="72" t="s">
        <v>1919</v>
      </c>
      <c r="X1084" s="72" t="s">
        <v>2822</v>
      </c>
      <c r="Y1084" s="72" t="s">
        <v>4</v>
      </c>
      <c r="Z1084" s="72" t="s">
        <v>2056</v>
      </c>
      <c r="AA1084" s="146" t="s">
        <v>2822</v>
      </c>
    </row>
    <row r="1085" spans="1:27" ht="18.600000000000001" customHeight="1">
      <c r="A1085" s="139" t="str">
        <f>IF(priority(Main[[#This Row],[Comments]])&lt;&gt;0, priority(Main[[#This Row],[Comments]]),"")</f>
        <v/>
      </c>
      <c r="B1085" s="89" t="s">
        <v>3650</v>
      </c>
      <c r="C1085" s="72" t="s">
        <v>3651</v>
      </c>
      <c r="D1085" s="73" t="s">
        <v>3652</v>
      </c>
      <c r="E1085" s="74"/>
      <c r="F1085" s="74">
        <v>41044</v>
      </c>
      <c r="G1085" s="75" t="str">
        <f>IF(stdProdLT(Main[[#This Row],[Comments]])=0.1,"N/A",IF(stdProdLT(Main[[#This Row],[Comments]])=0,"",stdProdLT(Main[[#This Row],[Comments]])))</f>
        <v/>
      </c>
      <c r="H1085" s="76" t="str">
        <f>IF(AND(Main[[#This Row],[In Stock Date]]&lt;&gt;"",Main[[#This Row],[Revised Due Date]]&lt;&gt;""),Main[[#This Row],[In Stock Date]]-Main[[#This Row],[Revised Due Date]],"")</f>
        <v/>
      </c>
      <c r="I1085" s="72" t="s">
        <v>4</v>
      </c>
      <c r="J1085" s="72" t="s">
        <v>4</v>
      </c>
      <c r="K1085" s="81" t="s">
        <v>4</v>
      </c>
      <c r="L1085" s="74"/>
      <c r="M1085" s="77" t="str">
        <f>IF(Main[[#This Row],[Tech Start Date]]&lt;1/1/1990,"",IF(Main[[#This Row],[Class]]="C",WORKDAY(Main[[#This Row],[Tech Start Date]],9),IF(Main[[#This Row],[Class]]="B", WORKDAY(Main[[#This Row],[Tech Start Date]],6),IF(Main[[#This Row],[Class]]="A",WORKDAY(Main[[#This Row],[Tech Start Date]],2),""))))</f>
        <v/>
      </c>
      <c r="N1085" s="77" t="str">
        <f>IF(Main[[#This Row],[Tech Start Date]]&lt;1/1/1990,"",IF(Main[[#This Row],[Class]]="C",WORKDAY(Main[[#This Row],[Tech Start Date]],19),IF(Main[[#This Row],[Class]]="B", WORKDAY(Main[[#This Row],[Tech Start Date]],12),IF(Main[[#This Row],[Class]]="A",WORKDAY(Main[[#This Row],[Tech Start Date]],4),""))))</f>
        <v/>
      </c>
      <c r="O1085" s="77" t="str">
        <f>IF(Main[[#This Row],[Tech Start Date]]&lt;1/1/1990,"",IF(Main[[#This Row],[Class]]="C",WORKDAY(Main[[#This Row],[Tech Start Date]],23),IF(Main[[#This Row],[Class]]="B", WORKDAY(Main[[#This Row],[Tech Start Date]],15),IF(Main[[#This Row],[Class]]="A",WORKDAY(Main[[#This Row],[Tech Start Date]],5),""))))</f>
        <v/>
      </c>
      <c r="P1085" s="77" t="str">
        <f>IF(Main[[#This Row],[Tech Start Date]]&lt;1/1/1990,"",IF(Main[[#This Row],[Class]]="C",WORKDAY(Main[[#This Row],[Tech Start Date]],28),IF(Main[[#This Row],[Class]]="B", WORKDAY(Main[[#This Row],[Tech Start Date]],19),IF(Main[[#This Row],[Class]]="A",WORKDAY(Main[[#This Row],[Tech Start Date]],9),""))))</f>
        <v/>
      </c>
      <c r="Q1085" s="74">
        <v>40904</v>
      </c>
      <c r="R1085" s="74"/>
      <c r="S1085" s="72" t="s">
        <v>11</v>
      </c>
      <c r="T1085" s="80" t="s">
        <v>4</v>
      </c>
      <c r="U1085" s="72" t="s">
        <v>12</v>
      </c>
      <c r="V1085" s="72" t="s">
        <v>1917</v>
      </c>
      <c r="W1085" s="72" t="s">
        <v>1925</v>
      </c>
      <c r="X1085" s="72" t="s">
        <v>2849</v>
      </c>
      <c r="Y1085" s="72" t="s">
        <v>4</v>
      </c>
      <c r="Z1085" s="72" t="s">
        <v>4</v>
      </c>
      <c r="AA1085" s="146" t="s">
        <v>2849</v>
      </c>
    </row>
    <row r="1086" spans="1:27" ht="18.600000000000001" customHeight="1">
      <c r="A1086" s="139" t="str">
        <f>IF(priority(Main[[#This Row],[Comments]])&lt;&gt;0, priority(Main[[#This Row],[Comments]]),"")</f>
        <v/>
      </c>
      <c r="B1086" s="89" t="s">
        <v>2444</v>
      </c>
      <c r="C1086" s="72" t="s">
        <v>4</v>
      </c>
      <c r="D1086" s="73" t="s">
        <v>2445</v>
      </c>
      <c r="E1086" s="74">
        <v>40820.810810185183</v>
      </c>
      <c r="F1086" s="74"/>
      <c r="G1086" s="75" t="str">
        <f>IF(stdProdLT(Main[[#This Row],[Comments]])=0.1,"N/A",IF(stdProdLT(Main[[#This Row],[Comments]])=0,"",stdProdLT(Main[[#This Row],[Comments]])))</f>
        <v/>
      </c>
      <c r="H1086" s="76" t="str">
        <f>IF(AND(Main[[#This Row],[In Stock Date]]&lt;&gt;"",Main[[#This Row],[Revised Due Date]]&lt;&gt;""),Main[[#This Row],[In Stock Date]]-Main[[#This Row],[Revised Due Date]],"")</f>
        <v/>
      </c>
      <c r="I1086" s="72" t="s">
        <v>429</v>
      </c>
      <c r="J1086" s="72" t="s">
        <v>1981</v>
      </c>
      <c r="K1086" s="72" t="s">
        <v>1926</v>
      </c>
      <c r="L1086" s="74"/>
      <c r="M1086" s="77" t="str">
        <f>IF(Main[[#This Row],[Tech Start Date]]&lt;1/1/1990,"",IF(Main[[#This Row],[Class]]="C",WORKDAY(Main[[#This Row],[Tech Start Date]],9),IF(Main[[#This Row],[Class]]="B", WORKDAY(Main[[#This Row],[Tech Start Date]],6),IF(Main[[#This Row],[Class]]="A",WORKDAY(Main[[#This Row],[Tech Start Date]],2),""))))</f>
        <v/>
      </c>
      <c r="N1086" s="77" t="str">
        <f>IF(Main[[#This Row],[Tech Start Date]]&lt;1/1/1990,"",IF(Main[[#This Row],[Class]]="C",WORKDAY(Main[[#This Row],[Tech Start Date]],19),IF(Main[[#This Row],[Class]]="B", WORKDAY(Main[[#This Row],[Tech Start Date]],12),IF(Main[[#This Row],[Class]]="A",WORKDAY(Main[[#This Row],[Tech Start Date]],4),""))))</f>
        <v/>
      </c>
      <c r="O1086" s="77" t="str">
        <f>IF(Main[[#This Row],[Tech Start Date]]&lt;1/1/1990,"",IF(Main[[#This Row],[Class]]="C",WORKDAY(Main[[#This Row],[Tech Start Date]],23),IF(Main[[#This Row],[Class]]="B", WORKDAY(Main[[#This Row],[Tech Start Date]],15),IF(Main[[#This Row],[Class]]="A",WORKDAY(Main[[#This Row],[Tech Start Date]],5),""))))</f>
        <v/>
      </c>
      <c r="P1086" s="77" t="str">
        <f>IF(Main[[#This Row],[Tech Start Date]]&lt;1/1/1990,"",IF(Main[[#This Row],[Class]]="C",WORKDAY(Main[[#This Row],[Tech Start Date]],28),IF(Main[[#This Row],[Class]]="B", WORKDAY(Main[[#This Row],[Tech Start Date]],19),IF(Main[[#This Row],[Class]]="A",WORKDAY(Main[[#This Row],[Tech Start Date]],9),""))))</f>
        <v/>
      </c>
      <c r="Q1086" s="74">
        <v>40847</v>
      </c>
      <c r="R1086" s="74"/>
      <c r="S1086" s="72" t="s">
        <v>6</v>
      </c>
      <c r="T1086" s="80" t="s">
        <v>4</v>
      </c>
      <c r="U1086" s="72" t="s">
        <v>29</v>
      </c>
      <c r="V1086" s="72" t="s">
        <v>1920</v>
      </c>
      <c r="W1086" s="72" t="s">
        <v>1921</v>
      </c>
      <c r="X1086" s="72" t="s">
        <v>30</v>
      </c>
      <c r="Y1086" s="72" t="s">
        <v>2946</v>
      </c>
      <c r="Z1086" s="72" t="s">
        <v>30</v>
      </c>
      <c r="AA1086" s="146" t="s">
        <v>30</v>
      </c>
    </row>
    <row r="1087" spans="1:27" ht="18.600000000000001" customHeight="1">
      <c r="A1087" s="139" t="str">
        <f>IF(priority(Main[[#This Row],[Comments]])&lt;&gt;0, priority(Main[[#This Row],[Comments]]),"")</f>
        <v/>
      </c>
      <c r="B1087" s="89" t="s">
        <v>2446</v>
      </c>
      <c r="C1087" s="72" t="s">
        <v>4</v>
      </c>
      <c r="D1087" s="73" t="s">
        <v>2447</v>
      </c>
      <c r="E1087" s="74">
        <v>40834.538703703707</v>
      </c>
      <c r="F1087" s="74"/>
      <c r="G1087" s="75" t="str">
        <f>IF(stdProdLT(Main[[#This Row],[Comments]])=0.1,"N/A",IF(stdProdLT(Main[[#This Row],[Comments]])=0,"",stdProdLT(Main[[#This Row],[Comments]])))</f>
        <v/>
      </c>
      <c r="H1087" s="76" t="str">
        <f>IF(AND(Main[[#This Row],[In Stock Date]]&lt;&gt;"",Main[[#This Row],[Revised Due Date]]&lt;&gt;""),Main[[#This Row],[In Stock Date]]-Main[[#This Row],[Revised Due Date]],"")</f>
        <v/>
      </c>
      <c r="I1087" s="72" t="s">
        <v>4</v>
      </c>
      <c r="J1087" s="72" t="s">
        <v>4</v>
      </c>
      <c r="K1087" s="72" t="s">
        <v>4</v>
      </c>
      <c r="L1087" s="74"/>
      <c r="M1087" s="77" t="str">
        <f>IF(Main[[#This Row],[Tech Start Date]]&lt;1/1/1990,"",IF(Main[[#This Row],[Class]]="C",WORKDAY(Main[[#This Row],[Tech Start Date]],9),IF(Main[[#This Row],[Class]]="B", WORKDAY(Main[[#This Row],[Tech Start Date]],6),IF(Main[[#This Row],[Class]]="A",WORKDAY(Main[[#This Row],[Tech Start Date]],2),""))))</f>
        <v/>
      </c>
      <c r="N1087" s="77" t="str">
        <f>IF(Main[[#This Row],[Tech Start Date]]&lt;1/1/1990,"",IF(Main[[#This Row],[Class]]="C",WORKDAY(Main[[#This Row],[Tech Start Date]],19),IF(Main[[#This Row],[Class]]="B", WORKDAY(Main[[#This Row],[Tech Start Date]],12),IF(Main[[#This Row],[Class]]="A",WORKDAY(Main[[#This Row],[Tech Start Date]],4),""))))</f>
        <v/>
      </c>
      <c r="O1087" s="77" t="str">
        <f>IF(Main[[#This Row],[Tech Start Date]]&lt;1/1/1990,"",IF(Main[[#This Row],[Class]]="C",WORKDAY(Main[[#This Row],[Tech Start Date]],23),IF(Main[[#This Row],[Class]]="B", WORKDAY(Main[[#This Row],[Tech Start Date]],15),IF(Main[[#This Row],[Class]]="A",WORKDAY(Main[[#This Row],[Tech Start Date]],5),""))))</f>
        <v/>
      </c>
      <c r="P1087" s="77" t="str">
        <f>IF(Main[[#This Row],[Tech Start Date]]&lt;1/1/1990,"",IF(Main[[#This Row],[Class]]="C",WORKDAY(Main[[#This Row],[Tech Start Date]],28),IF(Main[[#This Row],[Class]]="B", WORKDAY(Main[[#This Row],[Tech Start Date]],19),IF(Main[[#This Row],[Class]]="A",WORKDAY(Main[[#This Row],[Tech Start Date]],9),""))))</f>
        <v/>
      </c>
      <c r="Q1087" s="74"/>
      <c r="R1087" s="74"/>
      <c r="S1087" s="72" t="s">
        <v>6</v>
      </c>
      <c r="T1087" s="80" t="s">
        <v>4</v>
      </c>
      <c r="U1087" s="72" t="s">
        <v>29</v>
      </c>
      <c r="V1087" s="72" t="s">
        <v>1917</v>
      </c>
      <c r="W1087" s="72" t="s">
        <v>1919</v>
      </c>
      <c r="X1087" s="72" t="s">
        <v>306</v>
      </c>
      <c r="Y1087" s="72" t="s">
        <v>4</v>
      </c>
      <c r="Z1087" s="72" t="s">
        <v>4</v>
      </c>
      <c r="AA1087" s="146" t="s">
        <v>4</v>
      </c>
    </row>
    <row r="1088" spans="1:27" ht="18.600000000000001" customHeight="1">
      <c r="A1088" s="139" t="str">
        <f>IF(priority(Main[[#This Row],[Comments]])&lt;&gt;0, priority(Main[[#This Row],[Comments]]),"")</f>
        <v/>
      </c>
      <c r="B1088" s="89" t="s">
        <v>2449</v>
      </c>
      <c r="C1088" s="72" t="s">
        <v>2357</v>
      </c>
      <c r="D1088" s="73" t="s">
        <v>2450</v>
      </c>
      <c r="E1088" s="74"/>
      <c r="F1088" s="74">
        <v>40940</v>
      </c>
      <c r="G1088" s="75" t="str">
        <f>IF(stdProdLT(Main[[#This Row],[Comments]])=0.1,"N/A",IF(stdProdLT(Main[[#This Row],[Comments]])=0,"",stdProdLT(Main[[#This Row],[Comments]])))</f>
        <v/>
      </c>
      <c r="H1088" s="76" t="str">
        <f>IF(AND(Main[[#This Row],[In Stock Date]]&lt;&gt;"",Main[[#This Row],[Revised Due Date]]&lt;&gt;""),Main[[#This Row],[In Stock Date]]-Main[[#This Row],[Revised Due Date]],"")</f>
        <v/>
      </c>
      <c r="I1088" s="72" t="s">
        <v>4</v>
      </c>
      <c r="J1088" s="72" t="s">
        <v>4</v>
      </c>
      <c r="K1088" s="72" t="s">
        <v>4</v>
      </c>
      <c r="L1088" s="74"/>
      <c r="M1088" s="77" t="str">
        <f>IF(Main[[#This Row],[Tech Start Date]]&lt;1/1/1990,"",IF(Main[[#This Row],[Class]]="C",WORKDAY(Main[[#This Row],[Tech Start Date]],9),IF(Main[[#This Row],[Class]]="B", WORKDAY(Main[[#This Row],[Tech Start Date]],6),IF(Main[[#This Row],[Class]]="A",WORKDAY(Main[[#This Row],[Tech Start Date]],2),""))))</f>
        <v/>
      </c>
      <c r="N1088" s="77" t="str">
        <f>IF(Main[[#This Row],[Tech Start Date]]&lt;1/1/1990,"",IF(Main[[#This Row],[Class]]="C",WORKDAY(Main[[#This Row],[Tech Start Date]],19),IF(Main[[#This Row],[Class]]="B", WORKDAY(Main[[#This Row],[Tech Start Date]],12),IF(Main[[#This Row],[Class]]="A",WORKDAY(Main[[#This Row],[Tech Start Date]],4),""))))</f>
        <v/>
      </c>
      <c r="O1088" s="77" t="str">
        <f>IF(Main[[#This Row],[Tech Start Date]]&lt;1/1/1990,"",IF(Main[[#This Row],[Class]]="C",WORKDAY(Main[[#This Row],[Tech Start Date]],23),IF(Main[[#This Row],[Class]]="B", WORKDAY(Main[[#This Row],[Tech Start Date]],15),IF(Main[[#This Row],[Class]]="A",WORKDAY(Main[[#This Row],[Tech Start Date]],5),""))))</f>
        <v/>
      </c>
      <c r="P1088" s="77" t="str">
        <f>IF(Main[[#This Row],[Tech Start Date]]&lt;1/1/1990,"",IF(Main[[#This Row],[Class]]="C",WORKDAY(Main[[#This Row],[Tech Start Date]],28),IF(Main[[#This Row],[Class]]="B", WORKDAY(Main[[#This Row],[Tech Start Date]],19),IF(Main[[#This Row],[Class]]="A",WORKDAY(Main[[#This Row],[Tech Start Date]],9),""))))</f>
        <v/>
      </c>
      <c r="Q1088" s="74">
        <v>40878</v>
      </c>
      <c r="R1088" s="74"/>
      <c r="S1088" s="72" t="s">
        <v>11</v>
      </c>
      <c r="T1088" s="80" t="s">
        <v>4</v>
      </c>
      <c r="U1088" s="72" t="s">
        <v>14</v>
      </c>
      <c r="V1088" s="72" t="s">
        <v>1927</v>
      </c>
      <c r="W1088" s="72" t="s">
        <v>1925</v>
      </c>
      <c r="X1088" s="72" t="s">
        <v>2854</v>
      </c>
      <c r="Y1088" s="72" t="s">
        <v>2985</v>
      </c>
      <c r="Z1088" s="72" t="s">
        <v>4</v>
      </c>
      <c r="AA1088" s="146" t="s">
        <v>2854</v>
      </c>
    </row>
    <row r="1089" spans="1:27" ht="18.600000000000001" customHeight="1">
      <c r="A1089" s="139" t="str">
        <f>IF(priority(Main[[#This Row],[Comments]])&lt;&gt;0, priority(Main[[#This Row],[Comments]]),"")</f>
        <v/>
      </c>
      <c r="B1089" s="89" t="s">
        <v>1988</v>
      </c>
      <c r="C1089" s="72" t="s">
        <v>4</v>
      </c>
      <c r="D1089" s="73" t="s">
        <v>2452</v>
      </c>
      <c r="E1089" s="74">
        <v>40737.702951388892</v>
      </c>
      <c r="F1089" s="74">
        <v>40755</v>
      </c>
      <c r="G1089" s="75" t="str">
        <f>IF(stdProdLT(Main[[#This Row],[Comments]])=0.1,"N/A",IF(stdProdLT(Main[[#This Row],[Comments]])=0,"",stdProdLT(Main[[#This Row],[Comments]])))</f>
        <v/>
      </c>
      <c r="H1089" s="76" t="str">
        <f>IF(AND(Main[[#This Row],[In Stock Date]]&lt;&gt;"",Main[[#This Row],[Revised Due Date]]&lt;&gt;""),Main[[#This Row],[In Stock Date]]-Main[[#This Row],[Revised Due Date]],"")</f>
        <v/>
      </c>
      <c r="I1089" s="72" t="s">
        <v>530</v>
      </c>
      <c r="J1089" s="72" t="s">
        <v>21</v>
      </c>
      <c r="K1089" s="81" t="s">
        <v>1926</v>
      </c>
      <c r="L1089" s="74"/>
      <c r="M1089" s="77" t="str">
        <f>IF(Main[[#This Row],[Tech Start Date]]&lt;1/1/1990,"",IF(Main[[#This Row],[Class]]="C",WORKDAY(Main[[#This Row],[Tech Start Date]],9),IF(Main[[#This Row],[Class]]="B", WORKDAY(Main[[#This Row],[Tech Start Date]],6),IF(Main[[#This Row],[Class]]="A",WORKDAY(Main[[#This Row],[Tech Start Date]],2),""))))</f>
        <v/>
      </c>
      <c r="N1089" s="77" t="str">
        <f>IF(Main[[#This Row],[Tech Start Date]]&lt;1/1/1990,"",IF(Main[[#This Row],[Class]]="C",WORKDAY(Main[[#This Row],[Tech Start Date]],19),IF(Main[[#This Row],[Class]]="B", WORKDAY(Main[[#This Row],[Tech Start Date]],12),IF(Main[[#This Row],[Class]]="A",WORKDAY(Main[[#This Row],[Tech Start Date]],4),""))))</f>
        <v/>
      </c>
      <c r="O1089" s="77" t="str">
        <f>IF(Main[[#This Row],[Tech Start Date]]&lt;1/1/1990,"",IF(Main[[#This Row],[Class]]="C",WORKDAY(Main[[#This Row],[Tech Start Date]],23),IF(Main[[#This Row],[Class]]="B", WORKDAY(Main[[#This Row],[Tech Start Date]],15),IF(Main[[#This Row],[Class]]="A",WORKDAY(Main[[#This Row],[Tech Start Date]],5),""))))</f>
        <v/>
      </c>
      <c r="P1089" s="77" t="str">
        <f>IF(Main[[#This Row],[Tech Start Date]]&lt;1/1/1990,"",IF(Main[[#This Row],[Class]]="C",WORKDAY(Main[[#This Row],[Tech Start Date]],28),IF(Main[[#This Row],[Class]]="B", WORKDAY(Main[[#This Row],[Tech Start Date]],19),IF(Main[[#This Row],[Class]]="A",WORKDAY(Main[[#This Row],[Tech Start Date]],9),""))))</f>
        <v/>
      </c>
      <c r="Q1089" s="74">
        <v>40770</v>
      </c>
      <c r="R1089" s="74"/>
      <c r="S1089" s="72" t="s">
        <v>6</v>
      </c>
      <c r="T1089" s="80" t="s">
        <v>4</v>
      </c>
      <c r="U1089" s="72" t="s">
        <v>29</v>
      </c>
      <c r="V1089" s="72" t="s">
        <v>1927</v>
      </c>
      <c r="W1089" s="72" t="s">
        <v>1921</v>
      </c>
      <c r="X1089" s="72" t="s">
        <v>2847</v>
      </c>
      <c r="Y1089" s="72" t="s">
        <v>2977</v>
      </c>
      <c r="Z1089" s="72" t="s">
        <v>30</v>
      </c>
      <c r="AA1089" s="146" t="s">
        <v>2847</v>
      </c>
    </row>
    <row r="1090" spans="1:27" ht="18.600000000000001" customHeight="1">
      <c r="A1090" s="139" t="str">
        <f>IF(priority(Main[[#This Row],[Comments]])&lt;&gt;0, priority(Main[[#This Row],[Comments]]),"")</f>
        <v/>
      </c>
      <c r="B1090" s="89" t="s">
        <v>3747</v>
      </c>
      <c r="C1090" s="72" t="s">
        <v>3748</v>
      </c>
      <c r="D1090" s="73" t="s">
        <v>3749</v>
      </c>
      <c r="E1090" s="74">
        <v>40967.774861111109</v>
      </c>
      <c r="F1090" s="74"/>
      <c r="G1090" s="75">
        <f>IF(stdProdLT(Main[[#This Row],[Comments]])=0.1,"N/A",IF(stdProdLT(Main[[#This Row],[Comments]])=0,"",stdProdLT(Main[[#This Row],[Comments]])))</f>
        <v>126</v>
      </c>
      <c r="H1090" s="76" t="str">
        <f>IF(AND(Main[[#This Row],[In Stock Date]]&lt;&gt;"",Main[[#This Row],[Revised Due Date]]&lt;&gt;""),Main[[#This Row],[In Stock Date]]-Main[[#This Row],[Revised Due Date]],"")</f>
        <v/>
      </c>
      <c r="I1090" s="72" t="s">
        <v>4</v>
      </c>
      <c r="J1090" s="72" t="s">
        <v>4</v>
      </c>
      <c r="K1090" s="72" t="s">
        <v>4</v>
      </c>
      <c r="L1090" s="74"/>
      <c r="M1090" s="77" t="str">
        <f>IF(Main[[#This Row],[Tech Start Date]]&lt;1/1/1990,"",IF(Main[[#This Row],[Class]]="C",WORKDAY(Main[[#This Row],[Tech Start Date]],9),IF(Main[[#This Row],[Class]]="B", WORKDAY(Main[[#This Row],[Tech Start Date]],6),IF(Main[[#This Row],[Class]]="A",WORKDAY(Main[[#This Row],[Tech Start Date]],2),""))))</f>
        <v/>
      </c>
      <c r="N1090" s="77" t="str">
        <f>IF(Main[[#This Row],[Tech Start Date]]&lt;1/1/1990,"",IF(Main[[#This Row],[Class]]="C",WORKDAY(Main[[#This Row],[Tech Start Date]],19),IF(Main[[#This Row],[Class]]="B", WORKDAY(Main[[#This Row],[Tech Start Date]],12),IF(Main[[#This Row],[Class]]="A",WORKDAY(Main[[#This Row],[Tech Start Date]],4),""))))</f>
        <v/>
      </c>
      <c r="O1090" s="77" t="str">
        <f>IF(Main[[#This Row],[Tech Start Date]]&lt;1/1/1990,"",IF(Main[[#This Row],[Class]]="C",WORKDAY(Main[[#This Row],[Tech Start Date]],23),IF(Main[[#This Row],[Class]]="B", WORKDAY(Main[[#This Row],[Tech Start Date]],15),IF(Main[[#This Row],[Class]]="A",WORKDAY(Main[[#This Row],[Tech Start Date]],5),""))))</f>
        <v/>
      </c>
      <c r="P1090" s="77" t="str">
        <f>IF(Main[[#This Row],[Tech Start Date]]&lt;1/1/1990,"",IF(Main[[#This Row],[Class]]="C",WORKDAY(Main[[#This Row],[Tech Start Date]],28),IF(Main[[#This Row],[Class]]="B", WORKDAY(Main[[#This Row],[Tech Start Date]],19),IF(Main[[#This Row],[Class]]="A",WORKDAY(Main[[#This Row],[Tech Start Date]],9),""))))</f>
        <v/>
      </c>
      <c r="Q1090" s="74"/>
      <c r="R1090" s="74"/>
      <c r="S1090" s="72" t="s">
        <v>11</v>
      </c>
      <c r="T1090" s="80" t="s">
        <v>3750</v>
      </c>
      <c r="U1090" s="72" t="s">
        <v>7</v>
      </c>
      <c r="V1090" s="72" t="s">
        <v>1920</v>
      </c>
      <c r="W1090" s="72" t="s">
        <v>1925</v>
      </c>
      <c r="X1090" s="72" t="s">
        <v>50</v>
      </c>
      <c r="Y1090" s="72" t="s">
        <v>3751</v>
      </c>
      <c r="Z1090" s="72" t="s">
        <v>4</v>
      </c>
      <c r="AA1090" s="146" t="s">
        <v>3475</v>
      </c>
    </row>
    <row r="1091" spans="1:27" ht="18.600000000000001" customHeight="1">
      <c r="A1091" s="139" t="str">
        <f>IF(priority(Main[[#This Row],[Comments]])&lt;&gt;0, priority(Main[[#This Row],[Comments]]),"")</f>
        <v/>
      </c>
      <c r="B1091" s="89" t="s">
        <v>2120</v>
      </c>
      <c r="C1091" s="72" t="s">
        <v>4</v>
      </c>
      <c r="D1091" s="73" t="s">
        <v>3523</v>
      </c>
      <c r="E1091" s="74">
        <v>40780.253831018519</v>
      </c>
      <c r="F1091" s="74"/>
      <c r="G1091" s="75" t="str">
        <f>IF(stdProdLT(Main[[#This Row],[Comments]])=0.1,"N/A",IF(stdProdLT(Main[[#This Row],[Comments]])=0,"",stdProdLT(Main[[#This Row],[Comments]])))</f>
        <v/>
      </c>
      <c r="H1091" s="76" t="str">
        <f>IF(AND(Main[[#This Row],[In Stock Date]]&lt;&gt;"",Main[[#This Row],[Revised Due Date]]&lt;&gt;""),Main[[#This Row],[In Stock Date]]-Main[[#This Row],[Revised Due Date]],"")</f>
        <v/>
      </c>
      <c r="I1091" s="72" t="s">
        <v>2054</v>
      </c>
      <c r="J1091" s="72" t="s">
        <v>52</v>
      </c>
      <c r="K1091" s="72" t="s">
        <v>1926</v>
      </c>
      <c r="L1091" s="74"/>
      <c r="M1091" s="77" t="str">
        <f>IF(Main[[#This Row],[Tech Start Date]]&lt;1/1/1990,"",IF(Main[[#This Row],[Class]]="C",WORKDAY(Main[[#This Row],[Tech Start Date]],9),IF(Main[[#This Row],[Class]]="B", WORKDAY(Main[[#This Row],[Tech Start Date]],6),IF(Main[[#This Row],[Class]]="A",WORKDAY(Main[[#This Row],[Tech Start Date]],2),""))))</f>
        <v/>
      </c>
      <c r="N1091" s="77" t="str">
        <f>IF(Main[[#This Row],[Tech Start Date]]&lt;1/1/1990,"",IF(Main[[#This Row],[Class]]="C",WORKDAY(Main[[#This Row],[Tech Start Date]],19),IF(Main[[#This Row],[Class]]="B", WORKDAY(Main[[#This Row],[Tech Start Date]],12),IF(Main[[#This Row],[Class]]="A",WORKDAY(Main[[#This Row],[Tech Start Date]],4),""))))</f>
        <v/>
      </c>
      <c r="O1091" s="77" t="str">
        <f>IF(Main[[#This Row],[Tech Start Date]]&lt;1/1/1990,"",IF(Main[[#This Row],[Class]]="C",WORKDAY(Main[[#This Row],[Tech Start Date]],23),IF(Main[[#This Row],[Class]]="B", WORKDAY(Main[[#This Row],[Tech Start Date]],15),IF(Main[[#This Row],[Class]]="A",WORKDAY(Main[[#This Row],[Tech Start Date]],5),""))))</f>
        <v/>
      </c>
      <c r="P1091" s="77" t="str">
        <f>IF(Main[[#This Row],[Tech Start Date]]&lt;1/1/1990,"",IF(Main[[#This Row],[Class]]="C",WORKDAY(Main[[#This Row],[Tech Start Date]],28),IF(Main[[#This Row],[Class]]="B", WORKDAY(Main[[#This Row],[Tech Start Date]],19),IF(Main[[#This Row],[Class]]="A",WORKDAY(Main[[#This Row],[Tech Start Date]],9),""))))</f>
        <v/>
      </c>
      <c r="Q1091" s="74">
        <v>40800</v>
      </c>
      <c r="R1091" s="74"/>
      <c r="S1091" s="72" t="s">
        <v>6</v>
      </c>
      <c r="T1091" s="80" t="s">
        <v>4</v>
      </c>
      <c r="U1091" s="72" t="s">
        <v>29</v>
      </c>
      <c r="V1091" s="72" t="s">
        <v>1920</v>
      </c>
      <c r="W1091" s="72" t="s">
        <v>1921</v>
      </c>
      <c r="X1091" s="72" t="s">
        <v>2828</v>
      </c>
      <c r="Y1091" s="72" t="s">
        <v>2944</v>
      </c>
      <c r="Z1091" s="72" t="s">
        <v>30</v>
      </c>
      <c r="AA1091" s="146" t="s">
        <v>2828</v>
      </c>
    </row>
    <row r="1092" spans="1:27" ht="18.600000000000001" customHeight="1">
      <c r="A1092" s="139" t="str">
        <f>IF(priority(Main[[#This Row],[Comments]])&lt;&gt;0, priority(Main[[#This Row],[Comments]]),"")</f>
        <v/>
      </c>
      <c r="B1092" s="89" t="s">
        <v>3654</v>
      </c>
      <c r="C1092" s="72" t="s">
        <v>4</v>
      </c>
      <c r="D1092" s="73" t="s">
        <v>3655</v>
      </c>
      <c r="E1092" s="74">
        <v>40960.474270833336</v>
      </c>
      <c r="F1092" s="74"/>
      <c r="G1092" s="75" t="str">
        <f>IF(stdProdLT(Main[[#This Row],[Comments]])=0.1,"N/A",IF(stdProdLT(Main[[#This Row],[Comments]])=0,"",stdProdLT(Main[[#This Row],[Comments]])))</f>
        <v/>
      </c>
      <c r="H1092" s="76" t="str">
        <f>IF(AND(Main[[#This Row],[In Stock Date]]&lt;&gt;"",Main[[#This Row],[Revised Due Date]]&lt;&gt;""),Main[[#This Row],[In Stock Date]]-Main[[#This Row],[Revised Due Date]],"")</f>
        <v/>
      </c>
      <c r="I1092" s="72" t="s">
        <v>429</v>
      </c>
      <c r="J1092" s="72" t="s">
        <v>70</v>
      </c>
      <c r="K1092" s="72" t="s">
        <v>1926</v>
      </c>
      <c r="L1092" s="74"/>
      <c r="M1092" s="77" t="str">
        <f>IF(Main[[#This Row],[Tech Start Date]]&lt;1/1/1990,"",IF(Main[[#This Row],[Class]]="C",WORKDAY(Main[[#This Row],[Tech Start Date]],9),IF(Main[[#This Row],[Class]]="B", WORKDAY(Main[[#This Row],[Tech Start Date]],6),IF(Main[[#This Row],[Class]]="A",WORKDAY(Main[[#This Row],[Tech Start Date]],2),""))))</f>
        <v/>
      </c>
      <c r="N1092" s="77" t="str">
        <f>IF(Main[[#This Row],[Tech Start Date]]&lt;1/1/1990,"",IF(Main[[#This Row],[Class]]="C",WORKDAY(Main[[#This Row],[Tech Start Date]],19),IF(Main[[#This Row],[Class]]="B", WORKDAY(Main[[#This Row],[Tech Start Date]],12),IF(Main[[#This Row],[Class]]="A",WORKDAY(Main[[#This Row],[Tech Start Date]],4),""))))</f>
        <v/>
      </c>
      <c r="O1092" s="77" t="str">
        <f>IF(Main[[#This Row],[Tech Start Date]]&lt;1/1/1990,"",IF(Main[[#This Row],[Class]]="C",WORKDAY(Main[[#This Row],[Tech Start Date]],23),IF(Main[[#This Row],[Class]]="B", WORKDAY(Main[[#This Row],[Tech Start Date]],15),IF(Main[[#This Row],[Class]]="A",WORKDAY(Main[[#This Row],[Tech Start Date]],5),""))))</f>
        <v/>
      </c>
      <c r="P1092" s="77" t="str">
        <f>IF(Main[[#This Row],[Tech Start Date]]&lt;1/1/1990,"",IF(Main[[#This Row],[Class]]="C",WORKDAY(Main[[#This Row],[Tech Start Date]],28),IF(Main[[#This Row],[Class]]="B", WORKDAY(Main[[#This Row],[Tech Start Date]],19),IF(Main[[#This Row],[Class]]="A",WORKDAY(Main[[#This Row],[Tech Start Date]],9),""))))</f>
        <v/>
      </c>
      <c r="Q1092" s="74">
        <v>40974</v>
      </c>
      <c r="R1092" s="74"/>
      <c r="S1092" s="72" t="s">
        <v>6</v>
      </c>
      <c r="T1092" s="80" t="s">
        <v>4</v>
      </c>
      <c r="U1092" s="72" t="s">
        <v>29</v>
      </c>
      <c r="V1092" s="72" t="s">
        <v>1920</v>
      </c>
      <c r="W1092" s="72" t="s">
        <v>1921</v>
      </c>
      <c r="X1092" s="72" t="s">
        <v>2054</v>
      </c>
      <c r="Y1092" s="72" t="s">
        <v>4</v>
      </c>
      <c r="Z1092" s="72" t="s">
        <v>30</v>
      </c>
      <c r="AA1092" s="146" t="s">
        <v>3656</v>
      </c>
    </row>
    <row r="1093" spans="1:27" ht="18.600000000000001" customHeight="1">
      <c r="A1093" s="139" t="str">
        <f>IF(priority(Main[[#This Row],[Comments]])&lt;&gt;0, priority(Main[[#This Row],[Comments]]),"")</f>
        <v/>
      </c>
      <c r="B1093" s="89" t="s">
        <v>3653</v>
      </c>
      <c r="C1093" s="72" t="s">
        <v>3651</v>
      </c>
      <c r="D1093" s="73" t="s">
        <v>3652</v>
      </c>
      <c r="E1093" s="74"/>
      <c r="F1093" s="74">
        <v>41108</v>
      </c>
      <c r="G1093" s="75" t="str">
        <f>IF(stdProdLT(Main[[#This Row],[Comments]])=0.1,"N/A",IF(stdProdLT(Main[[#This Row],[Comments]])=0,"",stdProdLT(Main[[#This Row],[Comments]])))</f>
        <v/>
      </c>
      <c r="H1093" s="76" t="str">
        <f>IF(AND(Main[[#This Row],[In Stock Date]]&lt;&gt;"",Main[[#This Row],[Revised Due Date]]&lt;&gt;""),Main[[#This Row],[In Stock Date]]-Main[[#This Row],[Revised Due Date]],"")</f>
        <v/>
      </c>
      <c r="I1093" s="72" t="s">
        <v>4</v>
      </c>
      <c r="J1093" s="72" t="s">
        <v>4</v>
      </c>
      <c r="K1093" s="81" t="s">
        <v>4</v>
      </c>
      <c r="L1093" s="74"/>
      <c r="M1093" s="77" t="str">
        <f>IF(Main[[#This Row],[Tech Start Date]]&lt;1/1/1990,"",IF(Main[[#This Row],[Class]]="C",WORKDAY(Main[[#This Row],[Tech Start Date]],9),IF(Main[[#This Row],[Class]]="B", WORKDAY(Main[[#This Row],[Tech Start Date]],6),IF(Main[[#This Row],[Class]]="A",WORKDAY(Main[[#This Row],[Tech Start Date]],2),""))))</f>
        <v/>
      </c>
      <c r="N1093" s="77" t="str">
        <f>IF(Main[[#This Row],[Tech Start Date]]&lt;1/1/1990,"",IF(Main[[#This Row],[Class]]="C",WORKDAY(Main[[#This Row],[Tech Start Date]],19),IF(Main[[#This Row],[Class]]="B", WORKDAY(Main[[#This Row],[Tech Start Date]],12),IF(Main[[#This Row],[Class]]="A",WORKDAY(Main[[#This Row],[Tech Start Date]],4),""))))</f>
        <v/>
      </c>
      <c r="O1093" s="77" t="str">
        <f>IF(Main[[#This Row],[Tech Start Date]]&lt;1/1/1990,"",IF(Main[[#This Row],[Class]]="C",WORKDAY(Main[[#This Row],[Tech Start Date]],23),IF(Main[[#This Row],[Class]]="B", WORKDAY(Main[[#This Row],[Tech Start Date]],15),IF(Main[[#This Row],[Class]]="A",WORKDAY(Main[[#This Row],[Tech Start Date]],5),""))))</f>
        <v/>
      </c>
      <c r="P1093" s="77" t="str">
        <f>IF(Main[[#This Row],[Tech Start Date]]&lt;1/1/1990,"",IF(Main[[#This Row],[Class]]="C",WORKDAY(Main[[#This Row],[Tech Start Date]],28),IF(Main[[#This Row],[Class]]="B", WORKDAY(Main[[#This Row],[Tech Start Date]],19),IF(Main[[#This Row],[Class]]="A",WORKDAY(Main[[#This Row],[Tech Start Date]],9),""))))</f>
        <v/>
      </c>
      <c r="Q1093" s="74">
        <v>40968</v>
      </c>
      <c r="R1093" s="74"/>
      <c r="S1093" s="72" t="s">
        <v>11</v>
      </c>
      <c r="T1093" s="80" t="s">
        <v>4</v>
      </c>
      <c r="U1093" s="72" t="s">
        <v>12</v>
      </c>
      <c r="V1093" s="72" t="s">
        <v>1917</v>
      </c>
      <c r="W1093" s="72" t="s">
        <v>1925</v>
      </c>
      <c r="X1093" s="72" t="s">
        <v>2849</v>
      </c>
      <c r="Y1093" s="72" t="s">
        <v>4</v>
      </c>
      <c r="Z1093" s="72" t="s">
        <v>4</v>
      </c>
      <c r="AA1093" s="146" t="s">
        <v>2849</v>
      </c>
    </row>
    <row r="1094" spans="1:27" ht="18.600000000000001" customHeight="1">
      <c r="A1094" s="139" t="str">
        <f>IF(priority(Main[[#This Row],[Comments]])&lt;&gt;0, priority(Main[[#This Row],[Comments]]),"")</f>
        <v/>
      </c>
      <c r="B1094" s="89" t="s">
        <v>2762</v>
      </c>
      <c r="C1094" s="72" t="s">
        <v>4</v>
      </c>
      <c r="D1094" s="73" t="s">
        <v>2763</v>
      </c>
      <c r="E1094" s="74">
        <v>40911.432222222225</v>
      </c>
      <c r="F1094" s="74"/>
      <c r="G1094" s="75" t="str">
        <f>IF(stdProdLT(Main[[#This Row],[Comments]])=0.1,"N/A",IF(stdProdLT(Main[[#This Row],[Comments]])=0,"",stdProdLT(Main[[#This Row],[Comments]])))</f>
        <v/>
      </c>
      <c r="H1094" s="76" t="str">
        <f>IF(AND(Main[[#This Row],[In Stock Date]]&lt;&gt;"",Main[[#This Row],[Revised Due Date]]&lt;&gt;""),Main[[#This Row],[In Stock Date]]-Main[[#This Row],[Revised Due Date]],"")</f>
        <v/>
      </c>
      <c r="I1094" s="72" t="s">
        <v>939</v>
      </c>
      <c r="J1094" s="72" t="s">
        <v>52</v>
      </c>
      <c r="K1094" s="72" t="s">
        <v>1926</v>
      </c>
      <c r="L1094" s="74"/>
      <c r="M1094" s="77" t="str">
        <f>IF(Main[[#This Row],[Tech Start Date]]&lt;1/1/1990,"",IF(Main[[#This Row],[Class]]="C",WORKDAY(Main[[#This Row],[Tech Start Date]],9),IF(Main[[#This Row],[Class]]="B", WORKDAY(Main[[#This Row],[Tech Start Date]],6),IF(Main[[#This Row],[Class]]="A",WORKDAY(Main[[#This Row],[Tech Start Date]],2),""))))</f>
        <v/>
      </c>
      <c r="N1094" s="77" t="str">
        <f>IF(Main[[#This Row],[Tech Start Date]]&lt;1/1/1990,"",IF(Main[[#This Row],[Class]]="C",WORKDAY(Main[[#This Row],[Tech Start Date]],19),IF(Main[[#This Row],[Class]]="B", WORKDAY(Main[[#This Row],[Tech Start Date]],12),IF(Main[[#This Row],[Class]]="A",WORKDAY(Main[[#This Row],[Tech Start Date]],4),""))))</f>
        <v/>
      </c>
      <c r="O1094" s="77" t="str">
        <f>IF(Main[[#This Row],[Tech Start Date]]&lt;1/1/1990,"",IF(Main[[#This Row],[Class]]="C",WORKDAY(Main[[#This Row],[Tech Start Date]],23),IF(Main[[#This Row],[Class]]="B", WORKDAY(Main[[#This Row],[Tech Start Date]],15),IF(Main[[#This Row],[Class]]="A",WORKDAY(Main[[#This Row],[Tech Start Date]],5),""))))</f>
        <v/>
      </c>
      <c r="P1094" s="77" t="str">
        <f>IF(Main[[#This Row],[Tech Start Date]]&lt;1/1/1990,"",IF(Main[[#This Row],[Class]]="C",WORKDAY(Main[[#This Row],[Tech Start Date]],28),IF(Main[[#This Row],[Class]]="B", WORKDAY(Main[[#This Row],[Tech Start Date]],19),IF(Main[[#This Row],[Class]]="A",WORKDAY(Main[[#This Row],[Tech Start Date]],9),""))))</f>
        <v/>
      </c>
      <c r="Q1094" s="74"/>
      <c r="R1094" s="74"/>
      <c r="S1094" s="72" t="s">
        <v>6</v>
      </c>
      <c r="T1094" s="80" t="s">
        <v>4</v>
      </c>
      <c r="U1094" s="72" t="s">
        <v>29</v>
      </c>
      <c r="V1094" s="72" t="s">
        <v>1917</v>
      </c>
      <c r="W1094" s="72" t="s">
        <v>1921</v>
      </c>
      <c r="X1094" s="72" t="s">
        <v>2211</v>
      </c>
      <c r="Y1094" s="72" t="s">
        <v>3133</v>
      </c>
      <c r="Z1094" s="72" t="s">
        <v>914</v>
      </c>
      <c r="AA1094" s="146" t="s">
        <v>2211</v>
      </c>
    </row>
    <row r="1095" spans="1:27" ht="18.600000000000001" customHeight="1">
      <c r="A1095" s="139" t="str">
        <f>IF(priority(Main[[#This Row],[Comments]])&lt;&gt;0, priority(Main[[#This Row],[Comments]]),"")</f>
        <v/>
      </c>
      <c r="B1095" s="89" t="s">
        <v>2674</v>
      </c>
      <c r="C1095" s="72" t="s">
        <v>4</v>
      </c>
      <c r="D1095" s="73" t="s">
        <v>2675</v>
      </c>
      <c r="E1095" s="74">
        <v>40879.618761574071</v>
      </c>
      <c r="F1095" s="74"/>
      <c r="G1095" s="75" t="str">
        <f>IF(stdProdLT(Main[[#This Row],[Comments]])=0.1,"N/A",IF(stdProdLT(Main[[#This Row],[Comments]])=0,"",stdProdLT(Main[[#This Row],[Comments]])))</f>
        <v/>
      </c>
      <c r="H1095" s="76" t="str">
        <f>IF(AND(Main[[#This Row],[In Stock Date]]&lt;&gt;"",Main[[#This Row],[Revised Due Date]]&lt;&gt;""),Main[[#This Row],[In Stock Date]]-Main[[#This Row],[Revised Due Date]],"")</f>
        <v/>
      </c>
      <c r="I1095" s="72" t="s">
        <v>4</v>
      </c>
      <c r="J1095" s="72" t="s">
        <v>4</v>
      </c>
      <c r="K1095" s="81" t="s">
        <v>4</v>
      </c>
      <c r="L1095" s="74"/>
      <c r="M1095" s="77" t="str">
        <f>IF(Main[[#This Row],[Tech Start Date]]&lt;1/1/1990,"",IF(Main[[#This Row],[Class]]="C",WORKDAY(Main[[#This Row],[Tech Start Date]],9),IF(Main[[#This Row],[Class]]="B", WORKDAY(Main[[#This Row],[Tech Start Date]],6),IF(Main[[#This Row],[Class]]="A",WORKDAY(Main[[#This Row],[Tech Start Date]],2),""))))</f>
        <v/>
      </c>
      <c r="N1095" s="77" t="str">
        <f>IF(Main[[#This Row],[Tech Start Date]]&lt;1/1/1990,"",IF(Main[[#This Row],[Class]]="C",WORKDAY(Main[[#This Row],[Tech Start Date]],19),IF(Main[[#This Row],[Class]]="B", WORKDAY(Main[[#This Row],[Tech Start Date]],12),IF(Main[[#This Row],[Class]]="A",WORKDAY(Main[[#This Row],[Tech Start Date]],4),""))))</f>
        <v/>
      </c>
      <c r="O1095" s="77" t="str">
        <f>IF(Main[[#This Row],[Tech Start Date]]&lt;1/1/1990,"",IF(Main[[#This Row],[Class]]="C",WORKDAY(Main[[#This Row],[Tech Start Date]],23),IF(Main[[#This Row],[Class]]="B", WORKDAY(Main[[#This Row],[Tech Start Date]],15),IF(Main[[#This Row],[Class]]="A",WORKDAY(Main[[#This Row],[Tech Start Date]],5),""))))</f>
        <v/>
      </c>
      <c r="P1095" s="77" t="str">
        <f>IF(Main[[#This Row],[Tech Start Date]]&lt;1/1/1990,"",IF(Main[[#This Row],[Class]]="C",WORKDAY(Main[[#This Row],[Tech Start Date]],28),IF(Main[[#This Row],[Class]]="B", WORKDAY(Main[[#This Row],[Tech Start Date]],19),IF(Main[[#This Row],[Class]]="A",WORKDAY(Main[[#This Row],[Tech Start Date]],9),""))))</f>
        <v/>
      </c>
      <c r="Q1095" s="74"/>
      <c r="R1095" s="74"/>
      <c r="S1095" s="72" t="s">
        <v>17</v>
      </c>
      <c r="T1095" s="80" t="s">
        <v>4</v>
      </c>
      <c r="U1095" s="72" t="s">
        <v>7</v>
      </c>
      <c r="V1095" s="72" t="s">
        <v>1920</v>
      </c>
      <c r="W1095" s="72" t="s">
        <v>1922</v>
      </c>
      <c r="X1095" s="72" t="s">
        <v>554</v>
      </c>
      <c r="Y1095" s="72" t="s">
        <v>2958</v>
      </c>
      <c r="Z1095" s="72" t="s">
        <v>4</v>
      </c>
      <c r="AA1095" s="146" t="s">
        <v>554</v>
      </c>
    </row>
    <row r="1096" spans="1:27" ht="18.600000000000001" customHeight="1">
      <c r="A1096" s="139" t="str">
        <f>IF(priority(Main[[#This Row],[Comments]])&lt;&gt;0, priority(Main[[#This Row],[Comments]]),"")</f>
        <v/>
      </c>
      <c r="B1096" s="89" t="s">
        <v>1908</v>
      </c>
      <c r="C1096" s="72" t="s">
        <v>31</v>
      </c>
      <c r="D1096" s="73" t="s">
        <v>957</v>
      </c>
      <c r="E1096" s="74">
        <v>40528.412233796298</v>
      </c>
      <c r="F1096" s="74">
        <v>40634</v>
      </c>
      <c r="G1096" s="75" t="str">
        <f>IF(stdProdLT(Main[[#This Row],[Comments]])=0.1,"N/A",IF(stdProdLT(Main[[#This Row],[Comments]])=0,"",stdProdLT(Main[[#This Row],[Comments]])))</f>
        <v/>
      </c>
      <c r="H1096" s="76">
        <f>IF(AND(Main[[#This Row],[In Stock Date]]&lt;&gt;"",Main[[#This Row],[Revised Due Date]]&lt;&gt;""),Main[[#This Row],[In Stock Date]]-Main[[#This Row],[Revised Due Date]],"")</f>
        <v>-255</v>
      </c>
      <c r="I1096" s="72" t="s">
        <v>431</v>
      </c>
      <c r="J1096" s="72" t="s">
        <v>28</v>
      </c>
      <c r="K1096" s="81" t="s">
        <v>1929</v>
      </c>
      <c r="L1096" s="74"/>
      <c r="M1096" s="77" t="str">
        <f>IF(Main[[#This Row],[Tech Start Date]]&lt;1/1/1990,"",IF(Main[[#This Row],[Class]]="C",WORKDAY(Main[[#This Row],[Tech Start Date]],9),IF(Main[[#This Row],[Class]]="B", WORKDAY(Main[[#This Row],[Tech Start Date]],6),IF(Main[[#This Row],[Class]]="A",WORKDAY(Main[[#This Row],[Tech Start Date]],2),""))))</f>
        <v/>
      </c>
      <c r="N1096" s="77" t="str">
        <f>IF(Main[[#This Row],[Tech Start Date]]&lt;1/1/1990,"",IF(Main[[#This Row],[Class]]="C",WORKDAY(Main[[#This Row],[Tech Start Date]],19),IF(Main[[#This Row],[Class]]="B", WORKDAY(Main[[#This Row],[Tech Start Date]],12),IF(Main[[#This Row],[Class]]="A",WORKDAY(Main[[#This Row],[Tech Start Date]],4),""))))</f>
        <v/>
      </c>
      <c r="O1096" s="77" t="str">
        <f>IF(Main[[#This Row],[Tech Start Date]]&lt;1/1/1990,"",IF(Main[[#This Row],[Class]]="C",WORKDAY(Main[[#This Row],[Tech Start Date]],23),IF(Main[[#This Row],[Class]]="B", WORKDAY(Main[[#This Row],[Tech Start Date]],15),IF(Main[[#This Row],[Class]]="A",WORKDAY(Main[[#This Row],[Tech Start Date]],5),""))))</f>
        <v/>
      </c>
      <c r="P1096" s="77" t="str">
        <f>IF(Main[[#This Row],[Tech Start Date]]&lt;1/1/1990,"",IF(Main[[#This Row],[Class]]="C",WORKDAY(Main[[#This Row],[Tech Start Date]],28),IF(Main[[#This Row],[Class]]="B", WORKDAY(Main[[#This Row],[Tech Start Date]],19),IF(Main[[#This Row],[Class]]="A",WORKDAY(Main[[#This Row],[Tech Start Date]],9),""))))</f>
        <v/>
      </c>
      <c r="Q1096" s="74">
        <v>40634</v>
      </c>
      <c r="R1096" s="74">
        <v>40889</v>
      </c>
      <c r="S1096" s="72" t="s">
        <v>17</v>
      </c>
      <c r="T1096" s="80" t="s">
        <v>4</v>
      </c>
      <c r="U1096" s="72" t="s">
        <v>29</v>
      </c>
      <c r="V1096" s="72" t="s">
        <v>1920</v>
      </c>
      <c r="W1096" s="72" t="s">
        <v>1928</v>
      </c>
      <c r="X1096" s="72" t="s">
        <v>554</v>
      </c>
      <c r="Y1096" s="72" t="s">
        <v>3035</v>
      </c>
      <c r="Z1096" s="72" t="s">
        <v>415</v>
      </c>
      <c r="AA1096" s="146" t="s">
        <v>2898</v>
      </c>
    </row>
    <row r="1097" spans="1:27" ht="18.600000000000001" customHeight="1">
      <c r="A1097" s="139" t="str">
        <f>IF(priority(Main[[#This Row],[Comments]])&lt;&gt;0, priority(Main[[#This Row],[Comments]]),"")</f>
        <v/>
      </c>
      <c r="B1097" s="89" t="s">
        <v>2435</v>
      </c>
      <c r="C1097" s="72" t="s">
        <v>4</v>
      </c>
      <c r="D1097" s="73" t="s">
        <v>2436</v>
      </c>
      <c r="E1097" s="74">
        <v>40822.361354166664</v>
      </c>
      <c r="F1097" s="74"/>
      <c r="G1097" s="75" t="str">
        <f>IF(stdProdLT(Main[[#This Row],[Comments]])=0.1,"N/A",IF(stdProdLT(Main[[#This Row],[Comments]])=0,"",stdProdLT(Main[[#This Row],[Comments]])))</f>
        <v/>
      </c>
      <c r="H1097" s="76" t="str">
        <f>IF(AND(Main[[#This Row],[In Stock Date]]&lt;&gt;"",Main[[#This Row],[Revised Due Date]]&lt;&gt;""),Main[[#This Row],[In Stock Date]]-Main[[#This Row],[Revised Due Date]],"")</f>
        <v/>
      </c>
      <c r="I1097" s="72" t="s">
        <v>4</v>
      </c>
      <c r="J1097" s="72" t="s">
        <v>4</v>
      </c>
      <c r="K1097" s="72" t="s">
        <v>4</v>
      </c>
      <c r="L1097" s="74"/>
      <c r="M1097" s="77" t="str">
        <f>IF(Main[[#This Row],[Tech Start Date]]&lt;1/1/1990,"",IF(Main[[#This Row],[Class]]="C",WORKDAY(Main[[#This Row],[Tech Start Date]],9),IF(Main[[#This Row],[Class]]="B", WORKDAY(Main[[#This Row],[Tech Start Date]],6),IF(Main[[#This Row],[Class]]="A",WORKDAY(Main[[#This Row],[Tech Start Date]],2),""))))</f>
        <v/>
      </c>
      <c r="N1097" s="77" t="str">
        <f>IF(Main[[#This Row],[Tech Start Date]]&lt;1/1/1990,"",IF(Main[[#This Row],[Class]]="C",WORKDAY(Main[[#This Row],[Tech Start Date]],19),IF(Main[[#This Row],[Class]]="B", WORKDAY(Main[[#This Row],[Tech Start Date]],12),IF(Main[[#This Row],[Class]]="A",WORKDAY(Main[[#This Row],[Tech Start Date]],4),""))))</f>
        <v/>
      </c>
      <c r="O1097" s="77" t="str">
        <f>IF(Main[[#This Row],[Tech Start Date]]&lt;1/1/1990,"",IF(Main[[#This Row],[Class]]="C",WORKDAY(Main[[#This Row],[Tech Start Date]],23),IF(Main[[#This Row],[Class]]="B", WORKDAY(Main[[#This Row],[Tech Start Date]],15),IF(Main[[#This Row],[Class]]="A",WORKDAY(Main[[#This Row],[Tech Start Date]],5),""))))</f>
        <v/>
      </c>
      <c r="P1097" s="77" t="str">
        <f>IF(Main[[#This Row],[Tech Start Date]]&lt;1/1/1990,"",IF(Main[[#This Row],[Class]]="C",WORKDAY(Main[[#This Row],[Tech Start Date]],28),IF(Main[[#This Row],[Class]]="B", WORKDAY(Main[[#This Row],[Tech Start Date]],19),IF(Main[[#This Row],[Class]]="A",WORKDAY(Main[[#This Row],[Tech Start Date]],9),""))))</f>
        <v/>
      </c>
      <c r="Q1097" s="74">
        <v>40872</v>
      </c>
      <c r="R1097" s="74"/>
      <c r="S1097" s="72" t="s">
        <v>6</v>
      </c>
      <c r="T1097" s="80" t="s">
        <v>4</v>
      </c>
      <c r="U1097" s="72" t="s">
        <v>7</v>
      </c>
      <c r="V1097" s="72" t="s">
        <v>1917</v>
      </c>
      <c r="W1097" s="72" t="s">
        <v>4</v>
      </c>
      <c r="X1097" s="72" t="s">
        <v>2828</v>
      </c>
      <c r="Y1097" s="72" t="s">
        <v>2944</v>
      </c>
      <c r="Z1097" s="72" t="s">
        <v>4</v>
      </c>
      <c r="AA1097" s="146" t="s">
        <v>2828</v>
      </c>
    </row>
    <row r="1098" spans="1:27" ht="18.600000000000001" customHeight="1">
      <c r="A1098" s="139" t="str">
        <f>IF(priority(Main[[#This Row],[Comments]])&lt;&gt;0, priority(Main[[#This Row],[Comments]]),"")</f>
        <v/>
      </c>
      <c r="B1098" s="89" t="s">
        <v>1202</v>
      </c>
      <c r="C1098" s="72" t="s">
        <v>4</v>
      </c>
      <c r="D1098" s="73" t="s">
        <v>3316</v>
      </c>
      <c r="E1098" s="74"/>
      <c r="F1098" s="74"/>
      <c r="G1098" s="75" t="str">
        <f>IF(stdProdLT(Main[[#This Row],[Comments]])=0.1,"N/A",IF(stdProdLT(Main[[#This Row],[Comments]])=0,"",stdProdLT(Main[[#This Row],[Comments]])))</f>
        <v/>
      </c>
      <c r="H1098" s="76" t="str">
        <f>IF(AND(Main[[#This Row],[In Stock Date]]&lt;&gt;"",Main[[#This Row],[Revised Due Date]]&lt;&gt;""),Main[[#This Row],[In Stock Date]]-Main[[#This Row],[Revised Due Date]],"")</f>
        <v/>
      </c>
      <c r="I1098" s="72" t="s">
        <v>2054</v>
      </c>
      <c r="J1098" s="72" t="s">
        <v>28</v>
      </c>
      <c r="K1098" s="81" t="s">
        <v>1926</v>
      </c>
      <c r="L1098" s="74"/>
      <c r="M1098" s="77" t="str">
        <f>IF(Main[[#This Row],[Tech Start Date]]&lt;1/1/1990,"",IF(Main[[#This Row],[Class]]="C",WORKDAY(Main[[#This Row],[Tech Start Date]],9),IF(Main[[#This Row],[Class]]="B", WORKDAY(Main[[#This Row],[Tech Start Date]],6),IF(Main[[#This Row],[Class]]="A",WORKDAY(Main[[#This Row],[Tech Start Date]],2),""))))</f>
        <v/>
      </c>
      <c r="N1098" s="77" t="str">
        <f>IF(Main[[#This Row],[Tech Start Date]]&lt;1/1/1990,"",IF(Main[[#This Row],[Class]]="C",WORKDAY(Main[[#This Row],[Tech Start Date]],19),IF(Main[[#This Row],[Class]]="B", WORKDAY(Main[[#This Row],[Tech Start Date]],12),IF(Main[[#This Row],[Class]]="A",WORKDAY(Main[[#This Row],[Tech Start Date]],4),""))))</f>
        <v/>
      </c>
      <c r="O1098" s="77" t="str">
        <f>IF(Main[[#This Row],[Tech Start Date]]&lt;1/1/1990,"",IF(Main[[#This Row],[Class]]="C",WORKDAY(Main[[#This Row],[Tech Start Date]],23),IF(Main[[#This Row],[Class]]="B", WORKDAY(Main[[#This Row],[Tech Start Date]],15),IF(Main[[#This Row],[Class]]="A",WORKDAY(Main[[#This Row],[Tech Start Date]],5),""))))</f>
        <v/>
      </c>
      <c r="P1098" s="77" t="str">
        <f>IF(Main[[#This Row],[Tech Start Date]]&lt;1/1/1990,"",IF(Main[[#This Row],[Class]]="C",WORKDAY(Main[[#This Row],[Tech Start Date]],28),IF(Main[[#This Row],[Class]]="B", WORKDAY(Main[[#This Row],[Tech Start Date]],19),IF(Main[[#This Row],[Class]]="A",WORKDAY(Main[[#This Row],[Tech Start Date]],9),""))))</f>
        <v/>
      </c>
      <c r="Q1098" s="74"/>
      <c r="R1098" s="74"/>
      <c r="S1098" s="72" t="s">
        <v>6</v>
      </c>
      <c r="T1098" s="80" t="s">
        <v>4</v>
      </c>
      <c r="U1098" s="72" t="s">
        <v>14</v>
      </c>
      <c r="V1098" s="72" t="s">
        <v>1920</v>
      </c>
      <c r="W1098" s="72" t="s">
        <v>1921</v>
      </c>
      <c r="X1098" s="72" t="s">
        <v>2825</v>
      </c>
      <c r="Y1098" s="72" t="s">
        <v>2938</v>
      </c>
      <c r="Z1098" s="72" t="s">
        <v>30</v>
      </c>
      <c r="AA1098" s="146" t="s">
        <v>2825</v>
      </c>
    </row>
    <row r="1099" spans="1:27" ht="18.600000000000001" customHeight="1">
      <c r="A1099" s="139" t="str">
        <f>IF(priority(Main[[#This Row],[Comments]])&lt;&gt;0, priority(Main[[#This Row],[Comments]]),"")</f>
        <v/>
      </c>
      <c r="B1099" s="89" t="s">
        <v>2437</v>
      </c>
      <c r="C1099" s="72" t="s">
        <v>4</v>
      </c>
      <c r="D1099" s="73" t="s">
        <v>2438</v>
      </c>
      <c r="E1099" s="74">
        <v>40861.647233796299</v>
      </c>
      <c r="F1099" s="74"/>
      <c r="G1099" s="75" t="str">
        <f>IF(stdProdLT(Main[[#This Row],[Comments]])=0.1,"N/A",IF(stdProdLT(Main[[#This Row],[Comments]])=0,"",stdProdLT(Main[[#This Row],[Comments]])))</f>
        <v/>
      </c>
      <c r="H1099" s="76" t="str">
        <f>IF(AND(Main[[#This Row],[In Stock Date]]&lt;&gt;"",Main[[#This Row],[Revised Due Date]]&lt;&gt;""),Main[[#This Row],[In Stock Date]]-Main[[#This Row],[Revised Due Date]],"")</f>
        <v/>
      </c>
      <c r="I1099" s="72" t="s">
        <v>767</v>
      </c>
      <c r="J1099" s="72" t="s">
        <v>52</v>
      </c>
      <c r="K1099" s="72" t="s">
        <v>1926</v>
      </c>
      <c r="L1099" s="74"/>
      <c r="M1099" s="77" t="str">
        <f>IF(Main[[#This Row],[Tech Start Date]]&lt;1/1/1990,"",IF(Main[[#This Row],[Class]]="C",WORKDAY(Main[[#This Row],[Tech Start Date]],9),IF(Main[[#This Row],[Class]]="B", WORKDAY(Main[[#This Row],[Tech Start Date]],6),IF(Main[[#This Row],[Class]]="A",WORKDAY(Main[[#This Row],[Tech Start Date]],2),""))))</f>
        <v/>
      </c>
      <c r="N1099" s="77" t="str">
        <f>IF(Main[[#This Row],[Tech Start Date]]&lt;1/1/1990,"",IF(Main[[#This Row],[Class]]="C",WORKDAY(Main[[#This Row],[Tech Start Date]],19),IF(Main[[#This Row],[Class]]="B", WORKDAY(Main[[#This Row],[Tech Start Date]],12),IF(Main[[#This Row],[Class]]="A",WORKDAY(Main[[#This Row],[Tech Start Date]],4),""))))</f>
        <v/>
      </c>
      <c r="O1099" s="77" t="str">
        <f>IF(Main[[#This Row],[Tech Start Date]]&lt;1/1/1990,"",IF(Main[[#This Row],[Class]]="C",WORKDAY(Main[[#This Row],[Tech Start Date]],23),IF(Main[[#This Row],[Class]]="B", WORKDAY(Main[[#This Row],[Tech Start Date]],15),IF(Main[[#This Row],[Class]]="A",WORKDAY(Main[[#This Row],[Tech Start Date]],5),""))))</f>
        <v/>
      </c>
      <c r="P1099" s="77" t="str">
        <f>IF(Main[[#This Row],[Tech Start Date]]&lt;1/1/1990,"",IF(Main[[#This Row],[Class]]="C",WORKDAY(Main[[#This Row],[Tech Start Date]],28),IF(Main[[#This Row],[Class]]="B", WORKDAY(Main[[#This Row],[Tech Start Date]],19),IF(Main[[#This Row],[Class]]="A",WORKDAY(Main[[#This Row],[Tech Start Date]],9),""))))</f>
        <v/>
      </c>
      <c r="Q1099" s="74">
        <v>40897</v>
      </c>
      <c r="R1099" s="74"/>
      <c r="S1099" s="72" t="s">
        <v>6</v>
      </c>
      <c r="T1099" s="80" t="s">
        <v>4</v>
      </c>
      <c r="U1099" s="72" t="s">
        <v>29</v>
      </c>
      <c r="V1099" s="72" t="s">
        <v>1920</v>
      </c>
      <c r="W1099" s="72" t="s">
        <v>1921</v>
      </c>
      <c r="X1099" s="72" t="s">
        <v>30</v>
      </c>
      <c r="Y1099" s="72" t="s">
        <v>2946</v>
      </c>
      <c r="Z1099" s="72" t="s">
        <v>30</v>
      </c>
      <c r="AA1099" s="146" t="s">
        <v>30</v>
      </c>
    </row>
    <row r="1100" spans="1:27" ht="18.600000000000001" customHeight="1">
      <c r="A1100" s="139" t="str">
        <f>IF(priority(Main[[#This Row],[Comments]])&lt;&gt;0, priority(Main[[#This Row],[Comments]]),"")</f>
        <v/>
      </c>
      <c r="B1100" s="89" t="s">
        <v>1846</v>
      </c>
      <c r="C1100" s="72" t="s">
        <v>4</v>
      </c>
      <c r="D1100" s="73" t="s">
        <v>902</v>
      </c>
      <c r="E1100" s="74">
        <v>40478.709317129629</v>
      </c>
      <c r="F1100" s="74">
        <v>40492</v>
      </c>
      <c r="G1100" s="75" t="str">
        <f>IF(stdProdLT(Main[[#This Row],[Comments]])=0.1,"N/A",IF(stdProdLT(Main[[#This Row],[Comments]])=0,"",stdProdLT(Main[[#This Row],[Comments]])))</f>
        <v/>
      </c>
      <c r="H1100" s="76">
        <f>IF(AND(Main[[#This Row],[In Stock Date]]&lt;&gt;"",Main[[#This Row],[Revised Due Date]]&lt;&gt;""),Main[[#This Row],[In Stock Date]]-Main[[#This Row],[Revised Due Date]],"")</f>
        <v>-3</v>
      </c>
      <c r="I1100" s="72" t="s">
        <v>4</v>
      </c>
      <c r="J1100" s="72" t="s">
        <v>28</v>
      </c>
      <c r="K1100" s="72" t="s">
        <v>1924</v>
      </c>
      <c r="L1100" s="74"/>
      <c r="M1100" s="77" t="str">
        <f>IF(Main[[#This Row],[Tech Start Date]]&lt;1/1/1990,"",IF(Main[[#This Row],[Class]]="C",WORKDAY(Main[[#This Row],[Tech Start Date]],9),IF(Main[[#This Row],[Class]]="B", WORKDAY(Main[[#This Row],[Tech Start Date]],6),IF(Main[[#This Row],[Class]]="A",WORKDAY(Main[[#This Row],[Tech Start Date]],2),""))))</f>
        <v/>
      </c>
      <c r="N1100" s="77" t="str">
        <f>IF(Main[[#This Row],[Tech Start Date]]&lt;1/1/1990,"",IF(Main[[#This Row],[Class]]="C",WORKDAY(Main[[#This Row],[Tech Start Date]],19),IF(Main[[#This Row],[Class]]="B", WORKDAY(Main[[#This Row],[Tech Start Date]],12),IF(Main[[#This Row],[Class]]="A",WORKDAY(Main[[#This Row],[Tech Start Date]],4),""))))</f>
        <v/>
      </c>
      <c r="O1100" s="77" t="str">
        <f>IF(Main[[#This Row],[Tech Start Date]]&lt;1/1/1990,"",IF(Main[[#This Row],[Class]]="C",WORKDAY(Main[[#This Row],[Tech Start Date]],23),IF(Main[[#This Row],[Class]]="B", WORKDAY(Main[[#This Row],[Tech Start Date]],15),IF(Main[[#This Row],[Class]]="A",WORKDAY(Main[[#This Row],[Tech Start Date]],5),""))))</f>
        <v/>
      </c>
      <c r="P1100" s="77" t="str">
        <f>IF(Main[[#This Row],[Tech Start Date]]&lt;1/1/1990,"",IF(Main[[#This Row],[Class]]="C",WORKDAY(Main[[#This Row],[Tech Start Date]],28),IF(Main[[#This Row],[Class]]="B", WORKDAY(Main[[#This Row],[Tech Start Date]],19),IF(Main[[#This Row],[Class]]="A",WORKDAY(Main[[#This Row],[Tech Start Date]],9),""))))</f>
        <v/>
      </c>
      <c r="Q1100" s="74">
        <v>40908</v>
      </c>
      <c r="R1100" s="74">
        <v>40495</v>
      </c>
      <c r="S1100" s="72" t="s">
        <v>17</v>
      </c>
      <c r="T1100" s="80" t="s">
        <v>2439</v>
      </c>
      <c r="U1100" s="72" t="s">
        <v>29</v>
      </c>
      <c r="V1100" s="72" t="s">
        <v>1918</v>
      </c>
      <c r="W1100" s="72" t="s">
        <v>1919</v>
      </c>
      <c r="X1100" s="72" t="s">
        <v>50</v>
      </c>
      <c r="Y1100" s="72" t="s">
        <v>4</v>
      </c>
      <c r="Z1100" s="72" t="s">
        <v>4</v>
      </c>
      <c r="AA1100" s="146" t="s">
        <v>977</v>
      </c>
    </row>
    <row r="1101" spans="1:27" ht="18.600000000000001" customHeight="1">
      <c r="A1101" s="139" t="str">
        <f>IF(priority(Main[[#This Row],[Comments]])&lt;&gt;0, priority(Main[[#This Row],[Comments]]),"")</f>
        <v/>
      </c>
      <c r="B1101" s="89" t="s">
        <v>1126</v>
      </c>
      <c r="C1101" s="72" t="s">
        <v>4</v>
      </c>
      <c r="D1101" s="73" t="s">
        <v>2440</v>
      </c>
      <c r="E1101" s="74">
        <v>40581.512430555558</v>
      </c>
      <c r="F1101" s="74">
        <v>40627</v>
      </c>
      <c r="G1101" s="75" t="str">
        <f>IF(stdProdLT(Main[[#This Row],[Comments]])=0.1,"N/A",IF(stdProdLT(Main[[#This Row],[Comments]])=0,"",stdProdLT(Main[[#This Row],[Comments]])))</f>
        <v/>
      </c>
      <c r="H1101" s="76" t="str">
        <f>IF(AND(Main[[#This Row],[In Stock Date]]&lt;&gt;"",Main[[#This Row],[Revised Due Date]]&lt;&gt;""),Main[[#This Row],[In Stock Date]]-Main[[#This Row],[Revised Due Date]],"")</f>
        <v/>
      </c>
      <c r="I1101" s="72" t="s">
        <v>914</v>
      </c>
      <c r="J1101" s="72" t="s">
        <v>52</v>
      </c>
      <c r="K1101" s="81" t="s">
        <v>1924</v>
      </c>
      <c r="L1101" s="74"/>
      <c r="M1101" s="77" t="str">
        <f>IF(Main[[#This Row],[Tech Start Date]]&lt;1/1/1990,"",IF(Main[[#This Row],[Class]]="C",WORKDAY(Main[[#This Row],[Tech Start Date]],9),IF(Main[[#This Row],[Class]]="B", WORKDAY(Main[[#This Row],[Tech Start Date]],6),IF(Main[[#This Row],[Class]]="A",WORKDAY(Main[[#This Row],[Tech Start Date]],2),""))))</f>
        <v/>
      </c>
      <c r="N1101" s="77" t="str">
        <f>IF(Main[[#This Row],[Tech Start Date]]&lt;1/1/1990,"",IF(Main[[#This Row],[Class]]="C",WORKDAY(Main[[#This Row],[Tech Start Date]],19),IF(Main[[#This Row],[Class]]="B", WORKDAY(Main[[#This Row],[Tech Start Date]],12),IF(Main[[#This Row],[Class]]="A",WORKDAY(Main[[#This Row],[Tech Start Date]],4),""))))</f>
        <v/>
      </c>
      <c r="O1101" s="77" t="str">
        <f>IF(Main[[#This Row],[Tech Start Date]]&lt;1/1/1990,"",IF(Main[[#This Row],[Class]]="C",WORKDAY(Main[[#This Row],[Tech Start Date]],23),IF(Main[[#This Row],[Class]]="B", WORKDAY(Main[[#This Row],[Tech Start Date]],15),IF(Main[[#This Row],[Class]]="A",WORKDAY(Main[[#This Row],[Tech Start Date]],5),""))))</f>
        <v/>
      </c>
      <c r="P1101" s="77" t="str">
        <f>IF(Main[[#This Row],[Tech Start Date]]&lt;1/1/1990,"",IF(Main[[#This Row],[Class]]="C",WORKDAY(Main[[#This Row],[Tech Start Date]],28),IF(Main[[#This Row],[Class]]="B", WORKDAY(Main[[#This Row],[Tech Start Date]],19),IF(Main[[#This Row],[Class]]="A",WORKDAY(Main[[#This Row],[Tech Start Date]],9),""))))</f>
        <v/>
      </c>
      <c r="Q1101" s="74">
        <v>40627</v>
      </c>
      <c r="R1101" s="74"/>
      <c r="S1101" s="72" t="s">
        <v>6</v>
      </c>
      <c r="T1101" s="80" t="s">
        <v>4</v>
      </c>
      <c r="U1101" s="72" t="s">
        <v>29</v>
      </c>
      <c r="V1101" s="72" t="s">
        <v>1917</v>
      </c>
      <c r="W1101" s="72" t="s">
        <v>1919</v>
      </c>
      <c r="X1101" s="72" t="s">
        <v>2824</v>
      </c>
      <c r="Y1101" s="72" t="s">
        <v>2935</v>
      </c>
      <c r="Z1101" s="72" t="s">
        <v>129</v>
      </c>
      <c r="AA1101" s="146" t="s">
        <v>2824</v>
      </c>
    </row>
    <row r="1102" spans="1:27" ht="18.600000000000001" customHeight="1">
      <c r="A1102" s="139" t="str">
        <f>IF(priority(Main[[#This Row],[Comments]])&lt;&gt;0, priority(Main[[#This Row],[Comments]]),"")</f>
        <v/>
      </c>
      <c r="B1102" s="89" t="s">
        <v>1315</v>
      </c>
      <c r="C1102" s="72" t="s">
        <v>4</v>
      </c>
      <c r="D1102" s="73" t="s">
        <v>2309</v>
      </c>
      <c r="E1102" s="74">
        <v>40627.285358796296</v>
      </c>
      <c r="F1102" s="74"/>
      <c r="G1102" s="75" t="str">
        <f>IF(stdProdLT(Main[[#This Row],[Comments]])=0.1,"N/A",IF(stdProdLT(Main[[#This Row],[Comments]])=0,"",stdProdLT(Main[[#This Row],[Comments]])))</f>
        <v/>
      </c>
      <c r="H1102" s="76" t="str">
        <f>IF(AND(Main[[#This Row],[In Stock Date]]&lt;&gt;"",Main[[#This Row],[Revised Due Date]]&lt;&gt;""),Main[[#This Row],[In Stock Date]]-Main[[#This Row],[Revised Due Date]],"")</f>
        <v/>
      </c>
      <c r="I1102" s="72" t="s">
        <v>562</v>
      </c>
      <c r="J1102" s="72" t="s">
        <v>21</v>
      </c>
      <c r="K1102" s="72" t="s">
        <v>1926</v>
      </c>
      <c r="L1102" s="74"/>
      <c r="M1102" s="77" t="str">
        <f>IF(Main[[#This Row],[Tech Start Date]]&lt;1/1/1990,"",IF(Main[[#This Row],[Class]]="C",WORKDAY(Main[[#This Row],[Tech Start Date]],9),IF(Main[[#This Row],[Class]]="B", WORKDAY(Main[[#This Row],[Tech Start Date]],6),IF(Main[[#This Row],[Class]]="A",WORKDAY(Main[[#This Row],[Tech Start Date]],2),""))))</f>
        <v/>
      </c>
      <c r="N1102" s="77" t="str">
        <f>IF(Main[[#This Row],[Tech Start Date]]&lt;1/1/1990,"",IF(Main[[#This Row],[Class]]="C",WORKDAY(Main[[#This Row],[Tech Start Date]],19),IF(Main[[#This Row],[Class]]="B", WORKDAY(Main[[#This Row],[Tech Start Date]],12),IF(Main[[#This Row],[Class]]="A",WORKDAY(Main[[#This Row],[Tech Start Date]],4),""))))</f>
        <v/>
      </c>
      <c r="O1102" s="77" t="str">
        <f>IF(Main[[#This Row],[Tech Start Date]]&lt;1/1/1990,"",IF(Main[[#This Row],[Class]]="C",WORKDAY(Main[[#This Row],[Tech Start Date]],23),IF(Main[[#This Row],[Class]]="B", WORKDAY(Main[[#This Row],[Tech Start Date]],15),IF(Main[[#This Row],[Class]]="A",WORKDAY(Main[[#This Row],[Tech Start Date]],5),""))))</f>
        <v/>
      </c>
      <c r="P1102" s="77" t="str">
        <f>IF(Main[[#This Row],[Tech Start Date]]&lt;1/1/1990,"",IF(Main[[#This Row],[Class]]="C",WORKDAY(Main[[#This Row],[Tech Start Date]],28),IF(Main[[#This Row],[Class]]="B", WORKDAY(Main[[#This Row],[Tech Start Date]],19),IF(Main[[#This Row],[Class]]="A",WORKDAY(Main[[#This Row],[Tech Start Date]],9),""))))</f>
        <v/>
      </c>
      <c r="Q1102" s="74">
        <v>40658</v>
      </c>
      <c r="R1102" s="74"/>
      <c r="S1102" s="72" t="s">
        <v>6</v>
      </c>
      <c r="T1102" s="80" t="s">
        <v>4</v>
      </c>
      <c r="U1102" s="72" t="s">
        <v>29</v>
      </c>
      <c r="V1102" s="72" t="s">
        <v>1917</v>
      </c>
      <c r="W1102" s="72" t="s">
        <v>1919</v>
      </c>
      <c r="X1102" s="72" t="s">
        <v>2824</v>
      </c>
      <c r="Y1102" s="72" t="s">
        <v>2935</v>
      </c>
      <c r="Z1102" s="72" t="s">
        <v>530</v>
      </c>
      <c r="AA1102" s="146" t="s">
        <v>2824</v>
      </c>
    </row>
    <row r="1103" spans="1:27" ht="18.600000000000001" customHeight="1">
      <c r="A1103" s="139" t="str">
        <f>IF(priority(Main[[#This Row],[Comments]])&lt;&gt;0, priority(Main[[#This Row],[Comments]]),"")</f>
        <v/>
      </c>
      <c r="B1103" s="89" t="s">
        <v>2441</v>
      </c>
      <c r="C1103" s="72" t="s">
        <v>4</v>
      </c>
      <c r="D1103" s="73" t="s">
        <v>2442</v>
      </c>
      <c r="E1103" s="74"/>
      <c r="F1103" s="74"/>
      <c r="G1103" s="75" t="str">
        <f>IF(stdProdLT(Main[[#This Row],[Comments]])=0.1,"N/A",IF(stdProdLT(Main[[#This Row],[Comments]])=0,"",stdProdLT(Main[[#This Row],[Comments]])))</f>
        <v/>
      </c>
      <c r="H1103" s="76" t="str">
        <f>IF(AND(Main[[#This Row],[In Stock Date]]&lt;&gt;"",Main[[#This Row],[Revised Due Date]]&lt;&gt;""),Main[[#This Row],[In Stock Date]]-Main[[#This Row],[Revised Due Date]],"")</f>
        <v/>
      </c>
      <c r="I1103" s="72" t="s">
        <v>4</v>
      </c>
      <c r="J1103" s="72" t="s">
        <v>4</v>
      </c>
      <c r="K1103" s="72" t="s">
        <v>4</v>
      </c>
      <c r="L1103" s="74"/>
      <c r="M1103" s="77" t="str">
        <f>IF(Main[[#This Row],[Tech Start Date]]&lt;1/1/1990,"",IF(Main[[#This Row],[Class]]="C",WORKDAY(Main[[#This Row],[Tech Start Date]],9),IF(Main[[#This Row],[Class]]="B", WORKDAY(Main[[#This Row],[Tech Start Date]],6),IF(Main[[#This Row],[Class]]="A",WORKDAY(Main[[#This Row],[Tech Start Date]],2),""))))</f>
        <v/>
      </c>
      <c r="N1103" s="77" t="str">
        <f>IF(Main[[#This Row],[Tech Start Date]]&lt;1/1/1990,"",IF(Main[[#This Row],[Class]]="C",WORKDAY(Main[[#This Row],[Tech Start Date]],19),IF(Main[[#This Row],[Class]]="B", WORKDAY(Main[[#This Row],[Tech Start Date]],12),IF(Main[[#This Row],[Class]]="A",WORKDAY(Main[[#This Row],[Tech Start Date]],4),""))))</f>
        <v/>
      </c>
      <c r="O1103" s="77" t="str">
        <f>IF(Main[[#This Row],[Tech Start Date]]&lt;1/1/1990,"",IF(Main[[#This Row],[Class]]="C",WORKDAY(Main[[#This Row],[Tech Start Date]],23),IF(Main[[#This Row],[Class]]="B", WORKDAY(Main[[#This Row],[Tech Start Date]],15),IF(Main[[#This Row],[Class]]="A",WORKDAY(Main[[#This Row],[Tech Start Date]],5),""))))</f>
        <v/>
      </c>
      <c r="P1103" s="77" t="str">
        <f>IF(Main[[#This Row],[Tech Start Date]]&lt;1/1/1990,"",IF(Main[[#This Row],[Class]]="C",WORKDAY(Main[[#This Row],[Tech Start Date]],28),IF(Main[[#This Row],[Class]]="B", WORKDAY(Main[[#This Row],[Tech Start Date]],19),IF(Main[[#This Row],[Class]]="A",WORKDAY(Main[[#This Row],[Tech Start Date]],9),""))))</f>
        <v/>
      </c>
      <c r="Q1103" s="74">
        <v>40877</v>
      </c>
      <c r="R1103" s="74"/>
      <c r="S1103" s="72" t="s">
        <v>6</v>
      </c>
      <c r="T1103" s="80" t="s">
        <v>4</v>
      </c>
      <c r="U1103" s="72" t="s">
        <v>14</v>
      </c>
      <c r="V1103" s="72" t="s">
        <v>1917</v>
      </c>
      <c r="W1103" s="72" t="s">
        <v>1921</v>
      </c>
      <c r="X1103" s="72" t="s">
        <v>2827</v>
      </c>
      <c r="Y1103" s="72" t="s">
        <v>2942</v>
      </c>
      <c r="Z1103" s="72" t="s">
        <v>4</v>
      </c>
      <c r="AA1103" s="146" t="s">
        <v>2827</v>
      </c>
    </row>
    <row r="1104" spans="1:27" ht="18.600000000000001" customHeight="1">
      <c r="A1104" s="139" t="str">
        <f>IF(priority(Main[[#This Row],[Comments]])&lt;&gt;0, priority(Main[[#This Row],[Comments]]),"")</f>
        <v/>
      </c>
      <c r="B1104" s="89" t="s">
        <v>2443</v>
      </c>
      <c r="C1104" s="72" t="s">
        <v>2359</v>
      </c>
      <c r="D1104" s="73" t="s">
        <v>2360</v>
      </c>
      <c r="E1104" s="74"/>
      <c r="F1104" s="74">
        <v>41008</v>
      </c>
      <c r="G1104" s="75" t="str">
        <f>IF(stdProdLT(Main[[#This Row],[Comments]])=0.1,"N/A",IF(stdProdLT(Main[[#This Row],[Comments]])=0,"",stdProdLT(Main[[#This Row],[Comments]])))</f>
        <v/>
      </c>
      <c r="H1104" s="76" t="str">
        <f>IF(AND(Main[[#This Row],[In Stock Date]]&lt;&gt;"",Main[[#This Row],[Revised Due Date]]&lt;&gt;""),Main[[#This Row],[In Stock Date]]-Main[[#This Row],[Revised Due Date]],"")</f>
        <v/>
      </c>
      <c r="I1104" s="72" t="s">
        <v>4</v>
      </c>
      <c r="J1104" s="72" t="s">
        <v>4</v>
      </c>
      <c r="K1104" s="72" t="s">
        <v>4</v>
      </c>
      <c r="L1104" s="74"/>
      <c r="M1104" s="77" t="str">
        <f>IF(Main[[#This Row],[Tech Start Date]]&lt;1/1/1990,"",IF(Main[[#This Row],[Class]]="C",WORKDAY(Main[[#This Row],[Tech Start Date]],9),IF(Main[[#This Row],[Class]]="B", WORKDAY(Main[[#This Row],[Tech Start Date]],6),IF(Main[[#This Row],[Class]]="A",WORKDAY(Main[[#This Row],[Tech Start Date]],2),""))))</f>
        <v/>
      </c>
      <c r="N1104" s="77" t="str">
        <f>IF(Main[[#This Row],[Tech Start Date]]&lt;1/1/1990,"",IF(Main[[#This Row],[Class]]="C",WORKDAY(Main[[#This Row],[Tech Start Date]],19),IF(Main[[#This Row],[Class]]="B", WORKDAY(Main[[#This Row],[Tech Start Date]],12),IF(Main[[#This Row],[Class]]="A",WORKDAY(Main[[#This Row],[Tech Start Date]],4),""))))</f>
        <v/>
      </c>
      <c r="O1104" s="77" t="str">
        <f>IF(Main[[#This Row],[Tech Start Date]]&lt;1/1/1990,"",IF(Main[[#This Row],[Class]]="C",WORKDAY(Main[[#This Row],[Tech Start Date]],23),IF(Main[[#This Row],[Class]]="B", WORKDAY(Main[[#This Row],[Tech Start Date]],15),IF(Main[[#This Row],[Class]]="A",WORKDAY(Main[[#This Row],[Tech Start Date]],5),""))))</f>
        <v/>
      </c>
      <c r="P1104" s="77" t="str">
        <f>IF(Main[[#This Row],[Tech Start Date]]&lt;1/1/1990,"",IF(Main[[#This Row],[Class]]="C",WORKDAY(Main[[#This Row],[Tech Start Date]],28),IF(Main[[#This Row],[Class]]="B", WORKDAY(Main[[#This Row],[Tech Start Date]],19),IF(Main[[#This Row],[Class]]="A",WORKDAY(Main[[#This Row],[Tech Start Date]],9),""))))</f>
        <v/>
      </c>
      <c r="Q1104" s="74">
        <v>40826</v>
      </c>
      <c r="R1104" s="74"/>
      <c r="S1104" s="72" t="s">
        <v>11</v>
      </c>
      <c r="T1104" s="80" t="s">
        <v>4</v>
      </c>
      <c r="U1104" s="72" t="s">
        <v>12</v>
      </c>
      <c r="V1104" s="72" t="s">
        <v>1920</v>
      </c>
      <c r="W1104" s="72" t="s">
        <v>1923</v>
      </c>
      <c r="X1104" s="72" t="s">
        <v>2849</v>
      </c>
      <c r="Y1104" s="72" t="s">
        <v>4</v>
      </c>
      <c r="Z1104" s="72" t="s">
        <v>4</v>
      </c>
      <c r="AA1104" s="146" t="s">
        <v>2849</v>
      </c>
    </row>
    <row r="1105" spans="1:27" ht="18.600000000000001" customHeight="1">
      <c r="A1105" s="139" t="str">
        <f>IF(priority(Main[[#This Row],[Comments]])&lt;&gt;0, priority(Main[[#This Row],[Comments]]),"")</f>
        <v/>
      </c>
      <c r="B1105" s="89" t="s">
        <v>3540</v>
      </c>
      <c r="C1105" s="72" t="s">
        <v>4</v>
      </c>
      <c r="D1105" s="73" t="s">
        <v>3541</v>
      </c>
      <c r="E1105" s="74">
        <v>40948.6487037037</v>
      </c>
      <c r="F1105" s="74"/>
      <c r="G1105" s="75" t="str">
        <f>IF(stdProdLT(Main[[#This Row],[Comments]])=0.1,"N/A",IF(stdProdLT(Main[[#This Row],[Comments]])=0,"",stdProdLT(Main[[#This Row],[Comments]])))</f>
        <v/>
      </c>
      <c r="H1105" s="76" t="str">
        <f>IF(AND(Main[[#This Row],[In Stock Date]]&lt;&gt;"",Main[[#This Row],[Revised Due Date]]&lt;&gt;""),Main[[#This Row],[In Stock Date]]-Main[[#This Row],[Revised Due Date]],"")</f>
        <v/>
      </c>
      <c r="I1105" s="72" t="s">
        <v>530</v>
      </c>
      <c r="J1105" s="72" t="s">
        <v>28</v>
      </c>
      <c r="K1105" s="72" t="s">
        <v>1926</v>
      </c>
      <c r="L1105" s="74"/>
      <c r="M1105" s="77" t="str">
        <f>IF(Main[[#This Row],[Tech Start Date]]&lt;1/1/1990,"",IF(Main[[#This Row],[Class]]="C",WORKDAY(Main[[#This Row],[Tech Start Date]],9),IF(Main[[#This Row],[Class]]="B", WORKDAY(Main[[#This Row],[Tech Start Date]],6),IF(Main[[#This Row],[Class]]="A",WORKDAY(Main[[#This Row],[Tech Start Date]],2),""))))</f>
        <v/>
      </c>
      <c r="N1105" s="77" t="str">
        <f>IF(Main[[#This Row],[Tech Start Date]]&lt;1/1/1990,"",IF(Main[[#This Row],[Class]]="C",WORKDAY(Main[[#This Row],[Tech Start Date]],19),IF(Main[[#This Row],[Class]]="B", WORKDAY(Main[[#This Row],[Tech Start Date]],12),IF(Main[[#This Row],[Class]]="A",WORKDAY(Main[[#This Row],[Tech Start Date]],4),""))))</f>
        <v/>
      </c>
      <c r="O1105" s="77" t="str">
        <f>IF(Main[[#This Row],[Tech Start Date]]&lt;1/1/1990,"",IF(Main[[#This Row],[Class]]="C",WORKDAY(Main[[#This Row],[Tech Start Date]],23),IF(Main[[#This Row],[Class]]="B", WORKDAY(Main[[#This Row],[Tech Start Date]],15),IF(Main[[#This Row],[Class]]="A",WORKDAY(Main[[#This Row],[Tech Start Date]],5),""))))</f>
        <v/>
      </c>
      <c r="P1105" s="77" t="str">
        <f>IF(Main[[#This Row],[Tech Start Date]]&lt;1/1/1990,"",IF(Main[[#This Row],[Class]]="C",WORKDAY(Main[[#This Row],[Tech Start Date]],28),IF(Main[[#This Row],[Class]]="B", WORKDAY(Main[[#This Row],[Tech Start Date]],19),IF(Main[[#This Row],[Class]]="A",WORKDAY(Main[[#This Row],[Tech Start Date]],9),""))))</f>
        <v/>
      </c>
      <c r="Q1105" s="74">
        <v>40949</v>
      </c>
      <c r="R1105" s="74"/>
      <c r="S1105" s="72" t="s">
        <v>6</v>
      </c>
      <c r="T1105" s="80" t="s">
        <v>4</v>
      </c>
      <c r="U1105" s="72" t="s">
        <v>29</v>
      </c>
      <c r="V1105" s="72" t="s">
        <v>1920</v>
      </c>
      <c r="W1105" s="72" t="s">
        <v>1919</v>
      </c>
      <c r="X1105" s="72" t="s">
        <v>2901</v>
      </c>
      <c r="Y1105" s="72" t="s">
        <v>3066</v>
      </c>
      <c r="Z1105" s="72" t="s">
        <v>30</v>
      </c>
      <c r="AA1105" s="146" t="s">
        <v>2901</v>
      </c>
    </row>
    <row r="1106" spans="1:27" ht="18.600000000000001" customHeight="1">
      <c r="A1106" s="139" t="str">
        <f>IF(priority(Main[[#This Row],[Comments]])&lt;&gt;0, priority(Main[[#This Row],[Comments]]),"")</f>
        <v/>
      </c>
      <c r="B1106" s="89" t="s">
        <v>2069</v>
      </c>
      <c r="C1106" s="72" t="s">
        <v>4</v>
      </c>
      <c r="D1106" s="73" t="s">
        <v>2453</v>
      </c>
      <c r="E1106" s="74">
        <v>40772.422800925924</v>
      </c>
      <c r="F1106" s="74"/>
      <c r="G1106" s="75" t="str">
        <f>IF(stdProdLT(Main[[#This Row],[Comments]])=0.1,"N/A",IF(stdProdLT(Main[[#This Row],[Comments]])=0,"",stdProdLT(Main[[#This Row],[Comments]])))</f>
        <v/>
      </c>
      <c r="H1106" s="76" t="str">
        <f>IF(AND(Main[[#This Row],[In Stock Date]]&lt;&gt;"",Main[[#This Row],[Revised Due Date]]&lt;&gt;""),Main[[#This Row],[In Stock Date]]-Main[[#This Row],[Revised Due Date]],"")</f>
        <v/>
      </c>
      <c r="I1106" s="72" t="s">
        <v>914</v>
      </c>
      <c r="J1106" s="72" t="s">
        <v>52</v>
      </c>
      <c r="K1106" s="72" t="s">
        <v>4</v>
      </c>
      <c r="L1106" s="74"/>
      <c r="M1106" s="77" t="str">
        <f>IF(Main[[#This Row],[Tech Start Date]]&lt;1/1/1990,"",IF(Main[[#This Row],[Class]]="C",WORKDAY(Main[[#This Row],[Tech Start Date]],9),IF(Main[[#This Row],[Class]]="B", WORKDAY(Main[[#This Row],[Tech Start Date]],6),IF(Main[[#This Row],[Class]]="A",WORKDAY(Main[[#This Row],[Tech Start Date]],2),""))))</f>
        <v/>
      </c>
      <c r="N1106" s="77" t="str">
        <f>IF(Main[[#This Row],[Tech Start Date]]&lt;1/1/1990,"",IF(Main[[#This Row],[Class]]="C",WORKDAY(Main[[#This Row],[Tech Start Date]],19),IF(Main[[#This Row],[Class]]="B", WORKDAY(Main[[#This Row],[Tech Start Date]],12),IF(Main[[#This Row],[Class]]="A",WORKDAY(Main[[#This Row],[Tech Start Date]],4),""))))</f>
        <v/>
      </c>
      <c r="O1106" s="77" t="str">
        <f>IF(Main[[#This Row],[Tech Start Date]]&lt;1/1/1990,"",IF(Main[[#This Row],[Class]]="C",WORKDAY(Main[[#This Row],[Tech Start Date]],23),IF(Main[[#This Row],[Class]]="B", WORKDAY(Main[[#This Row],[Tech Start Date]],15),IF(Main[[#This Row],[Class]]="A",WORKDAY(Main[[#This Row],[Tech Start Date]],5),""))))</f>
        <v/>
      </c>
      <c r="P1106" s="77" t="str">
        <f>IF(Main[[#This Row],[Tech Start Date]]&lt;1/1/1990,"",IF(Main[[#This Row],[Class]]="C",WORKDAY(Main[[#This Row],[Tech Start Date]],28),IF(Main[[#This Row],[Class]]="B", WORKDAY(Main[[#This Row],[Tech Start Date]],19),IF(Main[[#This Row],[Class]]="A",WORKDAY(Main[[#This Row],[Tech Start Date]],9),""))))</f>
        <v/>
      </c>
      <c r="Q1106" s="74"/>
      <c r="R1106" s="74"/>
      <c r="S1106" s="72" t="s">
        <v>6</v>
      </c>
      <c r="T1106" s="80" t="s">
        <v>4</v>
      </c>
      <c r="U1106" s="72" t="s">
        <v>29</v>
      </c>
      <c r="V1106" s="72" t="s">
        <v>1917</v>
      </c>
      <c r="W1106" s="72" t="s">
        <v>1921</v>
      </c>
      <c r="X1106" s="72" t="s">
        <v>939</v>
      </c>
      <c r="Y1106" s="72" t="s">
        <v>2990</v>
      </c>
      <c r="Z1106" s="72" t="s">
        <v>129</v>
      </c>
      <c r="AA1106" s="146" t="s">
        <v>939</v>
      </c>
    </row>
    <row r="1107" spans="1:27" ht="18.600000000000001" customHeight="1">
      <c r="A1107" s="139" t="str">
        <f>IF(priority(Main[[#This Row],[Comments]])&lt;&gt;0, priority(Main[[#This Row],[Comments]]),"")</f>
        <v/>
      </c>
      <c r="B1107" s="89" t="s">
        <v>2454</v>
      </c>
      <c r="C1107" s="72" t="s">
        <v>4</v>
      </c>
      <c r="D1107" s="73" t="s">
        <v>2455</v>
      </c>
      <c r="E1107" s="74">
        <v>40834.417719907404</v>
      </c>
      <c r="F1107" s="74"/>
      <c r="G1107" s="75" t="str">
        <f>IF(stdProdLT(Main[[#This Row],[Comments]])=0.1,"N/A",IF(stdProdLT(Main[[#This Row],[Comments]])=0,"",stdProdLT(Main[[#This Row],[Comments]])))</f>
        <v/>
      </c>
      <c r="H1107" s="76" t="str">
        <f>IF(AND(Main[[#This Row],[In Stock Date]]&lt;&gt;"",Main[[#This Row],[Revised Due Date]]&lt;&gt;""),Main[[#This Row],[In Stock Date]]-Main[[#This Row],[Revised Due Date]],"")</f>
        <v/>
      </c>
      <c r="I1107" s="72" t="s">
        <v>4</v>
      </c>
      <c r="J1107" s="72" t="s">
        <v>4</v>
      </c>
      <c r="K1107" s="72" t="s">
        <v>4</v>
      </c>
      <c r="L1107" s="74"/>
      <c r="M1107" s="77" t="str">
        <f>IF(Main[[#This Row],[Tech Start Date]]&lt;1/1/1990,"",IF(Main[[#This Row],[Class]]="C",WORKDAY(Main[[#This Row],[Tech Start Date]],9),IF(Main[[#This Row],[Class]]="B", WORKDAY(Main[[#This Row],[Tech Start Date]],6),IF(Main[[#This Row],[Class]]="A",WORKDAY(Main[[#This Row],[Tech Start Date]],2),""))))</f>
        <v/>
      </c>
      <c r="N1107" s="77" t="str">
        <f>IF(Main[[#This Row],[Tech Start Date]]&lt;1/1/1990,"",IF(Main[[#This Row],[Class]]="C",WORKDAY(Main[[#This Row],[Tech Start Date]],19),IF(Main[[#This Row],[Class]]="B", WORKDAY(Main[[#This Row],[Tech Start Date]],12),IF(Main[[#This Row],[Class]]="A",WORKDAY(Main[[#This Row],[Tech Start Date]],4),""))))</f>
        <v/>
      </c>
      <c r="O1107" s="77" t="str">
        <f>IF(Main[[#This Row],[Tech Start Date]]&lt;1/1/1990,"",IF(Main[[#This Row],[Class]]="C",WORKDAY(Main[[#This Row],[Tech Start Date]],23),IF(Main[[#This Row],[Class]]="B", WORKDAY(Main[[#This Row],[Tech Start Date]],15),IF(Main[[#This Row],[Class]]="A",WORKDAY(Main[[#This Row],[Tech Start Date]],5),""))))</f>
        <v/>
      </c>
      <c r="P1107" s="77" t="str">
        <f>IF(Main[[#This Row],[Tech Start Date]]&lt;1/1/1990,"",IF(Main[[#This Row],[Class]]="C",WORKDAY(Main[[#This Row],[Tech Start Date]],28),IF(Main[[#This Row],[Class]]="B", WORKDAY(Main[[#This Row],[Tech Start Date]],19),IF(Main[[#This Row],[Class]]="A",WORKDAY(Main[[#This Row],[Tech Start Date]],9),""))))</f>
        <v/>
      </c>
      <c r="Q1107" s="74"/>
      <c r="R1107" s="74"/>
      <c r="S1107" s="72" t="s">
        <v>6</v>
      </c>
      <c r="T1107" s="80" t="s">
        <v>4</v>
      </c>
      <c r="U1107" s="72" t="s">
        <v>29</v>
      </c>
      <c r="V1107" s="72" t="s">
        <v>1920</v>
      </c>
      <c r="W1107" s="72" t="s">
        <v>1921</v>
      </c>
      <c r="X1107" s="72" t="s">
        <v>306</v>
      </c>
      <c r="Y1107" s="72" t="s">
        <v>4</v>
      </c>
      <c r="Z1107" s="72" t="s">
        <v>4</v>
      </c>
      <c r="AA1107" s="146" t="s">
        <v>4</v>
      </c>
    </row>
    <row r="1108" spans="1:27" ht="18.600000000000001" customHeight="1">
      <c r="A1108" s="139" t="str">
        <f>IF(priority(Main[[#This Row],[Comments]])&lt;&gt;0, priority(Main[[#This Row],[Comments]]),"")</f>
        <v/>
      </c>
      <c r="B1108" s="89" t="s">
        <v>2247</v>
      </c>
      <c r="C1108" s="72" t="s">
        <v>4</v>
      </c>
      <c r="D1108" s="73" t="s">
        <v>2456</v>
      </c>
      <c r="E1108" s="74">
        <v>40798.432673611111</v>
      </c>
      <c r="F1108" s="74"/>
      <c r="G1108" s="75" t="str">
        <f>IF(stdProdLT(Main[[#This Row],[Comments]])=0.1,"N/A",IF(stdProdLT(Main[[#This Row],[Comments]])=0,"",stdProdLT(Main[[#This Row],[Comments]])))</f>
        <v/>
      </c>
      <c r="H1108" s="76" t="str">
        <f>IF(AND(Main[[#This Row],[In Stock Date]]&lt;&gt;"",Main[[#This Row],[Revised Due Date]]&lt;&gt;""),Main[[#This Row],[In Stock Date]]-Main[[#This Row],[Revised Due Date]],"")</f>
        <v/>
      </c>
      <c r="I1108" s="72" t="s">
        <v>914</v>
      </c>
      <c r="J1108" s="72" t="s">
        <v>52</v>
      </c>
      <c r="K1108" s="72" t="s">
        <v>4</v>
      </c>
      <c r="L1108" s="74"/>
      <c r="M1108" s="77" t="str">
        <f>IF(Main[[#This Row],[Tech Start Date]]&lt;1/1/1990,"",IF(Main[[#This Row],[Class]]="C",WORKDAY(Main[[#This Row],[Tech Start Date]],9),IF(Main[[#This Row],[Class]]="B", WORKDAY(Main[[#This Row],[Tech Start Date]],6),IF(Main[[#This Row],[Class]]="A",WORKDAY(Main[[#This Row],[Tech Start Date]],2),""))))</f>
        <v/>
      </c>
      <c r="N1108" s="77" t="str">
        <f>IF(Main[[#This Row],[Tech Start Date]]&lt;1/1/1990,"",IF(Main[[#This Row],[Class]]="C",WORKDAY(Main[[#This Row],[Tech Start Date]],19),IF(Main[[#This Row],[Class]]="B", WORKDAY(Main[[#This Row],[Tech Start Date]],12),IF(Main[[#This Row],[Class]]="A",WORKDAY(Main[[#This Row],[Tech Start Date]],4),""))))</f>
        <v/>
      </c>
      <c r="O1108" s="77" t="str">
        <f>IF(Main[[#This Row],[Tech Start Date]]&lt;1/1/1990,"",IF(Main[[#This Row],[Class]]="C",WORKDAY(Main[[#This Row],[Tech Start Date]],23),IF(Main[[#This Row],[Class]]="B", WORKDAY(Main[[#This Row],[Tech Start Date]],15),IF(Main[[#This Row],[Class]]="A",WORKDAY(Main[[#This Row],[Tech Start Date]],5),""))))</f>
        <v/>
      </c>
      <c r="P1108" s="77" t="str">
        <f>IF(Main[[#This Row],[Tech Start Date]]&lt;1/1/1990,"",IF(Main[[#This Row],[Class]]="C",WORKDAY(Main[[#This Row],[Tech Start Date]],28),IF(Main[[#This Row],[Class]]="B", WORKDAY(Main[[#This Row],[Tech Start Date]],19),IF(Main[[#This Row],[Class]]="A",WORKDAY(Main[[#This Row],[Tech Start Date]],9),""))))</f>
        <v/>
      </c>
      <c r="Q1108" s="74"/>
      <c r="R1108" s="74"/>
      <c r="S1108" s="72" t="s">
        <v>6</v>
      </c>
      <c r="T1108" s="80" t="s">
        <v>4</v>
      </c>
      <c r="U1108" s="72" t="s">
        <v>29</v>
      </c>
      <c r="V1108" s="72" t="s">
        <v>1917</v>
      </c>
      <c r="W1108" s="72" t="s">
        <v>1921</v>
      </c>
      <c r="X1108" s="72" t="s">
        <v>562</v>
      </c>
      <c r="Y1108" s="72" t="s">
        <v>4</v>
      </c>
      <c r="Z1108" s="72" t="s">
        <v>129</v>
      </c>
      <c r="AA1108" s="146" t="s">
        <v>4</v>
      </c>
    </row>
    <row r="1109" spans="1:27" ht="18.600000000000001" customHeight="1">
      <c r="A1109" s="139" t="str">
        <f>IF(priority(Main[[#This Row],[Comments]])&lt;&gt;0, priority(Main[[#This Row],[Comments]]),"")</f>
        <v/>
      </c>
      <c r="B1109" s="89" t="s">
        <v>2457</v>
      </c>
      <c r="C1109" s="72" t="s">
        <v>4</v>
      </c>
      <c r="D1109" s="73" t="s">
        <v>2458</v>
      </c>
      <c r="E1109" s="74">
        <v>40841.609861111108</v>
      </c>
      <c r="F1109" s="74"/>
      <c r="G1109" s="75" t="str">
        <f>IF(stdProdLT(Main[[#This Row],[Comments]])=0.1,"N/A",IF(stdProdLT(Main[[#This Row],[Comments]])=0,"",stdProdLT(Main[[#This Row],[Comments]])))</f>
        <v/>
      </c>
      <c r="H1109" s="76" t="str">
        <f>IF(AND(Main[[#This Row],[In Stock Date]]&lt;&gt;"",Main[[#This Row],[Revised Due Date]]&lt;&gt;""),Main[[#This Row],[In Stock Date]]-Main[[#This Row],[Revised Due Date]],"")</f>
        <v/>
      </c>
      <c r="I1109" s="72" t="s">
        <v>4</v>
      </c>
      <c r="J1109" s="72" t="s">
        <v>4</v>
      </c>
      <c r="K1109" s="72" t="s">
        <v>4</v>
      </c>
      <c r="L1109" s="74"/>
      <c r="M1109" s="77" t="str">
        <f>IF(Main[[#This Row],[Tech Start Date]]&lt;1/1/1990,"",IF(Main[[#This Row],[Class]]="C",WORKDAY(Main[[#This Row],[Tech Start Date]],9),IF(Main[[#This Row],[Class]]="B", WORKDAY(Main[[#This Row],[Tech Start Date]],6),IF(Main[[#This Row],[Class]]="A",WORKDAY(Main[[#This Row],[Tech Start Date]],2),""))))</f>
        <v/>
      </c>
      <c r="N1109" s="77" t="str">
        <f>IF(Main[[#This Row],[Tech Start Date]]&lt;1/1/1990,"",IF(Main[[#This Row],[Class]]="C",WORKDAY(Main[[#This Row],[Tech Start Date]],19),IF(Main[[#This Row],[Class]]="B", WORKDAY(Main[[#This Row],[Tech Start Date]],12),IF(Main[[#This Row],[Class]]="A",WORKDAY(Main[[#This Row],[Tech Start Date]],4),""))))</f>
        <v/>
      </c>
      <c r="O1109" s="77" t="str">
        <f>IF(Main[[#This Row],[Tech Start Date]]&lt;1/1/1990,"",IF(Main[[#This Row],[Class]]="C",WORKDAY(Main[[#This Row],[Tech Start Date]],23),IF(Main[[#This Row],[Class]]="B", WORKDAY(Main[[#This Row],[Tech Start Date]],15),IF(Main[[#This Row],[Class]]="A",WORKDAY(Main[[#This Row],[Tech Start Date]],5),""))))</f>
        <v/>
      </c>
      <c r="P1109" s="77" t="str">
        <f>IF(Main[[#This Row],[Tech Start Date]]&lt;1/1/1990,"",IF(Main[[#This Row],[Class]]="C",WORKDAY(Main[[#This Row],[Tech Start Date]],28),IF(Main[[#This Row],[Class]]="B", WORKDAY(Main[[#This Row],[Tech Start Date]],19),IF(Main[[#This Row],[Class]]="A",WORKDAY(Main[[#This Row],[Tech Start Date]],9),""))))</f>
        <v/>
      </c>
      <c r="Q1109" s="74"/>
      <c r="R1109" s="74"/>
      <c r="S1109" s="72" t="s">
        <v>6</v>
      </c>
      <c r="T1109" s="80" t="s">
        <v>4</v>
      </c>
      <c r="U1109" s="72" t="s">
        <v>7</v>
      </c>
      <c r="V1109" s="72" t="s">
        <v>1917</v>
      </c>
      <c r="W1109" s="72" t="s">
        <v>4</v>
      </c>
      <c r="X1109" s="72" t="s">
        <v>914</v>
      </c>
      <c r="Y1109" s="72" t="s">
        <v>3063</v>
      </c>
      <c r="Z1109" s="72" t="s">
        <v>4</v>
      </c>
      <c r="AA1109" s="146" t="s">
        <v>914</v>
      </c>
    </row>
    <row r="1110" spans="1:27" ht="18.600000000000001" customHeight="1">
      <c r="A1110" s="139" t="str">
        <f>IF(priority(Main[[#This Row],[Comments]])&lt;&gt;0, priority(Main[[#This Row],[Comments]]),"")</f>
        <v/>
      </c>
      <c r="B1110" s="89" t="s">
        <v>1639</v>
      </c>
      <c r="C1110" s="72" t="s">
        <v>4</v>
      </c>
      <c r="D1110" s="73" t="s">
        <v>709</v>
      </c>
      <c r="E1110" s="74">
        <v>40634.328217592592</v>
      </c>
      <c r="F1110" s="74"/>
      <c r="G1110" s="75" t="str">
        <f>IF(stdProdLT(Main[[#This Row],[Comments]])=0.1,"N/A",IF(stdProdLT(Main[[#This Row],[Comments]])=0,"",stdProdLT(Main[[#This Row],[Comments]])))</f>
        <v/>
      </c>
      <c r="H1110" s="76" t="str">
        <f>IF(AND(Main[[#This Row],[In Stock Date]]&lt;&gt;"",Main[[#This Row],[Revised Due Date]]&lt;&gt;""),Main[[#This Row],[In Stock Date]]-Main[[#This Row],[Revised Due Date]],"")</f>
        <v/>
      </c>
      <c r="I1110" s="72" t="s">
        <v>914</v>
      </c>
      <c r="J1110" s="72" t="s">
        <v>4</v>
      </c>
      <c r="K1110" s="72" t="s">
        <v>4</v>
      </c>
      <c r="L1110" s="74"/>
      <c r="M1110" s="77" t="str">
        <f>IF(Main[[#This Row],[Tech Start Date]]&lt;1/1/1990,"",IF(Main[[#This Row],[Class]]="C",WORKDAY(Main[[#This Row],[Tech Start Date]],9),IF(Main[[#This Row],[Class]]="B", WORKDAY(Main[[#This Row],[Tech Start Date]],6),IF(Main[[#This Row],[Class]]="A",WORKDAY(Main[[#This Row],[Tech Start Date]],2),""))))</f>
        <v/>
      </c>
      <c r="N1110" s="77" t="str">
        <f>IF(Main[[#This Row],[Tech Start Date]]&lt;1/1/1990,"",IF(Main[[#This Row],[Class]]="C",WORKDAY(Main[[#This Row],[Tech Start Date]],19),IF(Main[[#This Row],[Class]]="B", WORKDAY(Main[[#This Row],[Tech Start Date]],12),IF(Main[[#This Row],[Class]]="A",WORKDAY(Main[[#This Row],[Tech Start Date]],4),""))))</f>
        <v/>
      </c>
      <c r="O1110" s="77" t="str">
        <f>IF(Main[[#This Row],[Tech Start Date]]&lt;1/1/1990,"",IF(Main[[#This Row],[Class]]="C",WORKDAY(Main[[#This Row],[Tech Start Date]],23),IF(Main[[#This Row],[Class]]="B", WORKDAY(Main[[#This Row],[Tech Start Date]],15),IF(Main[[#This Row],[Class]]="A",WORKDAY(Main[[#This Row],[Tech Start Date]],5),""))))</f>
        <v/>
      </c>
      <c r="P1110" s="77" t="str">
        <f>IF(Main[[#This Row],[Tech Start Date]]&lt;1/1/1990,"",IF(Main[[#This Row],[Class]]="C",WORKDAY(Main[[#This Row],[Tech Start Date]],28),IF(Main[[#This Row],[Class]]="B", WORKDAY(Main[[#This Row],[Tech Start Date]],19),IF(Main[[#This Row],[Class]]="A",WORKDAY(Main[[#This Row],[Tech Start Date]],9),""))))</f>
        <v/>
      </c>
      <c r="Q1110" s="74"/>
      <c r="R1110" s="74"/>
      <c r="S1110" s="72" t="s">
        <v>6</v>
      </c>
      <c r="T1110" s="80" t="s">
        <v>4</v>
      </c>
      <c r="U1110" s="72" t="s">
        <v>7</v>
      </c>
      <c r="V1110" s="72" t="s">
        <v>1917</v>
      </c>
      <c r="W1110" s="72" t="s">
        <v>1921</v>
      </c>
      <c r="X1110" s="72" t="s">
        <v>399</v>
      </c>
      <c r="Y1110" s="72" t="s">
        <v>4</v>
      </c>
      <c r="Z1110" s="72" t="s">
        <v>4</v>
      </c>
      <c r="AA1110" s="146" t="s">
        <v>3467</v>
      </c>
    </row>
    <row r="1111" spans="1:27" ht="18.600000000000001" customHeight="1">
      <c r="A1111" s="139" t="str">
        <f>IF(priority(Main[[#This Row],[Comments]])&lt;&gt;0, priority(Main[[#This Row],[Comments]]),"")</f>
        <v/>
      </c>
      <c r="B1111" s="89" t="s">
        <v>1838</v>
      </c>
      <c r="C1111" s="72" t="s">
        <v>4</v>
      </c>
      <c r="D1111" s="73" t="s">
        <v>892</v>
      </c>
      <c r="E1111" s="74">
        <v>40351.730219907404</v>
      </c>
      <c r="F1111" s="74"/>
      <c r="G1111" s="75" t="str">
        <f>IF(stdProdLT(Main[[#This Row],[Comments]])=0.1,"N/A",IF(stdProdLT(Main[[#This Row],[Comments]])=0,"",stdProdLT(Main[[#This Row],[Comments]])))</f>
        <v/>
      </c>
      <c r="H1111" s="76" t="str">
        <f>IF(AND(Main[[#This Row],[In Stock Date]]&lt;&gt;"",Main[[#This Row],[Revised Due Date]]&lt;&gt;""),Main[[#This Row],[In Stock Date]]-Main[[#This Row],[Revised Due Date]],"")</f>
        <v/>
      </c>
      <c r="I1111" s="72" t="s">
        <v>2056</v>
      </c>
      <c r="J1111" s="72" t="s">
        <v>28</v>
      </c>
      <c r="K1111" s="81" t="s">
        <v>1929</v>
      </c>
      <c r="L1111" s="74"/>
      <c r="M1111" s="77" t="str">
        <f>IF(Main[[#This Row],[Tech Start Date]]&lt;1/1/1990,"",IF(Main[[#This Row],[Class]]="C",WORKDAY(Main[[#This Row],[Tech Start Date]],9),IF(Main[[#This Row],[Class]]="B", WORKDAY(Main[[#This Row],[Tech Start Date]],6),IF(Main[[#This Row],[Class]]="A",WORKDAY(Main[[#This Row],[Tech Start Date]],2),""))))</f>
        <v/>
      </c>
      <c r="N1111" s="77" t="str">
        <f>IF(Main[[#This Row],[Tech Start Date]]&lt;1/1/1990,"",IF(Main[[#This Row],[Class]]="C",WORKDAY(Main[[#This Row],[Tech Start Date]],19),IF(Main[[#This Row],[Class]]="B", WORKDAY(Main[[#This Row],[Tech Start Date]],12),IF(Main[[#This Row],[Class]]="A",WORKDAY(Main[[#This Row],[Tech Start Date]],4),""))))</f>
        <v/>
      </c>
      <c r="O1111" s="77" t="str">
        <f>IF(Main[[#This Row],[Tech Start Date]]&lt;1/1/1990,"",IF(Main[[#This Row],[Class]]="C",WORKDAY(Main[[#This Row],[Tech Start Date]],23),IF(Main[[#This Row],[Class]]="B", WORKDAY(Main[[#This Row],[Tech Start Date]],15),IF(Main[[#This Row],[Class]]="A",WORKDAY(Main[[#This Row],[Tech Start Date]],5),""))))</f>
        <v/>
      </c>
      <c r="P1111" s="77" t="str">
        <f>IF(Main[[#This Row],[Tech Start Date]]&lt;1/1/1990,"",IF(Main[[#This Row],[Class]]="C",WORKDAY(Main[[#This Row],[Tech Start Date]],28),IF(Main[[#This Row],[Class]]="B", WORKDAY(Main[[#This Row],[Tech Start Date]],19),IF(Main[[#This Row],[Class]]="A",WORKDAY(Main[[#This Row],[Tech Start Date]],9),""))))</f>
        <v/>
      </c>
      <c r="Q1111" s="74">
        <v>40906</v>
      </c>
      <c r="R1111" s="74">
        <v>40436</v>
      </c>
      <c r="S1111" s="72" t="s">
        <v>17</v>
      </c>
      <c r="T1111" s="80" t="s">
        <v>4</v>
      </c>
      <c r="U1111" s="72" t="s">
        <v>29</v>
      </c>
      <c r="V1111" s="72" t="s">
        <v>1918</v>
      </c>
      <c r="W1111" s="72" t="s">
        <v>1922</v>
      </c>
      <c r="X1111" s="72" t="s">
        <v>2868</v>
      </c>
      <c r="Y1111" s="72" t="s">
        <v>3012</v>
      </c>
      <c r="Z1111" s="72" t="s">
        <v>108</v>
      </c>
      <c r="AA1111" s="146" t="s">
        <v>2868</v>
      </c>
    </row>
    <row r="1112" spans="1:27" ht="18.600000000000001" customHeight="1">
      <c r="A1112" s="139" t="str">
        <f>IF(priority(Main[[#This Row],[Comments]])&lt;&gt;0, priority(Main[[#This Row],[Comments]]),"")</f>
        <v/>
      </c>
      <c r="B1112" s="89" t="s">
        <v>3663</v>
      </c>
      <c r="C1112" s="72" t="s">
        <v>4</v>
      </c>
      <c r="D1112" s="73" t="s">
        <v>3664</v>
      </c>
      <c r="E1112" s="74">
        <v>40960.440069444441</v>
      </c>
      <c r="F1112" s="74"/>
      <c r="G1112" s="75" t="str">
        <f>IF(stdProdLT(Main[[#This Row],[Comments]])=0.1,"N/A",IF(stdProdLT(Main[[#This Row],[Comments]])=0,"",stdProdLT(Main[[#This Row],[Comments]])))</f>
        <v/>
      </c>
      <c r="H1112" s="76" t="str">
        <f>IF(AND(Main[[#This Row],[In Stock Date]]&lt;&gt;"",Main[[#This Row],[Revised Due Date]]&lt;&gt;""),Main[[#This Row],[In Stock Date]]-Main[[#This Row],[Revised Due Date]],"")</f>
        <v/>
      </c>
      <c r="I1112" s="72" t="s">
        <v>102</v>
      </c>
      <c r="J1112" s="72" t="s">
        <v>75</v>
      </c>
      <c r="K1112" s="72" t="s">
        <v>1926</v>
      </c>
      <c r="L1112" s="74"/>
      <c r="M1112" s="77" t="str">
        <f>IF(Main[[#This Row],[Tech Start Date]]&lt;1/1/1990,"",IF(Main[[#This Row],[Class]]="C",WORKDAY(Main[[#This Row],[Tech Start Date]],9),IF(Main[[#This Row],[Class]]="B", WORKDAY(Main[[#This Row],[Tech Start Date]],6),IF(Main[[#This Row],[Class]]="A",WORKDAY(Main[[#This Row],[Tech Start Date]],2),""))))</f>
        <v/>
      </c>
      <c r="N1112" s="77" t="str">
        <f>IF(Main[[#This Row],[Tech Start Date]]&lt;1/1/1990,"",IF(Main[[#This Row],[Class]]="C",WORKDAY(Main[[#This Row],[Tech Start Date]],19),IF(Main[[#This Row],[Class]]="B", WORKDAY(Main[[#This Row],[Tech Start Date]],12),IF(Main[[#This Row],[Class]]="A",WORKDAY(Main[[#This Row],[Tech Start Date]],4),""))))</f>
        <v/>
      </c>
      <c r="O1112" s="77" t="str">
        <f>IF(Main[[#This Row],[Tech Start Date]]&lt;1/1/1990,"",IF(Main[[#This Row],[Class]]="C",WORKDAY(Main[[#This Row],[Tech Start Date]],23),IF(Main[[#This Row],[Class]]="B", WORKDAY(Main[[#This Row],[Tech Start Date]],15),IF(Main[[#This Row],[Class]]="A",WORKDAY(Main[[#This Row],[Tech Start Date]],5),""))))</f>
        <v/>
      </c>
      <c r="P1112" s="77" t="str">
        <f>IF(Main[[#This Row],[Tech Start Date]]&lt;1/1/1990,"",IF(Main[[#This Row],[Class]]="C",WORKDAY(Main[[#This Row],[Tech Start Date]],28),IF(Main[[#This Row],[Class]]="B", WORKDAY(Main[[#This Row],[Tech Start Date]],19),IF(Main[[#This Row],[Class]]="A",WORKDAY(Main[[#This Row],[Tech Start Date]],9),""))))</f>
        <v/>
      </c>
      <c r="Q1112" s="74"/>
      <c r="R1112" s="74"/>
      <c r="S1112" s="72" t="s">
        <v>6</v>
      </c>
      <c r="T1112" s="80" t="s">
        <v>4</v>
      </c>
      <c r="U1112" s="72" t="s">
        <v>29</v>
      </c>
      <c r="V1112" s="72" t="s">
        <v>1917</v>
      </c>
      <c r="W1112" s="72" t="s">
        <v>1919</v>
      </c>
      <c r="X1112" s="72" t="s">
        <v>2211</v>
      </c>
      <c r="Y1112" s="72" t="s">
        <v>3665</v>
      </c>
      <c r="Z1112" s="72" t="s">
        <v>306</v>
      </c>
      <c r="AA1112" s="146" t="s">
        <v>3469</v>
      </c>
    </row>
    <row r="1113" spans="1:27" ht="18.600000000000001" customHeight="1">
      <c r="A1113" s="139" t="str">
        <f>IF(priority(Main[[#This Row],[Comments]])&lt;&gt;0, priority(Main[[#This Row],[Comments]]),"")</f>
        <v/>
      </c>
      <c r="B1113" s="89" t="s">
        <v>3666</v>
      </c>
      <c r="C1113" s="72" t="s">
        <v>4</v>
      </c>
      <c r="D1113" s="73" t="s">
        <v>3667</v>
      </c>
      <c r="E1113" s="74">
        <v>40956.460902777777</v>
      </c>
      <c r="F1113" s="74"/>
      <c r="G1113" s="75" t="str">
        <f>IF(stdProdLT(Main[[#This Row],[Comments]])=0.1,"N/A",IF(stdProdLT(Main[[#This Row],[Comments]])=0,"",stdProdLT(Main[[#This Row],[Comments]])))</f>
        <v/>
      </c>
      <c r="H1113" s="76" t="str">
        <f>IF(AND(Main[[#This Row],[In Stock Date]]&lt;&gt;"",Main[[#This Row],[Revised Due Date]]&lt;&gt;""),Main[[#This Row],[In Stock Date]]-Main[[#This Row],[Revised Due Date]],"")</f>
        <v/>
      </c>
      <c r="I1113" s="72" t="s">
        <v>2054</v>
      </c>
      <c r="J1113" s="72" t="s">
        <v>28</v>
      </c>
      <c r="K1113" s="72" t="s">
        <v>4</v>
      </c>
      <c r="L1113" s="74"/>
      <c r="M1113" s="77" t="str">
        <f>IF(Main[[#This Row],[Tech Start Date]]&lt;1/1/1990,"",IF(Main[[#This Row],[Class]]="C",WORKDAY(Main[[#This Row],[Tech Start Date]],9),IF(Main[[#This Row],[Class]]="B", WORKDAY(Main[[#This Row],[Tech Start Date]],6),IF(Main[[#This Row],[Class]]="A",WORKDAY(Main[[#This Row],[Tech Start Date]],2),""))))</f>
        <v/>
      </c>
      <c r="N1113" s="77" t="str">
        <f>IF(Main[[#This Row],[Tech Start Date]]&lt;1/1/1990,"",IF(Main[[#This Row],[Class]]="C",WORKDAY(Main[[#This Row],[Tech Start Date]],19),IF(Main[[#This Row],[Class]]="B", WORKDAY(Main[[#This Row],[Tech Start Date]],12),IF(Main[[#This Row],[Class]]="A",WORKDAY(Main[[#This Row],[Tech Start Date]],4),""))))</f>
        <v/>
      </c>
      <c r="O1113" s="77" t="str">
        <f>IF(Main[[#This Row],[Tech Start Date]]&lt;1/1/1990,"",IF(Main[[#This Row],[Class]]="C",WORKDAY(Main[[#This Row],[Tech Start Date]],23),IF(Main[[#This Row],[Class]]="B", WORKDAY(Main[[#This Row],[Tech Start Date]],15),IF(Main[[#This Row],[Class]]="A",WORKDAY(Main[[#This Row],[Tech Start Date]],5),""))))</f>
        <v/>
      </c>
      <c r="P1113" s="77" t="str">
        <f>IF(Main[[#This Row],[Tech Start Date]]&lt;1/1/1990,"",IF(Main[[#This Row],[Class]]="C",WORKDAY(Main[[#This Row],[Tech Start Date]],28),IF(Main[[#This Row],[Class]]="B", WORKDAY(Main[[#This Row],[Tech Start Date]],19),IF(Main[[#This Row],[Class]]="A",WORKDAY(Main[[#This Row],[Tech Start Date]],9),""))))</f>
        <v/>
      </c>
      <c r="Q1113" s="74">
        <v>40991</v>
      </c>
      <c r="R1113" s="74"/>
      <c r="S1113" s="72" t="s">
        <v>6</v>
      </c>
      <c r="T1113" s="80" t="s">
        <v>4</v>
      </c>
      <c r="U1113" s="72" t="s">
        <v>29</v>
      </c>
      <c r="V1113" s="72" t="s">
        <v>1920</v>
      </c>
      <c r="W1113" s="72" t="s">
        <v>1921</v>
      </c>
      <c r="X1113" s="72" t="s">
        <v>2824</v>
      </c>
      <c r="Y1113" s="72" t="s">
        <v>2935</v>
      </c>
      <c r="Z1113" s="72" t="s">
        <v>30</v>
      </c>
      <c r="AA1113" s="146" t="s">
        <v>2824</v>
      </c>
    </row>
    <row r="1114" spans="1:27" ht="18.600000000000001" customHeight="1">
      <c r="A1114" s="139" t="str">
        <f>IF(priority(Main[[#This Row],[Comments]])&lt;&gt;0, priority(Main[[#This Row],[Comments]]),"")</f>
        <v/>
      </c>
      <c r="B1114" s="89" t="s">
        <v>2299</v>
      </c>
      <c r="C1114" s="72" t="s">
        <v>4</v>
      </c>
      <c r="D1114" s="73" t="s">
        <v>3668</v>
      </c>
      <c r="E1114" s="74">
        <v>40814.667314814818</v>
      </c>
      <c r="F1114" s="74"/>
      <c r="G1114" s="75" t="str">
        <f>IF(stdProdLT(Main[[#This Row],[Comments]])=0.1,"N/A",IF(stdProdLT(Main[[#This Row],[Comments]])=0,"",stdProdLT(Main[[#This Row],[Comments]])))</f>
        <v/>
      </c>
      <c r="H1114" s="76" t="str">
        <f>IF(AND(Main[[#This Row],[In Stock Date]]&lt;&gt;"",Main[[#This Row],[Revised Due Date]]&lt;&gt;""),Main[[#This Row],[In Stock Date]]-Main[[#This Row],[Revised Due Date]],"")</f>
        <v/>
      </c>
      <c r="I1114" s="72" t="s">
        <v>885</v>
      </c>
      <c r="J1114" s="72" t="s">
        <v>51</v>
      </c>
      <c r="K1114" s="72" t="s">
        <v>1926</v>
      </c>
      <c r="L1114" s="74"/>
      <c r="M1114" s="77" t="str">
        <f>IF(Main[[#This Row],[Tech Start Date]]&lt;1/1/1990,"",IF(Main[[#This Row],[Class]]="C",WORKDAY(Main[[#This Row],[Tech Start Date]],9),IF(Main[[#This Row],[Class]]="B", WORKDAY(Main[[#This Row],[Tech Start Date]],6),IF(Main[[#This Row],[Class]]="A",WORKDAY(Main[[#This Row],[Tech Start Date]],2),""))))</f>
        <v/>
      </c>
      <c r="N1114" s="77" t="str">
        <f>IF(Main[[#This Row],[Tech Start Date]]&lt;1/1/1990,"",IF(Main[[#This Row],[Class]]="C",WORKDAY(Main[[#This Row],[Tech Start Date]],19),IF(Main[[#This Row],[Class]]="B", WORKDAY(Main[[#This Row],[Tech Start Date]],12),IF(Main[[#This Row],[Class]]="A",WORKDAY(Main[[#This Row],[Tech Start Date]],4),""))))</f>
        <v/>
      </c>
      <c r="O1114" s="77" t="str">
        <f>IF(Main[[#This Row],[Tech Start Date]]&lt;1/1/1990,"",IF(Main[[#This Row],[Class]]="C",WORKDAY(Main[[#This Row],[Tech Start Date]],23),IF(Main[[#This Row],[Class]]="B", WORKDAY(Main[[#This Row],[Tech Start Date]],15),IF(Main[[#This Row],[Class]]="A",WORKDAY(Main[[#This Row],[Tech Start Date]],5),""))))</f>
        <v/>
      </c>
      <c r="P1114" s="77" t="str">
        <f>IF(Main[[#This Row],[Tech Start Date]]&lt;1/1/1990,"",IF(Main[[#This Row],[Class]]="C",WORKDAY(Main[[#This Row],[Tech Start Date]],28),IF(Main[[#This Row],[Class]]="B", WORKDAY(Main[[#This Row],[Tech Start Date]],19),IF(Main[[#This Row],[Class]]="A",WORKDAY(Main[[#This Row],[Tech Start Date]],9),""))))</f>
        <v/>
      </c>
      <c r="Q1114" s="74"/>
      <c r="R1114" s="74"/>
      <c r="S1114" s="72" t="s">
        <v>6</v>
      </c>
      <c r="T1114" s="80" t="s">
        <v>4</v>
      </c>
      <c r="U1114" s="72" t="s">
        <v>29</v>
      </c>
      <c r="V1114" s="72" t="s">
        <v>1920</v>
      </c>
      <c r="W1114" s="72" t="s">
        <v>1921</v>
      </c>
      <c r="X1114" s="72" t="s">
        <v>399</v>
      </c>
      <c r="Y1114" s="72" t="s">
        <v>2969</v>
      </c>
      <c r="Z1114" s="72" t="s">
        <v>306</v>
      </c>
      <c r="AA1114" s="146" t="s">
        <v>885</v>
      </c>
    </row>
    <row r="1115" spans="1:27" ht="18.600000000000001" customHeight="1">
      <c r="A1115" s="139" t="str">
        <f>IF(priority(Main[[#This Row],[Comments]])&lt;&gt;0, priority(Main[[#This Row],[Comments]]),"")</f>
        <v/>
      </c>
      <c r="B1115" s="89" t="s">
        <v>2381</v>
      </c>
      <c r="C1115" s="72" t="s">
        <v>4</v>
      </c>
      <c r="D1115" s="73" t="s">
        <v>2382</v>
      </c>
      <c r="E1115" s="74">
        <v>40835.331365740742</v>
      </c>
      <c r="F1115" s="74"/>
      <c r="G1115" s="75" t="str">
        <f>IF(stdProdLT(Main[[#This Row],[Comments]])=0.1,"N/A",IF(stdProdLT(Main[[#This Row],[Comments]])=0,"",stdProdLT(Main[[#This Row],[Comments]])))</f>
        <v/>
      </c>
      <c r="H1115" s="76" t="str">
        <f>IF(AND(Main[[#This Row],[In Stock Date]]&lt;&gt;"",Main[[#This Row],[Revised Due Date]]&lt;&gt;""),Main[[#This Row],[In Stock Date]]-Main[[#This Row],[Revised Due Date]],"")</f>
        <v/>
      </c>
      <c r="I1115" s="72" t="s">
        <v>530</v>
      </c>
      <c r="J1115" s="72" t="s">
        <v>21</v>
      </c>
      <c r="K1115" s="72" t="s">
        <v>1926</v>
      </c>
      <c r="L1115" s="74"/>
      <c r="M1115" s="77" t="str">
        <f>IF(Main[[#This Row],[Tech Start Date]]&lt;1/1/1990,"",IF(Main[[#This Row],[Class]]="C",WORKDAY(Main[[#This Row],[Tech Start Date]],9),IF(Main[[#This Row],[Class]]="B", WORKDAY(Main[[#This Row],[Tech Start Date]],6),IF(Main[[#This Row],[Class]]="A",WORKDAY(Main[[#This Row],[Tech Start Date]],2),""))))</f>
        <v/>
      </c>
      <c r="N1115" s="77" t="str">
        <f>IF(Main[[#This Row],[Tech Start Date]]&lt;1/1/1990,"",IF(Main[[#This Row],[Class]]="C",WORKDAY(Main[[#This Row],[Tech Start Date]],19),IF(Main[[#This Row],[Class]]="B", WORKDAY(Main[[#This Row],[Tech Start Date]],12),IF(Main[[#This Row],[Class]]="A",WORKDAY(Main[[#This Row],[Tech Start Date]],4),""))))</f>
        <v/>
      </c>
      <c r="O1115" s="77" t="str">
        <f>IF(Main[[#This Row],[Tech Start Date]]&lt;1/1/1990,"",IF(Main[[#This Row],[Class]]="C",WORKDAY(Main[[#This Row],[Tech Start Date]],23),IF(Main[[#This Row],[Class]]="B", WORKDAY(Main[[#This Row],[Tech Start Date]],15),IF(Main[[#This Row],[Class]]="A",WORKDAY(Main[[#This Row],[Tech Start Date]],5),""))))</f>
        <v/>
      </c>
      <c r="P1115" s="77" t="str">
        <f>IF(Main[[#This Row],[Tech Start Date]]&lt;1/1/1990,"",IF(Main[[#This Row],[Class]]="C",WORKDAY(Main[[#This Row],[Tech Start Date]],28),IF(Main[[#This Row],[Class]]="B", WORKDAY(Main[[#This Row],[Tech Start Date]],19),IF(Main[[#This Row],[Class]]="A",WORKDAY(Main[[#This Row],[Tech Start Date]],9),""))))</f>
        <v/>
      </c>
      <c r="Q1115" s="74"/>
      <c r="R1115" s="74"/>
      <c r="S1115" s="72" t="s">
        <v>6</v>
      </c>
      <c r="T1115" s="80" t="s">
        <v>4</v>
      </c>
      <c r="U1115" s="72" t="s">
        <v>29</v>
      </c>
      <c r="V1115" s="72" t="s">
        <v>1920</v>
      </c>
      <c r="W1115" s="72" t="s">
        <v>1921</v>
      </c>
      <c r="X1115" s="72" t="s">
        <v>399</v>
      </c>
      <c r="Y1115" s="72" t="s">
        <v>4</v>
      </c>
      <c r="Z1115" s="72" t="s">
        <v>530</v>
      </c>
      <c r="AA1115" s="146" t="s">
        <v>3408</v>
      </c>
    </row>
    <row r="1116" spans="1:27" ht="18.600000000000001" customHeight="1">
      <c r="A1116" s="139" t="str">
        <f>IF(priority(Main[[#This Row],[Comments]])&lt;&gt;0, priority(Main[[#This Row],[Comments]]),"")</f>
        <v/>
      </c>
      <c r="B1116" s="89" t="s">
        <v>3669</v>
      </c>
      <c r="C1116" s="72" t="s">
        <v>122</v>
      </c>
      <c r="D1116" s="73" t="s">
        <v>3670</v>
      </c>
      <c r="E1116" s="74">
        <v>40966.422523148147</v>
      </c>
      <c r="F1116" s="74">
        <v>40998</v>
      </c>
      <c r="G1116" s="75" t="str">
        <f>IF(stdProdLT(Main[[#This Row],[Comments]])=0.1,"N/A",IF(stdProdLT(Main[[#This Row],[Comments]])=0,"",stdProdLT(Main[[#This Row],[Comments]])))</f>
        <v/>
      </c>
      <c r="H1116" s="76" t="str">
        <f>IF(AND(Main[[#This Row],[In Stock Date]]&lt;&gt;"",Main[[#This Row],[Revised Due Date]]&lt;&gt;""),Main[[#This Row],[In Stock Date]]-Main[[#This Row],[Revised Due Date]],"")</f>
        <v/>
      </c>
      <c r="I1116" s="72" t="s">
        <v>4</v>
      </c>
      <c r="J1116" s="72" t="s">
        <v>4</v>
      </c>
      <c r="K1116" s="72" t="s">
        <v>4</v>
      </c>
      <c r="L1116" s="74"/>
      <c r="M1116" s="77" t="str">
        <f>IF(Main[[#This Row],[Tech Start Date]]&lt;1/1/1990,"",IF(Main[[#This Row],[Class]]="C",WORKDAY(Main[[#This Row],[Tech Start Date]],9),IF(Main[[#This Row],[Class]]="B", WORKDAY(Main[[#This Row],[Tech Start Date]],6),IF(Main[[#This Row],[Class]]="A",WORKDAY(Main[[#This Row],[Tech Start Date]],2),""))))</f>
        <v/>
      </c>
      <c r="N1116" s="77" t="str">
        <f>IF(Main[[#This Row],[Tech Start Date]]&lt;1/1/1990,"",IF(Main[[#This Row],[Class]]="C",WORKDAY(Main[[#This Row],[Tech Start Date]],19),IF(Main[[#This Row],[Class]]="B", WORKDAY(Main[[#This Row],[Tech Start Date]],12),IF(Main[[#This Row],[Class]]="A",WORKDAY(Main[[#This Row],[Tech Start Date]],4),""))))</f>
        <v/>
      </c>
      <c r="O1116" s="77" t="str">
        <f>IF(Main[[#This Row],[Tech Start Date]]&lt;1/1/1990,"",IF(Main[[#This Row],[Class]]="C",WORKDAY(Main[[#This Row],[Tech Start Date]],23),IF(Main[[#This Row],[Class]]="B", WORKDAY(Main[[#This Row],[Tech Start Date]],15),IF(Main[[#This Row],[Class]]="A",WORKDAY(Main[[#This Row],[Tech Start Date]],5),""))))</f>
        <v/>
      </c>
      <c r="P1116" s="77" t="str">
        <f>IF(Main[[#This Row],[Tech Start Date]]&lt;1/1/1990,"",IF(Main[[#This Row],[Class]]="C",WORKDAY(Main[[#This Row],[Tech Start Date]],28),IF(Main[[#This Row],[Class]]="B", WORKDAY(Main[[#This Row],[Tech Start Date]],19),IF(Main[[#This Row],[Class]]="A",WORKDAY(Main[[#This Row],[Tech Start Date]],9),""))))</f>
        <v/>
      </c>
      <c r="Q1116" s="74"/>
      <c r="R1116" s="74"/>
      <c r="S1116" s="72" t="s">
        <v>17</v>
      </c>
      <c r="T1116" s="80" t="s">
        <v>4</v>
      </c>
      <c r="U1116" s="72" t="s">
        <v>7</v>
      </c>
      <c r="V1116" s="72" t="s">
        <v>1920</v>
      </c>
      <c r="W1116" s="72" t="s">
        <v>1925</v>
      </c>
      <c r="X1116" s="72" t="s">
        <v>50</v>
      </c>
      <c r="Y1116" s="72" t="s">
        <v>3597</v>
      </c>
      <c r="Z1116" s="72" t="s">
        <v>4</v>
      </c>
      <c r="AA1116" s="146" t="s">
        <v>65</v>
      </c>
    </row>
    <row r="1117" spans="1:27" ht="18.600000000000001" customHeight="1">
      <c r="A1117" s="139" t="str">
        <f>IF(priority(Main[[#This Row],[Comments]])&lt;&gt;0, priority(Main[[#This Row],[Comments]]),"")</f>
        <v/>
      </c>
      <c r="B1117" s="89" t="s">
        <v>2294</v>
      </c>
      <c r="C1117" s="72" t="s">
        <v>67</v>
      </c>
      <c r="D1117" s="73" t="s">
        <v>2290</v>
      </c>
      <c r="E1117" s="74">
        <v>40813.66920138889</v>
      </c>
      <c r="F1117" s="74">
        <v>41075</v>
      </c>
      <c r="G1117" s="75" t="str">
        <f>IF(stdProdLT(Main[[#This Row],[Comments]])=0.1,"N/A",IF(stdProdLT(Main[[#This Row],[Comments]])=0,"",stdProdLT(Main[[#This Row],[Comments]])))</f>
        <v/>
      </c>
      <c r="H1117" s="76" t="str">
        <f>IF(AND(Main[[#This Row],[In Stock Date]]&lt;&gt;"",Main[[#This Row],[Revised Due Date]]&lt;&gt;""),Main[[#This Row],[In Stock Date]]-Main[[#This Row],[Revised Due Date]],"")</f>
        <v/>
      </c>
      <c r="I1117" s="72" t="s">
        <v>239</v>
      </c>
      <c r="J1117" s="72" t="s">
        <v>28</v>
      </c>
      <c r="K1117" s="72" t="s">
        <v>1929</v>
      </c>
      <c r="L1117" s="74"/>
      <c r="M1117" s="77" t="str">
        <f>IF(Main[[#This Row],[Tech Start Date]]&lt;1/1/1990,"",IF(Main[[#This Row],[Class]]="C",WORKDAY(Main[[#This Row],[Tech Start Date]],9),IF(Main[[#This Row],[Class]]="B", WORKDAY(Main[[#This Row],[Tech Start Date]],6),IF(Main[[#This Row],[Class]]="A",WORKDAY(Main[[#This Row],[Tech Start Date]],2),""))))</f>
        <v/>
      </c>
      <c r="N1117" s="77" t="str">
        <f>IF(Main[[#This Row],[Tech Start Date]]&lt;1/1/1990,"",IF(Main[[#This Row],[Class]]="C",WORKDAY(Main[[#This Row],[Tech Start Date]],19),IF(Main[[#This Row],[Class]]="B", WORKDAY(Main[[#This Row],[Tech Start Date]],12),IF(Main[[#This Row],[Class]]="A",WORKDAY(Main[[#This Row],[Tech Start Date]],4),""))))</f>
        <v/>
      </c>
      <c r="O1117" s="77" t="str">
        <f>IF(Main[[#This Row],[Tech Start Date]]&lt;1/1/1990,"",IF(Main[[#This Row],[Class]]="C",WORKDAY(Main[[#This Row],[Tech Start Date]],23),IF(Main[[#This Row],[Class]]="B", WORKDAY(Main[[#This Row],[Tech Start Date]],15),IF(Main[[#This Row],[Class]]="A",WORKDAY(Main[[#This Row],[Tech Start Date]],5),""))))</f>
        <v/>
      </c>
      <c r="P1117" s="77" t="str">
        <f>IF(Main[[#This Row],[Tech Start Date]]&lt;1/1/1990,"",IF(Main[[#This Row],[Class]]="C",WORKDAY(Main[[#This Row],[Tech Start Date]],28),IF(Main[[#This Row],[Class]]="B", WORKDAY(Main[[#This Row],[Tech Start Date]],19),IF(Main[[#This Row],[Class]]="A",WORKDAY(Main[[#This Row],[Tech Start Date]],9),""))))</f>
        <v/>
      </c>
      <c r="Q1117" s="74">
        <v>41258</v>
      </c>
      <c r="R1117" s="74"/>
      <c r="S1117" s="72" t="s">
        <v>17</v>
      </c>
      <c r="T1117" s="80" t="s">
        <v>4</v>
      </c>
      <c r="U1117" s="72" t="s">
        <v>29</v>
      </c>
      <c r="V1117" s="72" t="s">
        <v>1927</v>
      </c>
      <c r="W1117" s="72" t="s">
        <v>1928</v>
      </c>
      <c r="X1117" s="72" t="s">
        <v>554</v>
      </c>
      <c r="Y1117" s="72" t="s">
        <v>2958</v>
      </c>
      <c r="Z1117" s="72" t="s">
        <v>239</v>
      </c>
      <c r="AA1117" s="146" t="s">
        <v>554</v>
      </c>
    </row>
    <row r="1118" spans="1:27" ht="18.600000000000001" customHeight="1">
      <c r="A1118" s="139" t="str">
        <f>IF(priority(Main[[#This Row],[Comments]])&lt;&gt;0, priority(Main[[#This Row],[Comments]]),"")</f>
        <v/>
      </c>
      <c r="B1118" s="89" t="s">
        <v>2162</v>
      </c>
      <c r="C1118" s="72" t="s">
        <v>2163</v>
      </c>
      <c r="D1118" s="73" t="s">
        <v>2346</v>
      </c>
      <c r="E1118" s="74">
        <v>40781.400787037041</v>
      </c>
      <c r="F1118" s="74"/>
      <c r="G1118" s="75" t="str">
        <f>IF(stdProdLT(Main[[#This Row],[Comments]])=0.1,"N/A",IF(stdProdLT(Main[[#This Row],[Comments]])=0,"",stdProdLT(Main[[#This Row],[Comments]])))</f>
        <v/>
      </c>
      <c r="H1118" s="76" t="str">
        <f>IF(AND(Main[[#This Row],[In Stock Date]]&lt;&gt;"",Main[[#This Row],[Revised Due Date]]&lt;&gt;""),Main[[#This Row],[In Stock Date]]-Main[[#This Row],[Revised Due Date]],"")</f>
        <v/>
      </c>
      <c r="I1118" s="72" t="s">
        <v>4</v>
      </c>
      <c r="J1118" s="72" t="s">
        <v>28</v>
      </c>
      <c r="K1118" s="72" t="s">
        <v>1926</v>
      </c>
      <c r="L1118" s="74"/>
      <c r="M1118" s="77" t="str">
        <f>IF(Main[[#This Row],[Tech Start Date]]&lt;1/1/1990,"",IF(Main[[#This Row],[Class]]="C",WORKDAY(Main[[#This Row],[Tech Start Date]],9),IF(Main[[#This Row],[Class]]="B", WORKDAY(Main[[#This Row],[Tech Start Date]],6),IF(Main[[#This Row],[Class]]="A",WORKDAY(Main[[#This Row],[Tech Start Date]],2),""))))</f>
        <v/>
      </c>
      <c r="N1118" s="77" t="str">
        <f>IF(Main[[#This Row],[Tech Start Date]]&lt;1/1/1990,"",IF(Main[[#This Row],[Class]]="C",WORKDAY(Main[[#This Row],[Tech Start Date]],19),IF(Main[[#This Row],[Class]]="B", WORKDAY(Main[[#This Row],[Tech Start Date]],12),IF(Main[[#This Row],[Class]]="A",WORKDAY(Main[[#This Row],[Tech Start Date]],4),""))))</f>
        <v/>
      </c>
      <c r="O1118" s="77" t="str">
        <f>IF(Main[[#This Row],[Tech Start Date]]&lt;1/1/1990,"",IF(Main[[#This Row],[Class]]="C",WORKDAY(Main[[#This Row],[Tech Start Date]],23),IF(Main[[#This Row],[Class]]="B", WORKDAY(Main[[#This Row],[Tech Start Date]],15),IF(Main[[#This Row],[Class]]="A",WORKDAY(Main[[#This Row],[Tech Start Date]],5),""))))</f>
        <v/>
      </c>
      <c r="P1118" s="77" t="str">
        <f>IF(Main[[#This Row],[Tech Start Date]]&lt;1/1/1990,"",IF(Main[[#This Row],[Class]]="C",WORKDAY(Main[[#This Row],[Tech Start Date]],28),IF(Main[[#This Row],[Class]]="B", WORKDAY(Main[[#This Row],[Tech Start Date]],19),IF(Main[[#This Row],[Class]]="A",WORKDAY(Main[[#This Row],[Tech Start Date]],9),""))))</f>
        <v/>
      </c>
      <c r="Q1118" s="74">
        <v>40836</v>
      </c>
      <c r="R1118" s="74"/>
      <c r="S1118" s="72" t="s">
        <v>6</v>
      </c>
      <c r="T1118" s="80" t="s">
        <v>4</v>
      </c>
      <c r="U1118" s="72" t="s">
        <v>29</v>
      </c>
      <c r="V1118" s="72" t="s">
        <v>1920</v>
      </c>
      <c r="W1118" s="72" t="s">
        <v>1921</v>
      </c>
      <c r="X1118" s="72" t="s">
        <v>2842</v>
      </c>
      <c r="Y1118" s="72" t="s">
        <v>2971</v>
      </c>
      <c r="Z1118" s="72" t="s">
        <v>30</v>
      </c>
      <c r="AA1118" s="146" t="s">
        <v>2842</v>
      </c>
    </row>
    <row r="1119" spans="1:27" ht="18.600000000000001" customHeight="1">
      <c r="A1119" s="139" t="str">
        <f>IF(priority(Main[[#This Row],[Comments]])&lt;&gt;0, priority(Main[[#This Row],[Comments]]),"")</f>
        <v/>
      </c>
      <c r="B1119" s="89" t="s">
        <v>2756</v>
      </c>
      <c r="C1119" s="72" t="s">
        <v>4</v>
      </c>
      <c r="D1119" s="73" t="s">
        <v>2757</v>
      </c>
      <c r="E1119" s="74">
        <v>40883.642361111109</v>
      </c>
      <c r="F1119" s="74"/>
      <c r="G1119" s="75" t="str">
        <f>IF(stdProdLT(Main[[#This Row],[Comments]])=0.1,"N/A",IF(stdProdLT(Main[[#This Row],[Comments]])=0,"",stdProdLT(Main[[#This Row],[Comments]])))</f>
        <v/>
      </c>
      <c r="H1119" s="76" t="str">
        <f>IF(AND(Main[[#This Row],[In Stock Date]]&lt;&gt;"",Main[[#This Row],[Revised Due Date]]&lt;&gt;""),Main[[#This Row],[In Stock Date]]-Main[[#This Row],[Revised Due Date]],"")</f>
        <v/>
      </c>
      <c r="I1119" s="72" t="s">
        <v>74</v>
      </c>
      <c r="J1119" s="72" t="s">
        <v>4</v>
      </c>
      <c r="K1119" s="72" t="s">
        <v>1929</v>
      </c>
      <c r="L1119" s="74"/>
      <c r="M1119" s="77" t="str">
        <f>IF(Main[[#This Row],[Tech Start Date]]&lt;1/1/1990,"",IF(Main[[#This Row],[Class]]="C",WORKDAY(Main[[#This Row],[Tech Start Date]],9),IF(Main[[#This Row],[Class]]="B", WORKDAY(Main[[#This Row],[Tech Start Date]],6),IF(Main[[#This Row],[Class]]="A",WORKDAY(Main[[#This Row],[Tech Start Date]],2),""))))</f>
        <v/>
      </c>
      <c r="N1119" s="77" t="str">
        <f>IF(Main[[#This Row],[Tech Start Date]]&lt;1/1/1990,"",IF(Main[[#This Row],[Class]]="C",WORKDAY(Main[[#This Row],[Tech Start Date]],19),IF(Main[[#This Row],[Class]]="B", WORKDAY(Main[[#This Row],[Tech Start Date]],12),IF(Main[[#This Row],[Class]]="A",WORKDAY(Main[[#This Row],[Tech Start Date]],4),""))))</f>
        <v/>
      </c>
      <c r="O1119" s="77" t="str">
        <f>IF(Main[[#This Row],[Tech Start Date]]&lt;1/1/1990,"",IF(Main[[#This Row],[Class]]="C",WORKDAY(Main[[#This Row],[Tech Start Date]],23),IF(Main[[#This Row],[Class]]="B", WORKDAY(Main[[#This Row],[Tech Start Date]],15),IF(Main[[#This Row],[Class]]="A",WORKDAY(Main[[#This Row],[Tech Start Date]],5),""))))</f>
        <v/>
      </c>
      <c r="P1119" s="77" t="str">
        <f>IF(Main[[#This Row],[Tech Start Date]]&lt;1/1/1990,"",IF(Main[[#This Row],[Class]]="C",WORKDAY(Main[[#This Row],[Tech Start Date]],28),IF(Main[[#This Row],[Class]]="B", WORKDAY(Main[[#This Row],[Tech Start Date]],19),IF(Main[[#This Row],[Class]]="A",WORKDAY(Main[[#This Row],[Tech Start Date]],9),""))))</f>
        <v/>
      </c>
      <c r="Q1119" s="74"/>
      <c r="R1119" s="74"/>
      <c r="S1119" s="72" t="s">
        <v>17</v>
      </c>
      <c r="T1119" s="80" t="s">
        <v>4</v>
      </c>
      <c r="U1119" s="72" t="s">
        <v>29</v>
      </c>
      <c r="V1119" s="72" t="s">
        <v>1920</v>
      </c>
      <c r="W1119" s="72" t="s">
        <v>1922</v>
      </c>
      <c r="X1119" s="72" t="s">
        <v>415</v>
      </c>
      <c r="Y1119" s="72" t="s">
        <v>2981</v>
      </c>
      <c r="Z1119" s="72" t="s">
        <v>415</v>
      </c>
      <c r="AA1119" s="146" t="s">
        <v>415</v>
      </c>
    </row>
    <row r="1120" spans="1:27" ht="18.600000000000001" customHeight="1">
      <c r="A1120" s="139" t="str">
        <f>IF(priority(Main[[#This Row],[Comments]])&lt;&gt;0, priority(Main[[#This Row],[Comments]]),"")</f>
        <v/>
      </c>
      <c r="B1120" s="89" t="s">
        <v>2510</v>
      </c>
      <c r="C1120" s="72" t="s">
        <v>4</v>
      </c>
      <c r="D1120" s="73" t="s">
        <v>2511</v>
      </c>
      <c r="E1120" s="74">
        <v>40849.455775462964</v>
      </c>
      <c r="F1120" s="74"/>
      <c r="G1120" s="75" t="str">
        <f>IF(stdProdLT(Main[[#This Row],[Comments]])=0.1,"N/A",IF(stdProdLT(Main[[#This Row],[Comments]])=0,"",stdProdLT(Main[[#This Row],[Comments]])))</f>
        <v/>
      </c>
      <c r="H1120" s="76" t="str">
        <f>IF(AND(Main[[#This Row],[In Stock Date]]&lt;&gt;"",Main[[#This Row],[Revised Due Date]]&lt;&gt;""),Main[[#This Row],[In Stock Date]]-Main[[#This Row],[Revised Due Date]],"")</f>
        <v/>
      </c>
      <c r="I1120" s="72" t="s">
        <v>69</v>
      </c>
      <c r="J1120" s="72" t="s">
        <v>70</v>
      </c>
      <c r="K1120" s="72" t="s">
        <v>1926</v>
      </c>
      <c r="L1120" s="74"/>
      <c r="M1120" s="77" t="str">
        <f>IF(Main[[#This Row],[Tech Start Date]]&lt;1/1/1990,"",IF(Main[[#This Row],[Class]]="C",WORKDAY(Main[[#This Row],[Tech Start Date]],9),IF(Main[[#This Row],[Class]]="B", WORKDAY(Main[[#This Row],[Tech Start Date]],6),IF(Main[[#This Row],[Class]]="A",WORKDAY(Main[[#This Row],[Tech Start Date]],2),""))))</f>
        <v/>
      </c>
      <c r="N1120" s="77" t="str">
        <f>IF(Main[[#This Row],[Tech Start Date]]&lt;1/1/1990,"",IF(Main[[#This Row],[Class]]="C",WORKDAY(Main[[#This Row],[Tech Start Date]],19),IF(Main[[#This Row],[Class]]="B", WORKDAY(Main[[#This Row],[Tech Start Date]],12),IF(Main[[#This Row],[Class]]="A",WORKDAY(Main[[#This Row],[Tech Start Date]],4),""))))</f>
        <v/>
      </c>
      <c r="O1120" s="77" t="str">
        <f>IF(Main[[#This Row],[Tech Start Date]]&lt;1/1/1990,"",IF(Main[[#This Row],[Class]]="C",WORKDAY(Main[[#This Row],[Tech Start Date]],23),IF(Main[[#This Row],[Class]]="B", WORKDAY(Main[[#This Row],[Tech Start Date]],15),IF(Main[[#This Row],[Class]]="A",WORKDAY(Main[[#This Row],[Tech Start Date]],5),""))))</f>
        <v/>
      </c>
      <c r="P1120" s="77" t="str">
        <f>IF(Main[[#This Row],[Tech Start Date]]&lt;1/1/1990,"",IF(Main[[#This Row],[Class]]="C",WORKDAY(Main[[#This Row],[Tech Start Date]],28),IF(Main[[#This Row],[Class]]="B", WORKDAY(Main[[#This Row],[Tech Start Date]],19),IF(Main[[#This Row],[Class]]="A",WORKDAY(Main[[#This Row],[Tech Start Date]],9),""))))</f>
        <v/>
      </c>
      <c r="Q1120" s="74">
        <v>40879</v>
      </c>
      <c r="R1120" s="74"/>
      <c r="S1120" s="72" t="s">
        <v>6</v>
      </c>
      <c r="T1120" s="80" t="s">
        <v>4</v>
      </c>
      <c r="U1120" s="72" t="s">
        <v>29</v>
      </c>
      <c r="V1120" s="72" t="s">
        <v>1920</v>
      </c>
      <c r="W1120" s="72" t="s">
        <v>1921</v>
      </c>
      <c r="X1120" s="72" t="s">
        <v>2909</v>
      </c>
      <c r="Y1120" s="72" t="s">
        <v>3089</v>
      </c>
      <c r="Z1120" s="72" t="s">
        <v>30</v>
      </c>
      <c r="AA1120" s="146" t="s">
        <v>2909</v>
      </c>
    </row>
    <row r="1121" spans="1:27" ht="18.600000000000001" customHeight="1">
      <c r="A1121" s="139" t="str">
        <f>IF(priority(Main[[#This Row],[Comments]])&lt;&gt;0, priority(Main[[#This Row],[Comments]]),"")</f>
        <v/>
      </c>
      <c r="B1121" s="89" t="s">
        <v>3230</v>
      </c>
      <c r="C1121" s="72" t="s">
        <v>4</v>
      </c>
      <c r="D1121" s="73" t="s">
        <v>3231</v>
      </c>
      <c r="E1121" s="74">
        <v>40924.459930555553</v>
      </c>
      <c r="F1121" s="74"/>
      <c r="G1121" s="75" t="str">
        <f>IF(stdProdLT(Main[[#This Row],[Comments]])=0.1,"N/A",IF(stdProdLT(Main[[#This Row],[Comments]])=0,"",stdProdLT(Main[[#This Row],[Comments]])))</f>
        <v/>
      </c>
      <c r="H1121" s="76" t="str">
        <f>IF(AND(Main[[#This Row],[In Stock Date]]&lt;&gt;"",Main[[#This Row],[Revised Due Date]]&lt;&gt;""),Main[[#This Row],[In Stock Date]]-Main[[#This Row],[Revised Due Date]],"")</f>
        <v/>
      </c>
      <c r="I1121" s="72" t="s">
        <v>4</v>
      </c>
      <c r="J1121" s="72" t="s">
        <v>28</v>
      </c>
      <c r="K1121" s="72" t="s">
        <v>4</v>
      </c>
      <c r="L1121" s="74"/>
      <c r="M1121" s="77" t="str">
        <f>IF(Main[[#This Row],[Tech Start Date]]&lt;1/1/1990,"",IF(Main[[#This Row],[Class]]="C",WORKDAY(Main[[#This Row],[Tech Start Date]],9),IF(Main[[#This Row],[Class]]="B", WORKDAY(Main[[#This Row],[Tech Start Date]],6),IF(Main[[#This Row],[Class]]="A",WORKDAY(Main[[#This Row],[Tech Start Date]],2),""))))</f>
        <v/>
      </c>
      <c r="N1121" s="77" t="str">
        <f>IF(Main[[#This Row],[Tech Start Date]]&lt;1/1/1990,"",IF(Main[[#This Row],[Class]]="C",WORKDAY(Main[[#This Row],[Tech Start Date]],19),IF(Main[[#This Row],[Class]]="B", WORKDAY(Main[[#This Row],[Tech Start Date]],12),IF(Main[[#This Row],[Class]]="A",WORKDAY(Main[[#This Row],[Tech Start Date]],4),""))))</f>
        <v/>
      </c>
      <c r="O1121" s="77" t="str">
        <f>IF(Main[[#This Row],[Tech Start Date]]&lt;1/1/1990,"",IF(Main[[#This Row],[Class]]="C",WORKDAY(Main[[#This Row],[Tech Start Date]],23),IF(Main[[#This Row],[Class]]="B", WORKDAY(Main[[#This Row],[Tech Start Date]],15),IF(Main[[#This Row],[Class]]="A",WORKDAY(Main[[#This Row],[Tech Start Date]],5),""))))</f>
        <v/>
      </c>
      <c r="P1121" s="77" t="str">
        <f>IF(Main[[#This Row],[Tech Start Date]]&lt;1/1/1990,"",IF(Main[[#This Row],[Class]]="C",WORKDAY(Main[[#This Row],[Tech Start Date]],28),IF(Main[[#This Row],[Class]]="B", WORKDAY(Main[[#This Row],[Tech Start Date]],19),IF(Main[[#This Row],[Class]]="A",WORKDAY(Main[[#This Row],[Tech Start Date]],9),""))))</f>
        <v/>
      </c>
      <c r="Q1121" s="74"/>
      <c r="R1121" s="74"/>
      <c r="S1121" s="72" t="s">
        <v>6</v>
      </c>
      <c r="T1121" s="80" t="s">
        <v>4</v>
      </c>
      <c r="U1121" s="72" t="s">
        <v>29</v>
      </c>
      <c r="V1121" s="72" t="s">
        <v>1920</v>
      </c>
      <c r="W1121" s="72" t="s">
        <v>1921</v>
      </c>
      <c r="X1121" s="72" t="s">
        <v>102</v>
      </c>
      <c r="Y1121" s="72" t="s">
        <v>3232</v>
      </c>
      <c r="Z1121" s="72" t="s">
        <v>30</v>
      </c>
      <c r="AA1121" s="146" t="s">
        <v>3468</v>
      </c>
    </row>
    <row r="1122" spans="1:27" ht="18.600000000000001" customHeight="1">
      <c r="A1122" s="139" t="str">
        <f>IF(priority(Main[[#This Row],[Comments]])&lt;&gt;0, priority(Main[[#This Row],[Comments]]),"")</f>
        <v/>
      </c>
      <c r="B1122" s="89" t="s">
        <v>3552</v>
      </c>
      <c r="C1122" s="72" t="s">
        <v>4</v>
      </c>
      <c r="D1122" s="73" t="s">
        <v>3671</v>
      </c>
      <c r="E1122" s="74">
        <v>40948.438587962963</v>
      </c>
      <c r="F1122" s="74"/>
      <c r="G1122" s="75" t="str">
        <f>IF(stdProdLT(Main[[#This Row],[Comments]])=0.1,"N/A",IF(stdProdLT(Main[[#This Row],[Comments]])=0,"",stdProdLT(Main[[#This Row],[Comments]])))</f>
        <v/>
      </c>
      <c r="H1122" s="76" t="str">
        <f>IF(AND(Main[[#This Row],[In Stock Date]]&lt;&gt;"",Main[[#This Row],[Revised Due Date]]&lt;&gt;""),Main[[#This Row],[In Stock Date]]-Main[[#This Row],[Revised Due Date]],"")</f>
        <v/>
      </c>
      <c r="I1122" s="72" t="s">
        <v>4</v>
      </c>
      <c r="J1122" s="72" t="s">
        <v>4</v>
      </c>
      <c r="K1122" s="72" t="s">
        <v>4</v>
      </c>
      <c r="L1122" s="74"/>
      <c r="M1122" s="77" t="str">
        <f>IF(Main[[#This Row],[Tech Start Date]]&lt;1/1/1990,"",IF(Main[[#This Row],[Class]]="C",WORKDAY(Main[[#This Row],[Tech Start Date]],9),IF(Main[[#This Row],[Class]]="B", WORKDAY(Main[[#This Row],[Tech Start Date]],6),IF(Main[[#This Row],[Class]]="A",WORKDAY(Main[[#This Row],[Tech Start Date]],2),""))))</f>
        <v/>
      </c>
      <c r="N1122" s="77" t="str">
        <f>IF(Main[[#This Row],[Tech Start Date]]&lt;1/1/1990,"",IF(Main[[#This Row],[Class]]="C",WORKDAY(Main[[#This Row],[Tech Start Date]],19),IF(Main[[#This Row],[Class]]="B", WORKDAY(Main[[#This Row],[Tech Start Date]],12),IF(Main[[#This Row],[Class]]="A",WORKDAY(Main[[#This Row],[Tech Start Date]],4),""))))</f>
        <v/>
      </c>
      <c r="O1122" s="77" t="str">
        <f>IF(Main[[#This Row],[Tech Start Date]]&lt;1/1/1990,"",IF(Main[[#This Row],[Class]]="C",WORKDAY(Main[[#This Row],[Tech Start Date]],23),IF(Main[[#This Row],[Class]]="B", WORKDAY(Main[[#This Row],[Tech Start Date]],15),IF(Main[[#This Row],[Class]]="A",WORKDAY(Main[[#This Row],[Tech Start Date]],5),""))))</f>
        <v/>
      </c>
      <c r="P1122" s="77" t="str">
        <f>IF(Main[[#This Row],[Tech Start Date]]&lt;1/1/1990,"",IF(Main[[#This Row],[Class]]="C",WORKDAY(Main[[#This Row],[Tech Start Date]],28),IF(Main[[#This Row],[Class]]="B", WORKDAY(Main[[#This Row],[Tech Start Date]],19),IF(Main[[#This Row],[Class]]="A",WORKDAY(Main[[#This Row],[Tech Start Date]],9),""))))</f>
        <v/>
      </c>
      <c r="Q1122" s="74"/>
      <c r="R1122" s="74"/>
      <c r="S1122" s="72" t="s">
        <v>6</v>
      </c>
      <c r="T1122" s="80" t="s">
        <v>4</v>
      </c>
      <c r="U1122" s="72" t="s">
        <v>29</v>
      </c>
      <c r="V1122" s="72" t="s">
        <v>1917</v>
      </c>
      <c r="W1122" s="72" t="s">
        <v>1921</v>
      </c>
      <c r="X1122" s="72" t="s">
        <v>102</v>
      </c>
      <c r="Y1122" s="72" t="s">
        <v>3086</v>
      </c>
      <c r="Z1122" s="72" t="s">
        <v>4</v>
      </c>
      <c r="AA1122" s="146" t="s">
        <v>3435</v>
      </c>
    </row>
    <row r="1123" spans="1:27" ht="18.600000000000001" customHeight="1">
      <c r="A1123" s="139" t="str">
        <f>IF(priority(Main[[#This Row],[Comments]])&lt;&gt;0, priority(Main[[#This Row],[Comments]]),"")</f>
        <v/>
      </c>
      <c r="B1123" s="89" t="s">
        <v>3295</v>
      </c>
      <c r="C1123" s="72" t="s">
        <v>4</v>
      </c>
      <c r="D1123" s="73" t="s">
        <v>3296</v>
      </c>
      <c r="E1123" s="74">
        <v>40933.367569444446</v>
      </c>
      <c r="F1123" s="74"/>
      <c r="G1123" s="75" t="str">
        <f>IF(stdProdLT(Main[[#This Row],[Comments]])=0.1,"N/A",IF(stdProdLT(Main[[#This Row],[Comments]])=0,"",stdProdLT(Main[[#This Row],[Comments]])))</f>
        <v/>
      </c>
      <c r="H1123" s="76" t="str">
        <f>IF(AND(Main[[#This Row],[In Stock Date]]&lt;&gt;"",Main[[#This Row],[Revised Due Date]]&lt;&gt;""),Main[[#This Row],[In Stock Date]]-Main[[#This Row],[Revised Due Date]],"")</f>
        <v/>
      </c>
      <c r="I1123" s="72" t="s">
        <v>530</v>
      </c>
      <c r="J1123" s="72" t="s">
        <v>52</v>
      </c>
      <c r="K1123" s="81" t="s">
        <v>1926</v>
      </c>
      <c r="L1123" s="74"/>
      <c r="M1123" s="77" t="str">
        <f>IF(Main[[#This Row],[Tech Start Date]]&lt;1/1/1990,"",IF(Main[[#This Row],[Class]]="C",WORKDAY(Main[[#This Row],[Tech Start Date]],9),IF(Main[[#This Row],[Class]]="B", WORKDAY(Main[[#This Row],[Tech Start Date]],6),IF(Main[[#This Row],[Class]]="A",WORKDAY(Main[[#This Row],[Tech Start Date]],2),""))))</f>
        <v/>
      </c>
      <c r="N1123" s="77" t="str">
        <f>IF(Main[[#This Row],[Tech Start Date]]&lt;1/1/1990,"",IF(Main[[#This Row],[Class]]="C",WORKDAY(Main[[#This Row],[Tech Start Date]],19),IF(Main[[#This Row],[Class]]="B", WORKDAY(Main[[#This Row],[Tech Start Date]],12),IF(Main[[#This Row],[Class]]="A",WORKDAY(Main[[#This Row],[Tech Start Date]],4),""))))</f>
        <v/>
      </c>
      <c r="O1123" s="77" t="str">
        <f>IF(Main[[#This Row],[Tech Start Date]]&lt;1/1/1990,"",IF(Main[[#This Row],[Class]]="C",WORKDAY(Main[[#This Row],[Tech Start Date]],23),IF(Main[[#This Row],[Class]]="B", WORKDAY(Main[[#This Row],[Tech Start Date]],15),IF(Main[[#This Row],[Class]]="A",WORKDAY(Main[[#This Row],[Tech Start Date]],5),""))))</f>
        <v/>
      </c>
      <c r="P1123" s="77" t="str">
        <f>IF(Main[[#This Row],[Tech Start Date]]&lt;1/1/1990,"",IF(Main[[#This Row],[Class]]="C",WORKDAY(Main[[#This Row],[Tech Start Date]],28),IF(Main[[#This Row],[Class]]="B", WORKDAY(Main[[#This Row],[Tech Start Date]],19),IF(Main[[#This Row],[Class]]="A",WORKDAY(Main[[#This Row],[Tech Start Date]],9),""))))</f>
        <v/>
      </c>
      <c r="Q1123" s="74"/>
      <c r="R1123" s="74"/>
      <c r="S1123" s="72" t="s">
        <v>6</v>
      </c>
      <c r="T1123" s="80" t="s">
        <v>4</v>
      </c>
      <c r="U1123" s="72" t="s">
        <v>29</v>
      </c>
      <c r="V1123" s="72" t="s">
        <v>1920</v>
      </c>
      <c r="W1123" s="72" t="s">
        <v>1921</v>
      </c>
      <c r="X1123" s="72" t="s">
        <v>2872</v>
      </c>
      <c r="Y1123" s="72" t="s">
        <v>3006</v>
      </c>
      <c r="Z1123" s="72" t="s">
        <v>30</v>
      </c>
      <c r="AA1123" s="146" t="s">
        <v>2872</v>
      </c>
    </row>
    <row r="1124" spans="1:27" ht="18.600000000000001" customHeight="1">
      <c r="A1124" s="139" t="str">
        <f>IF(priority(Main[[#This Row],[Comments]])&lt;&gt;0, priority(Main[[#This Row],[Comments]]),"")</f>
        <v/>
      </c>
      <c r="B1124" s="89" t="s">
        <v>2730</v>
      </c>
      <c r="C1124" s="72" t="s">
        <v>4</v>
      </c>
      <c r="D1124" s="73" t="s">
        <v>3220</v>
      </c>
      <c r="E1124" s="74">
        <v>40899.185671296298</v>
      </c>
      <c r="F1124" s="74"/>
      <c r="G1124" s="75" t="str">
        <f>IF(stdProdLT(Main[[#This Row],[Comments]])=0.1,"N/A",IF(stdProdLT(Main[[#This Row],[Comments]])=0,"",stdProdLT(Main[[#This Row],[Comments]])))</f>
        <v/>
      </c>
      <c r="H1124" s="76" t="str">
        <f>IF(AND(Main[[#This Row],[In Stock Date]]&lt;&gt;"",Main[[#This Row],[Revised Due Date]]&lt;&gt;""),Main[[#This Row],[In Stock Date]]-Main[[#This Row],[Revised Due Date]],"")</f>
        <v/>
      </c>
      <c r="I1124" s="72" t="s">
        <v>69</v>
      </c>
      <c r="J1124" s="72" t="s">
        <v>28</v>
      </c>
      <c r="K1124" s="72" t="s">
        <v>1926</v>
      </c>
      <c r="L1124" s="74"/>
      <c r="M1124" s="77" t="str">
        <f>IF(Main[[#This Row],[Tech Start Date]]&lt;1/1/1990,"",IF(Main[[#This Row],[Class]]="C",WORKDAY(Main[[#This Row],[Tech Start Date]],9),IF(Main[[#This Row],[Class]]="B", WORKDAY(Main[[#This Row],[Tech Start Date]],6),IF(Main[[#This Row],[Class]]="A",WORKDAY(Main[[#This Row],[Tech Start Date]],2),""))))</f>
        <v/>
      </c>
      <c r="N1124" s="77" t="str">
        <f>IF(Main[[#This Row],[Tech Start Date]]&lt;1/1/1990,"",IF(Main[[#This Row],[Class]]="C",WORKDAY(Main[[#This Row],[Tech Start Date]],19),IF(Main[[#This Row],[Class]]="B", WORKDAY(Main[[#This Row],[Tech Start Date]],12),IF(Main[[#This Row],[Class]]="A",WORKDAY(Main[[#This Row],[Tech Start Date]],4),""))))</f>
        <v/>
      </c>
      <c r="O1124" s="77" t="str">
        <f>IF(Main[[#This Row],[Tech Start Date]]&lt;1/1/1990,"",IF(Main[[#This Row],[Class]]="C",WORKDAY(Main[[#This Row],[Tech Start Date]],23),IF(Main[[#This Row],[Class]]="B", WORKDAY(Main[[#This Row],[Tech Start Date]],15),IF(Main[[#This Row],[Class]]="A",WORKDAY(Main[[#This Row],[Tech Start Date]],5),""))))</f>
        <v/>
      </c>
      <c r="P1124" s="77" t="str">
        <f>IF(Main[[#This Row],[Tech Start Date]]&lt;1/1/1990,"",IF(Main[[#This Row],[Class]]="C",WORKDAY(Main[[#This Row],[Tech Start Date]],28),IF(Main[[#This Row],[Class]]="B", WORKDAY(Main[[#This Row],[Tech Start Date]],19),IF(Main[[#This Row],[Class]]="A",WORKDAY(Main[[#This Row],[Tech Start Date]],9),""))))</f>
        <v/>
      </c>
      <c r="Q1124" s="74">
        <v>40931</v>
      </c>
      <c r="R1124" s="74"/>
      <c r="S1124" s="72" t="s">
        <v>6</v>
      </c>
      <c r="T1124" s="80" t="s">
        <v>4</v>
      </c>
      <c r="U1124" s="72" t="s">
        <v>29</v>
      </c>
      <c r="V1124" s="72" t="s">
        <v>1920</v>
      </c>
      <c r="W1124" s="72" t="s">
        <v>1921</v>
      </c>
      <c r="X1124" s="72" t="s">
        <v>2828</v>
      </c>
      <c r="Y1124" s="72" t="s">
        <v>2944</v>
      </c>
      <c r="Z1124" s="72" t="s">
        <v>30</v>
      </c>
      <c r="AA1124" s="146" t="s">
        <v>2828</v>
      </c>
    </row>
    <row r="1125" spans="1:27" ht="18.600000000000001" customHeight="1">
      <c r="A1125" s="139" t="str">
        <f>IF(priority(Main[[#This Row],[Comments]])&lt;&gt;0, priority(Main[[#This Row],[Comments]]),"")</f>
        <v/>
      </c>
      <c r="B1125" s="89" t="s">
        <v>2691</v>
      </c>
      <c r="C1125" s="72" t="s">
        <v>4</v>
      </c>
      <c r="D1125" s="73" t="s">
        <v>2692</v>
      </c>
      <c r="E1125" s="74">
        <v>40890.683576388888</v>
      </c>
      <c r="F1125" s="74"/>
      <c r="G1125" s="75" t="str">
        <f>IF(stdProdLT(Main[[#This Row],[Comments]])=0.1,"N/A",IF(stdProdLT(Main[[#This Row],[Comments]])=0,"",stdProdLT(Main[[#This Row],[Comments]])))</f>
        <v/>
      </c>
      <c r="H1125" s="76" t="str">
        <f>IF(AND(Main[[#This Row],[In Stock Date]]&lt;&gt;"",Main[[#This Row],[Revised Due Date]]&lt;&gt;""),Main[[#This Row],[In Stock Date]]-Main[[#This Row],[Revised Due Date]],"")</f>
        <v/>
      </c>
      <c r="I1125" s="72" t="s">
        <v>239</v>
      </c>
      <c r="J1125" s="72" t="s">
        <v>21</v>
      </c>
      <c r="K1125" s="72" t="s">
        <v>1926</v>
      </c>
      <c r="L1125" s="74"/>
      <c r="M1125" s="77" t="str">
        <f>IF(Main[[#This Row],[Tech Start Date]]&lt;1/1/1990,"",IF(Main[[#This Row],[Class]]="C",WORKDAY(Main[[#This Row],[Tech Start Date]],9),IF(Main[[#This Row],[Class]]="B", WORKDAY(Main[[#This Row],[Tech Start Date]],6),IF(Main[[#This Row],[Class]]="A",WORKDAY(Main[[#This Row],[Tech Start Date]],2),""))))</f>
        <v/>
      </c>
      <c r="N1125" s="77" t="str">
        <f>IF(Main[[#This Row],[Tech Start Date]]&lt;1/1/1990,"",IF(Main[[#This Row],[Class]]="C",WORKDAY(Main[[#This Row],[Tech Start Date]],19),IF(Main[[#This Row],[Class]]="B", WORKDAY(Main[[#This Row],[Tech Start Date]],12),IF(Main[[#This Row],[Class]]="A",WORKDAY(Main[[#This Row],[Tech Start Date]],4),""))))</f>
        <v/>
      </c>
      <c r="O1125" s="77" t="str">
        <f>IF(Main[[#This Row],[Tech Start Date]]&lt;1/1/1990,"",IF(Main[[#This Row],[Class]]="C",WORKDAY(Main[[#This Row],[Tech Start Date]],23),IF(Main[[#This Row],[Class]]="B", WORKDAY(Main[[#This Row],[Tech Start Date]],15),IF(Main[[#This Row],[Class]]="A",WORKDAY(Main[[#This Row],[Tech Start Date]],5),""))))</f>
        <v/>
      </c>
      <c r="P1125" s="77" t="str">
        <f>IF(Main[[#This Row],[Tech Start Date]]&lt;1/1/1990,"",IF(Main[[#This Row],[Class]]="C",WORKDAY(Main[[#This Row],[Tech Start Date]],28),IF(Main[[#This Row],[Class]]="B", WORKDAY(Main[[#This Row],[Tech Start Date]],19),IF(Main[[#This Row],[Class]]="A",WORKDAY(Main[[#This Row],[Tech Start Date]],9),""))))</f>
        <v/>
      </c>
      <c r="Q1125" s="74">
        <v>40939</v>
      </c>
      <c r="R1125" s="74"/>
      <c r="S1125" s="72" t="s">
        <v>6</v>
      </c>
      <c r="T1125" s="80" t="s">
        <v>4</v>
      </c>
      <c r="U1125" s="72" t="s">
        <v>29</v>
      </c>
      <c r="V1125" s="72" t="s">
        <v>1920</v>
      </c>
      <c r="W1125" s="72" t="s">
        <v>1921</v>
      </c>
      <c r="X1125" s="72" t="s">
        <v>767</v>
      </c>
      <c r="Y1125" s="72" t="s">
        <v>2941</v>
      </c>
      <c r="Z1125" s="72" t="s">
        <v>30</v>
      </c>
      <c r="AA1125" s="146" t="s">
        <v>767</v>
      </c>
    </row>
    <row r="1126" spans="1:27" ht="18.600000000000001" customHeight="1">
      <c r="A1126" s="139" t="str">
        <f>IF(priority(Main[[#This Row],[Comments]])&lt;&gt;0, priority(Main[[#This Row],[Comments]]),"")</f>
        <v/>
      </c>
      <c r="B1126" s="89" t="s">
        <v>2102</v>
      </c>
      <c r="C1126" s="72" t="s">
        <v>4</v>
      </c>
      <c r="D1126" s="73" t="s">
        <v>3280</v>
      </c>
      <c r="E1126" s="74">
        <v>40763.171296296299</v>
      </c>
      <c r="F1126" s="74"/>
      <c r="G1126" s="75" t="str">
        <f>IF(stdProdLT(Main[[#This Row],[Comments]])=0.1,"N/A",IF(stdProdLT(Main[[#This Row],[Comments]])=0,"",stdProdLT(Main[[#This Row],[Comments]])))</f>
        <v/>
      </c>
      <c r="H1126" s="76" t="str">
        <f>IF(AND(Main[[#This Row],[In Stock Date]]&lt;&gt;"",Main[[#This Row],[Revised Due Date]]&lt;&gt;""),Main[[#This Row],[In Stock Date]]-Main[[#This Row],[Revised Due Date]],"")</f>
        <v/>
      </c>
      <c r="I1126" s="72" t="s">
        <v>530</v>
      </c>
      <c r="J1126" s="72" t="s">
        <v>3281</v>
      </c>
      <c r="K1126" s="72" t="s">
        <v>1926</v>
      </c>
      <c r="L1126" s="74"/>
      <c r="M1126" s="77" t="str">
        <f>IF(Main[[#This Row],[Tech Start Date]]&lt;1/1/1990,"",IF(Main[[#This Row],[Class]]="C",WORKDAY(Main[[#This Row],[Tech Start Date]],9),IF(Main[[#This Row],[Class]]="B", WORKDAY(Main[[#This Row],[Tech Start Date]],6),IF(Main[[#This Row],[Class]]="A",WORKDAY(Main[[#This Row],[Tech Start Date]],2),""))))</f>
        <v/>
      </c>
      <c r="N1126" s="77" t="str">
        <f>IF(Main[[#This Row],[Tech Start Date]]&lt;1/1/1990,"",IF(Main[[#This Row],[Class]]="C",WORKDAY(Main[[#This Row],[Tech Start Date]],19),IF(Main[[#This Row],[Class]]="B", WORKDAY(Main[[#This Row],[Tech Start Date]],12),IF(Main[[#This Row],[Class]]="A",WORKDAY(Main[[#This Row],[Tech Start Date]],4),""))))</f>
        <v/>
      </c>
      <c r="O1126" s="77" t="str">
        <f>IF(Main[[#This Row],[Tech Start Date]]&lt;1/1/1990,"",IF(Main[[#This Row],[Class]]="C",WORKDAY(Main[[#This Row],[Tech Start Date]],23),IF(Main[[#This Row],[Class]]="B", WORKDAY(Main[[#This Row],[Tech Start Date]],15),IF(Main[[#This Row],[Class]]="A",WORKDAY(Main[[#This Row],[Tech Start Date]],5),""))))</f>
        <v/>
      </c>
      <c r="P1126" s="77" t="str">
        <f>IF(Main[[#This Row],[Tech Start Date]]&lt;1/1/1990,"",IF(Main[[#This Row],[Class]]="C",WORKDAY(Main[[#This Row],[Tech Start Date]],28),IF(Main[[#This Row],[Class]]="B", WORKDAY(Main[[#This Row],[Tech Start Date]],19),IF(Main[[#This Row],[Class]]="A",WORKDAY(Main[[#This Row],[Tech Start Date]],9),""))))</f>
        <v/>
      </c>
      <c r="Q1126" s="74">
        <v>40784</v>
      </c>
      <c r="R1126" s="74"/>
      <c r="S1126" s="72" t="s">
        <v>6</v>
      </c>
      <c r="T1126" s="80" t="s">
        <v>4</v>
      </c>
      <c r="U1126" s="72" t="s">
        <v>29</v>
      </c>
      <c r="V1126" s="72" t="s">
        <v>1920</v>
      </c>
      <c r="W1126" s="72" t="s">
        <v>1921</v>
      </c>
      <c r="X1126" s="72" t="s">
        <v>2857</v>
      </c>
      <c r="Y1126" s="72" t="s">
        <v>2992</v>
      </c>
      <c r="Z1126" s="72" t="s">
        <v>30</v>
      </c>
      <c r="AA1126" s="146" t="s">
        <v>2857</v>
      </c>
    </row>
    <row r="1127" spans="1:27" ht="18.600000000000001" customHeight="1">
      <c r="A1127" s="139" t="str">
        <f>IF(priority(Main[[#This Row],[Comments]])&lt;&gt;0, priority(Main[[#This Row],[Comments]]),"")</f>
        <v/>
      </c>
      <c r="B1127" s="89" t="s">
        <v>2459</v>
      </c>
      <c r="C1127" s="72" t="s">
        <v>4</v>
      </c>
      <c r="D1127" s="73" t="s">
        <v>2460</v>
      </c>
      <c r="E1127" s="74"/>
      <c r="F1127" s="74"/>
      <c r="G1127" s="75" t="str">
        <f>IF(stdProdLT(Main[[#This Row],[Comments]])=0.1,"N/A",IF(stdProdLT(Main[[#This Row],[Comments]])=0,"",stdProdLT(Main[[#This Row],[Comments]])))</f>
        <v/>
      </c>
      <c r="H1127" s="76" t="str">
        <f>IF(AND(Main[[#This Row],[In Stock Date]]&lt;&gt;"",Main[[#This Row],[Revised Due Date]]&lt;&gt;""),Main[[#This Row],[In Stock Date]]-Main[[#This Row],[Revised Due Date]],"")</f>
        <v/>
      </c>
      <c r="I1127" s="72" t="s">
        <v>530</v>
      </c>
      <c r="J1127" s="72" t="s">
        <v>28</v>
      </c>
      <c r="K1127" s="72" t="s">
        <v>1926</v>
      </c>
      <c r="L1127" s="74"/>
      <c r="M1127" s="77" t="str">
        <f>IF(Main[[#This Row],[Tech Start Date]]&lt;1/1/1990,"",IF(Main[[#This Row],[Class]]="C",WORKDAY(Main[[#This Row],[Tech Start Date]],9),IF(Main[[#This Row],[Class]]="B", WORKDAY(Main[[#This Row],[Tech Start Date]],6),IF(Main[[#This Row],[Class]]="A",WORKDAY(Main[[#This Row],[Tech Start Date]],2),""))))</f>
        <v/>
      </c>
      <c r="N1127" s="77" t="str">
        <f>IF(Main[[#This Row],[Tech Start Date]]&lt;1/1/1990,"",IF(Main[[#This Row],[Class]]="C",WORKDAY(Main[[#This Row],[Tech Start Date]],19),IF(Main[[#This Row],[Class]]="B", WORKDAY(Main[[#This Row],[Tech Start Date]],12),IF(Main[[#This Row],[Class]]="A",WORKDAY(Main[[#This Row],[Tech Start Date]],4),""))))</f>
        <v/>
      </c>
      <c r="O1127" s="77" t="str">
        <f>IF(Main[[#This Row],[Tech Start Date]]&lt;1/1/1990,"",IF(Main[[#This Row],[Class]]="C",WORKDAY(Main[[#This Row],[Tech Start Date]],23),IF(Main[[#This Row],[Class]]="B", WORKDAY(Main[[#This Row],[Tech Start Date]],15),IF(Main[[#This Row],[Class]]="A",WORKDAY(Main[[#This Row],[Tech Start Date]],5),""))))</f>
        <v/>
      </c>
      <c r="P1127" s="77" t="str">
        <f>IF(Main[[#This Row],[Tech Start Date]]&lt;1/1/1990,"",IF(Main[[#This Row],[Class]]="C",WORKDAY(Main[[#This Row],[Tech Start Date]],28),IF(Main[[#This Row],[Class]]="B", WORKDAY(Main[[#This Row],[Tech Start Date]],19),IF(Main[[#This Row],[Class]]="A",WORKDAY(Main[[#This Row],[Tech Start Date]],9),""))))</f>
        <v/>
      </c>
      <c r="Q1127" s="74">
        <v>40954</v>
      </c>
      <c r="R1127" s="74"/>
      <c r="S1127" s="72" t="s">
        <v>6</v>
      </c>
      <c r="T1127" s="80" t="s">
        <v>4</v>
      </c>
      <c r="U1127" s="72" t="s">
        <v>14</v>
      </c>
      <c r="V1127" s="72" t="s">
        <v>1920</v>
      </c>
      <c r="W1127" s="72" t="s">
        <v>1921</v>
      </c>
      <c r="X1127" s="72" t="s">
        <v>554</v>
      </c>
      <c r="Y1127" s="72" t="s">
        <v>2958</v>
      </c>
      <c r="Z1127" s="72" t="s">
        <v>30</v>
      </c>
      <c r="AA1127" s="146" t="s">
        <v>554</v>
      </c>
    </row>
    <row r="1128" spans="1:27" ht="18.600000000000001" customHeight="1">
      <c r="A1128" s="139" t="str">
        <f>IF(priority(Main[[#This Row],[Comments]])&lt;&gt;0, priority(Main[[#This Row],[Comments]]),"")</f>
        <v/>
      </c>
      <c r="B1128" s="89" t="s">
        <v>2461</v>
      </c>
      <c r="C1128" s="72" t="s">
        <v>113</v>
      </c>
      <c r="D1128" s="73" t="s">
        <v>2462</v>
      </c>
      <c r="E1128" s="74"/>
      <c r="F1128" s="74">
        <v>40841</v>
      </c>
      <c r="G1128" s="75" t="str">
        <f>IF(stdProdLT(Main[[#This Row],[Comments]])=0.1,"N/A",IF(stdProdLT(Main[[#This Row],[Comments]])=0,"",stdProdLT(Main[[#This Row],[Comments]])))</f>
        <v/>
      </c>
      <c r="H1128" s="76" t="str">
        <f>IF(AND(Main[[#This Row],[In Stock Date]]&lt;&gt;"",Main[[#This Row],[Revised Due Date]]&lt;&gt;""),Main[[#This Row],[In Stock Date]]-Main[[#This Row],[Revised Due Date]],"")</f>
        <v/>
      </c>
      <c r="I1128" s="72" t="s">
        <v>4</v>
      </c>
      <c r="J1128" s="72" t="s">
        <v>4</v>
      </c>
      <c r="K1128" s="72" t="s">
        <v>4</v>
      </c>
      <c r="L1128" s="74"/>
      <c r="M1128" s="77" t="str">
        <f>IF(Main[[#This Row],[Tech Start Date]]&lt;1/1/1990,"",IF(Main[[#This Row],[Class]]="C",WORKDAY(Main[[#This Row],[Tech Start Date]],9),IF(Main[[#This Row],[Class]]="B", WORKDAY(Main[[#This Row],[Tech Start Date]],6),IF(Main[[#This Row],[Class]]="A",WORKDAY(Main[[#This Row],[Tech Start Date]],2),""))))</f>
        <v/>
      </c>
      <c r="N1128" s="77" t="str">
        <f>IF(Main[[#This Row],[Tech Start Date]]&lt;1/1/1990,"",IF(Main[[#This Row],[Class]]="C",WORKDAY(Main[[#This Row],[Tech Start Date]],19),IF(Main[[#This Row],[Class]]="B", WORKDAY(Main[[#This Row],[Tech Start Date]],12),IF(Main[[#This Row],[Class]]="A",WORKDAY(Main[[#This Row],[Tech Start Date]],4),""))))</f>
        <v/>
      </c>
      <c r="O1128" s="77" t="str">
        <f>IF(Main[[#This Row],[Tech Start Date]]&lt;1/1/1990,"",IF(Main[[#This Row],[Class]]="C",WORKDAY(Main[[#This Row],[Tech Start Date]],23),IF(Main[[#This Row],[Class]]="B", WORKDAY(Main[[#This Row],[Tech Start Date]],15),IF(Main[[#This Row],[Class]]="A",WORKDAY(Main[[#This Row],[Tech Start Date]],5),""))))</f>
        <v/>
      </c>
      <c r="P1128" s="77" t="str">
        <f>IF(Main[[#This Row],[Tech Start Date]]&lt;1/1/1990,"",IF(Main[[#This Row],[Class]]="C",WORKDAY(Main[[#This Row],[Tech Start Date]],28),IF(Main[[#This Row],[Class]]="B", WORKDAY(Main[[#This Row],[Tech Start Date]],19),IF(Main[[#This Row],[Class]]="A",WORKDAY(Main[[#This Row],[Tech Start Date]],9),""))))</f>
        <v/>
      </c>
      <c r="Q1128" s="74"/>
      <c r="R1128" s="74"/>
      <c r="S1128" s="72" t="s">
        <v>11</v>
      </c>
      <c r="T1128" s="80" t="s">
        <v>4</v>
      </c>
      <c r="U1128" s="72" t="s">
        <v>12</v>
      </c>
      <c r="V1128" s="72" t="s">
        <v>1917</v>
      </c>
      <c r="W1128" s="72" t="s">
        <v>1919</v>
      </c>
      <c r="X1128" s="72" t="s">
        <v>2839</v>
      </c>
      <c r="Y1128" s="72" t="s">
        <v>2945</v>
      </c>
      <c r="Z1128" s="72" t="s">
        <v>4</v>
      </c>
      <c r="AA1128" s="146" t="s">
        <v>2839</v>
      </c>
    </row>
    <row r="1129" spans="1:27" ht="18.600000000000001" customHeight="1">
      <c r="A1129" s="139" t="str">
        <f>IF(priority(Main[[#This Row],[Comments]])&lt;&gt;0, priority(Main[[#This Row],[Comments]]),"")</f>
        <v/>
      </c>
      <c r="B1129" s="89" t="s">
        <v>3561</v>
      </c>
      <c r="C1129" s="72" t="s">
        <v>4</v>
      </c>
      <c r="D1129" s="73" t="s">
        <v>3562</v>
      </c>
      <c r="E1129" s="74">
        <v>40946.701331018521</v>
      </c>
      <c r="F1129" s="74"/>
      <c r="G1129" s="75" t="str">
        <f>IF(stdProdLT(Main[[#This Row],[Comments]])=0.1,"N/A",IF(stdProdLT(Main[[#This Row],[Comments]])=0,"",stdProdLT(Main[[#This Row],[Comments]])))</f>
        <v/>
      </c>
      <c r="H1129" s="76" t="str">
        <f>IF(AND(Main[[#This Row],[In Stock Date]]&lt;&gt;"",Main[[#This Row],[Revised Due Date]]&lt;&gt;""),Main[[#This Row],[In Stock Date]]-Main[[#This Row],[Revised Due Date]],"")</f>
        <v/>
      </c>
      <c r="I1129" s="72" t="s">
        <v>4</v>
      </c>
      <c r="J1129" s="72" t="s">
        <v>4</v>
      </c>
      <c r="K1129" s="72" t="s">
        <v>4</v>
      </c>
      <c r="L1129" s="74"/>
      <c r="M1129" s="77" t="str">
        <f>IF(Main[[#This Row],[Tech Start Date]]&lt;1/1/1990,"",IF(Main[[#This Row],[Class]]="C",WORKDAY(Main[[#This Row],[Tech Start Date]],9),IF(Main[[#This Row],[Class]]="B", WORKDAY(Main[[#This Row],[Tech Start Date]],6),IF(Main[[#This Row],[Class]]="A",WORKDAY(Main[[#This Row],[Tech Start Date]],2),""))))</f>
        <v/>
      </c>
      <c r="N1129" s="77" t="str">
        <f>IF(Main[[#This Row],[Tech Start Date]]&lt;1/1/1990,"",IF(Main[[#This Row],[Class]]="C",WORKDAY(Main[[#This Row],[Tech Start Date]],19),IF(Main[[#This Row],[Class]]="B", WORKDAY(Main[[#This Row],[Tech Start Date]],12),IF(Main[[#This Row],[Class]]="A",WORKDAY(Main[[#This Row],[Tech Start Date]],4),""))))</f>
        <v/>
      </c>
      <c r="O1129" s="77" t="str">
        <f>IF(Main[[#This Row],[Tech Start Date]]&lt;1/1/1990,"",IF(Main[[#This Row],[Class]]="C",WORKDAY(Main[[#This Row],[Tech Start Date]],23),IF(Main[[#This Row],[Class]]="B", WORKDAY(Main[[#This Row],[Tech Start Date]],15),IF(Main[[#This Row],[Class]]="A",WORKDAY(Main[[#This Row],[Tech Start Date]],5),""))))</f>
        <v/>
      </c>
      <c r="P1129" s="77" t="str">
        <f>IF(Main[[#This Row],[Tech Start Date]]&lt;1/1/1990,"",IF(Main[[#This Row],[Class]]="C",WORKDAY(Main[[#This Row],[Tech Start Date]],28),IF(Main[[#This Row],[Class]]="B", WORKDAY(Main[[#This Row],[Tech Start Date]],19),IF(Main[[#This Row],[Class]]="A",WORKDAY(Main[[#This Row],[Tech Start Date]],9),""))))</f>
        <v/>
      </c>
      <c r="Q1129" s="74">
        <v>40953</v>
      </c>
      <c r="R1129" s="74"/>
      <c r="S1129" s="72" t="s">
        <v>6</v>
      </c>
      <c r="T1129" s="80" t="s">
        <v>4</v>
      </c>
      <c r="U1129" s="72" t="s">
        <v>7</v>
      </c>
      <c r="V1129" s="72" t="s">
        <v>1917</v>
      </c>
      <c r="W1129" s="72" t="s">
        <v>1925</v>
      </c>
      <c r="X1129" s="72" t="s">
        <v>2827</v>
      </c>
      <c r="Y1129" s="72" t="s">
        <v>2942</v>
      </c>
      <c r="Z1129" s="72" t="s">
        <v>4</v>
      </c>
      <c r="AA1129" s="146" t="s">
        <v>2827</v>
      </c>
    </row>
    <row r="1130" spans="1:27" ht="18.600000000000001" customHeight="1">
      <c r="A1130" s="139" t="str">
        <f>IF(priority(Main[[#This Row],[Comments]])&lt;&gt;0, priority(Main[[#This Row],[Comments]]),"")</f>
        <v/>
      </c>
      <c r="B1130" s="89" t="s">
        <v>1849</v>
      </c>
      <c r="C1130" s="72" t="s">
        <v>67</v>
      </c>
      <c r="D1130" s="73" t="s">
        <v>904</v>
      </c>
      <c r="E1130" s="74">
        <v>39937.597453703704</v>
      </c>
      <c r="F1130" s="74">
        <v>40533</v>
      </c>
      <c r="G1130" s="75" t="str">
        <f>IF(stdProdLT(Main[[#This Row],[Comments]])=0.1,"N/A",IF(stdProdLT(Main[[#This Row],[Comments]])=0,"",stdProdLT(Main[[#This Row],[Comments]])))</f>
        <v/>
      </c>
      <c r="H1130" s="76">
        <f>IF(AND(Main[[#This Row],[In Stock Date]]&lt;&gt;"",Main[[#This Row],[Revised Due Date]]&lt;&gt;""),Main[[#This Row],[In Stock Date]]-Main[[#This Row],[Revised Due Date]],"")</f>
        <v>-342</v>
      </c>
      <c r="I1130" s="72" t="s">
        <v>74</v>
      </c>
      <c r="J1130" s="72" t="s">
        <v>28</v>
      </c>
      <c r="K1130" s="72" t="s">
        <v>1929</v>
      </c>
      <c r="L1130" s="74"/>
      <c r="M1130" s="77" t="str">
        <f>IF(Main[[#This Row],[Tech Start Date]]&lt;1/1/1990,"",IF(Main[[#This Row],[Class]]="C",WORKDAY(Main[[#This Row],[Tech Start Date]],9),IF(Main[[#This Row],[Class]]="B", WORKDAY(Main[[#This Row],[Tech Start Date]],6),IF(Main[[#This Row],[Class]]="A",WORKDAY(Main[[#This Row],[Tech Start Date]],2),""))))</f>
        <v/>
      </c>
      <c r="N1130" s="77" t="str">
        <f>IF(Main[[#This Row],[Tech Start Date]]&lt;1/1/1990,"",IF(Main[[#This Row],[Class]]="C",WORKDAY(Main[[#This Row],[Tech Start Date]],19),IF(Main[[#This Row],[Class]]="B", WORKDAY(Main[[#This Row],[Tech Start Date]],12),IF(Main[[#This Row],[Class]]="A",WORKDAY(Main[[#This Row],[Tech Start Date]],4),""))))</f>
        <v/>
      </c>
      <c r="O1130" s="77" t="str">
        <f>IF(Main[[#This Row],[Tech Start Date]]&lt;1/1/1990,"",IF(Main[[#This Row],[Class]]="C",WORKDAY(Main[[#This Row],[Tech Start Date]],23),IF(Main[[#This Row],[Class]]="B", WORKDAY(Main[[#This Row],[Tech Start Date]],15),IF(Main[[#This Row],[Class]]="A",WORKDAY(Main[[#This Row],[Tech Start Date]],5),""))))</f>
        <v/>
      </c>
      <c r="P1130" s="77" t="str">
        <f>IF(Main[[#This Row],[Tech Start Date]]&lt;1/1/1990,"",IF(Main[[#This Row],[Class]]="C",WORKDAY(Main[[#This Row],[Tech Start Date]],28),IF(Main[[#This Row],[Class]]="B", WORKDAY(Main[[#This Row],[Tech Start Date]],19),IF(Main[[#This Row],[Class]]="A",WORKDAY(Main[[#This Row],[Tech Start Date]],9),""))))</f>
        <v/>
      </c>
      <c r="Q1130" s="74"/>
      <c r="R1130" s="74">
        <v>40875</v>
      </c>
      <c r="S1130" s="72" t="s">
        <v>17</v>
      </c>
      <c r="T1130" s="80" t="s">
        <v>4</v>
      </c>
      <c r="U1130" s="72" t="s">
        <v>29</v>
      </c>
      <c r="V1130" s="72" t="s">
        <v>1920</v>
      </c>
      <c r="W1130" s="72" t="s">
        <v>1925</v>
      </c>
      <c r="X1130" s="72" t="s">
        <v>399</v>
      </c>
      <c r="Y1130" s="72" t="s">
        <v>4</v>
      </c>
      <c r="Z1130" s="72" t="s">
        <v>415</v>
      </c>
      <c r="AA1130" s="146" t="s">
        <v>3470</v>
      </c>
    </row>
    <row r="1131" spans="1:27" ht="18.600000000000001" customHeight="1">
      <c r="A1131" s="139" t="str">
        <f>IF(priority(Main[[#This Row],[Comments]])&lt;&gt;0, priority(Main[[#This Row],[Comments]]),"")</f>
        <v/>
      </c>
      <c r="B1131" s="89" t="s">
        <v>2496</v>
      </c>
      <c r="C1131" s="72" t="s">
        <v>4</v>
      </c>
      <c r="D1131" s="73" t="s">
        <v>2497</v>
      </c>
      <c r="E1131" s="74"/>
      <c r="F1131" s="74"/>
      <c r="G1131" s="75" t="str">
        <f>IF(stdProdLT(Main[[#This Row],[Comments]])=0.1,"N/A",IF(stdProdLT(Main[[#This Row],[Comments]])=0,"",stdProdLT(Main[[#This Row],[Comments]])))</f>
        <v/>
      </c>
      <c r="H1131" s="76" t="str">
        <f>IF(AND(Main[[#This Row],[In Stock Date]]&lt;&gt;"",Main[[#This Row],[Revised Due Date]]&lt;&gt;""),Main[[#This Row],[In Stock Date]]-Main[[#This Row],[Revised Due Date]],"")</f>
        <v/>
      </c>
      <c r="I1131" s="72" t="s">
        <v>530</v>
      </c>
      <c r="J1131" s="72" t="s">
        <v>21</v>
      </c>
      <c r="K1131" s="72" t="s">
        <v>1926</v>
      </c>
      <c r="L1131" s="74"/>
      <c r="M1131" s="77" t="str">
        <f>IF(Main[[#This Row],[Tech Start Date]]&lt;1/1/1990,"",IF(Main[[#This Row],[Class]]="C",WORKDAY(Main[[#This Row],[Tech Start Date]],9),IF(Main[[#This Row],[Class]]="B", WORKDAY(Main[[#This Row],[Tech Start Date]],6),IF(Main[[#This Row],[Class]]="A",WORKDAY(Main[[#This Row],[Tech Start Date]],2),""))))</f>
        <v/>
      </c>
      <c r="N1131" s="77" t="str">
        <f>IF(Main[[#This Row],[Tech Start Date]]&lt;1/1/1990,"",IF(Main[[#This Row],[Class]]="C",WORKDAY(Main[[#This Row],[Tech Start Date]],19),IF(Main[[#This Row],[Class]]="B", WORKDAY(Main[[#This Row],[Tech Start Date]],12),IF(Main[[#This Row],[Class]]="A",WORKDAY(Main[[#This Row],[Tech Start Date]],4),""))))</f>
        <v/>
      </c>
      <c r="O1131" s="77" t="str">
        <f>IF(Main[[#This Row],[Tech Start Date]]&lt;1/1/1990,"",IF(Main[[#This Row],[Class]]="C",WORKDAY(Main[[#This Row],[Tech Start Date]],23),IF(Main[[#This Row],[Class]]="B", WORKDAY(Main[[#This Row],[Tech Start Date]],15),IF(Main[[#This Row],[Class]]="A",WORKDAY(Main[[#This Row],[Tech Start Date]],5),""))))</f>
        <v/>
      </c>
      <c r="P1131" s="77" t="str">
        <f>IF(Main[[#This Row],[Tech Start Date]]&lt;1/1/1990,"",IF(Main[[#This Row],[Class]]="C",WORKDAY(Main[[#This Row],[Tech Start Date]],28),IF(Main[[#This Row],[Class]]="B", WORKDAY(Main[[#This Row],[Tech Start Date]],19),IF(Main[[#This Row],[Class]]="A",WORKDAY(Main[[#This Row],[Tech Start Date]],9),""))))</f>
        <v/>
      </c>
      <c r="Q1131" s="74">
        <v>40939</v>
      </c>
      <c r="R1131" s="74"/>
      <c r="S1131" s="72" t="s">
        <v>6</v>
      </c>
      <c r="T1131" s="80" t="s">
        <v>4</v>
      </c>
      <c r="U1131" s="72" t="s">
        <v>14</v>
      </c>
      <c r="V1131" s="72" t="s">
        <v>1920</v>
      </c>
      <c r="W1131" s="72" t="s">
        <v>1921</v>
      </c>
      <c r="X1131" s="72" t="s">
        <v>554</v>
      </c>
      <c r="Y1131" s="72" t="s">
        <v>2958</v>
      </c>
      <c r="Z1131" s="72" t="s">
        <v>30</v>
      </c>
      <c r="AA1131" s="146" t="s">
        <v>554</v>
      </c>
    </row>
    <row r="1132" spans="1:27" ht="18.600000000000001" customHeight="1">
      <c r="A1132" s="139" t="str">
        <f>IF(priority(Main[[#This Row],[Comments]])&lt;&gt;0, priority(Main[[#This Row],[Comments]]),"")</f>
        <v/>
      </c>
      <c r="B1132" s="89" t="s">
        <v>2465</v>
      </c>
      <c r="C1132" s="72" t="s">
        <v>4</v>
      </c>
      <c r="D1132" s="73" t="s">
        <v>2679</v>
      </c>
      <c r="E1132" s="74">
        <v>40865.334965277776</v>
      </c>
      <c r="F1132" s="74"/>
      <c r="G1132" s="75" t="str">
        <f>IF(stdProdLT(Main[[#This Row],[Comments]])=0.1,"N/A",IF(stdProdLT(Main[[#This Row],[Comments]])=0,"",stdProdLT(Main[[#This Row],[Comments]])))</f>
        <v/>
      </c>
      <c r="H1132" s="76" t="str">
        <f>IF(AND(Main[[#This Row],[In Stock Date]]&lt;&gt;"",Main[[#This Row],[Revised Due Date]]&lt;&gt;""),Main[[#This Row],[In Stock Date]]-Main[[#This Row],[Revised Due Date]],"")</f>
        <v/>
      </c>
      <c r="I1132" s="72" t="s">
        <v>4</v>
      </c>
      <c r="J1132" s="72" t="s">
        <v>4</v>
      </c>
      <c r="K1132" s="81" t="s">
        <v>4</v>
      </c>
      <c r="L1132" s="74"/>
      <c r="M1132" s="77" t="str">
        <f>IF(Main[[#This Row],[Tech Start Date]]&lt;1/1/1990,"",IF(Main[[#This Row],[Class]]="C",WORKDAY(Main[[#This Row],[Tech Start Date]],9),IF(Main[[#This Row],[Class]]="B", WORKDAY(Main[[#This Row],[Tech Start Date]],6),IF(Main[[#This Row],[Class]]="A",WORKDAY(Main[[#This Row],[Tech Start Date]],2),""))))</f>
        <v/>
      </c>
      <c r="N1132" s="77" t="str">
        <f>IF(Main[[#This Row],[Tech Start Date]]&lt;1/1/1990,"",IF(Main[[#This Row],[Class]]="C",WORKDAY(Main[[#This Row],[Tech Start Date]],19),IF(Main[[#This Row],[Class]]="B", WORKDAY(Main[[#This Row],[Tech Start Date]],12),IF(Main[[#This Row],[Class]]="A",WORKDAY(Main[[#This Row],[Tech Start Date]],4),""))))</f>
        <v/>
      </c>
      <c r="O1132" s="77" t="str">
        <f>IF(Main[[#This Row],[Tech Start Date]]&lt;1/1/1990,"",IF(Main[[#This Row],[Class]]="C",WORKDAY(Main[[#This Row],[Tech Start Date]],23),IF(Main[[#This Row],[Class]]="B", WORKDAY(Main[[#This Row],[Tech Start Date]],15),IF(Main[[#This Row],[Class]]="A",WORKDAY(Main[[#This Row],[Tech Start Date]],5),""))))</f>
        <v/>
      </c>
      <c r="P1132" s="77" t="str">
        <f>IF(Main[[#This Row],[Tech Start Date]]&lt;1/1/1990,"",IF(Main[[#This Row],[Class]]="C",WORKDAY(Main[[#This Row],[Tech Start Date]],28),IF(Main[[#This Row],[Class]]="B", WORKDAY(Main[[#This Row],[Tech Start Date]],19),IF(Main[[#This Row],[Class]]="A",WORKDAY(Main[[#This Row],[Tech Start Date]],9),""))))</f>
        <v/>
      </c>
      <c r="Q1132" s="74"/>
      <c r="R1132" s="74"/>
      <c r="S1132" s="72" t="s">
        <v>6</v>
      </c>
      <c r="T1132" s="80" t="s">
        <v>4</v>
      </c>
      <c r="U1132" s="72" t="s">
        <v>7</v>
      </c>
      <c r="V1132" s="72" t="s">
        <v>1917</v>
      </c>
      <c r="W1132" s="72" t="s">
        <v>1921</v>
      </c>
      <c r="X1132" s="72" t="s">
        <v>102</v>
      </c>
      <c r="Y1132" s="72" t="s">
        <v>3086</v>
      </c>
      <c r="Z1132" s="72" t="s">
        <v>4</v>
      </c>
      <c r="AA1132" s="146" t="s">
        <v>3397</v>
      </c>
    </row>
    <row r="1133" spans="1:27" ht="18.600000000000001" customHeight="1">
      <c r="A1133" s="139" t="str">
        <f>IF(priority(Main[[#This Row],[Comments]])&lt;&gt;0, priority(Main[[#This Row],[Comments]]),"")</f>
        <v/>
      </c>
      <c r="B1133" s="89" t="s">
        <v>2720</v>
      </c>
      <c r="C1133" s="72" t="s">
        <v>4</v>
      </c>
      <c r="D1133" s="73" t="s">
        <v>3679</v>
      </c>
      <c r="E1133" s="74">
        <v>40917.685127314813</v>
      </c>
      <c r="F1133" s="74"/>
      <c r="G1133" s="75" t="str">
        <f>IF(stdProdLT(Main[[#This Row],[Comments]])=0.1,"N/A",IF(stdProdLT(Main[[#This Row],[Comments]])=0,"",stdProdLT(Main[[#This Row],[Comments]])))</f>
        <v/>
      </c>
      <c r="H1133" s="76" t="str">
        <f>IF(AND(Main[[#This Row],[In Stock Date]]&lt;&gt;"",Main[[#This Row],[Revised Due Date]]&lt;&gt;""),Main[[#This Row],[In Stock Date]]-Main[[#This Row],[Revised Due Date]],"")</f>
        <v/>
      </c>
      <c r="I1133" s="72" t="s">
        <v>69</v>
      </c>
      <c r="J1133" s="72" t="s">
        <v>70</v>
      </c>
      <c r="K1133" s="72" t="s">
        <v>1926</v>
      </c>
      <c r="L1133" s="74"/>
      <c r="M1133" s="77" t="str">
        <f>IF(Main[[#This Row],[Tech Start Date]]&lt;1/1/1990,"",IF(Main[[#This Row],[Class]]="C",WORKDAY(Main[[#This Row],[Tech Start Date]],9),IF(Main[[#This Row],[Class]]="B", WORKDAY(Main[[#This Row],[Tech Start Date]],6),IF(Main[[#This Row],[Class]]="A",WORKDAY(Main[[#This Row],[Tech Start Date]],2),""))))</f>
        <v/>
      </c>
      <c r="N1133" s="77" t="str">
        <f>IF(Main[[#This Row],[Tech Start Date]]&lt;1/1/1990,"",IF(Main[[#This Row],[Class]]="C",WORKDAY(Main[[#This Row],[Tech Start Date]],19),IF(Main[[#This Row],[Class]]="B", WORKDAY(Main[[#This Row],[Tech Start Date]],12),IF(Main[[#This Row],[Class]]="A",WORKDAY(Main[[#This Row],[Tech Start Date]],4),""))))</f>
        <v/>
      </c>
      <c r="O1133" s="77" t="str">
        <f>IF(Main[[#This Row],[Tech Start Date]]&lt;1/1/1990,"",IF(Main[[#This Row],[Class]]="C",WORKDAY(Main[[#This Row],[Tech Start Date]],23),IF(Main[[#This Row],[Class]]="B", WORKDAY(Main[[#This Row],[Tech Start Date]],15),IF(Main[[#This Row],[Class]]="A",WORKDAY(Main[[#This Row],[Tech Start Date]],5),""))))</f>
        <v/>
      </c>
      <c r="P1133" s="77" t="str">
        <f>IF(Main[[#This Row],[Tech Start Date]]&lt;1/1/1990,"",IF(Main[[#This Row],[Class]]="C",WORKDAY(Main[[#This Row],[Tech Start Date]],28),IF(Main[[#This Row],[Class]]="B", WORKDAY(Main[[#This Row],[Tech Start Date]],19),IF(Main[[#This Row],[Class]]="A",WORKDAY(Main[[#This Row],[Tech Start Date]],9),""))))</f>
        <v/>
      </c>
      <c r="Q1133" s="74"/>
      <c r="R1133" s="74"/>
      <c r="S1133" s="72" t="s">
        <v>6</v>
      </c>
      <c r="T1133" s="80" t="s">
        <v>4</v>
      </c>
      <c r="U1133" s="72" t="s">
        <v>29</v>
      </c>
      <c r="V1133" s="72" t="s">
        <v>1920</v>
      </c>
      <c r="W1133" s="72" t="s">
        <v>1921</v>
      </c>
      <c r="X1133" s="72" t="s">
        <v>2871</v>
      </c>
      <c r="Y1133" s="72" t="s">
        <v>3016</v>
      </c>
      <c r="Z1133" s="72" t="s">
        <v>81</v>
      </c>
      <c r="AA1133" s="146" t="s">
        <v>2871</v>
      </c>
    </row>
    <row r="1134" spans="1:27" ht="18.600000000000001" customHeight="1">
      <c r="A1134" s="139" t="str">
        <f>IF(priority(Main[[#This Row],[Comments]])&lt;&gt;0, priority(Main[[#This Row],[Comments]]),"")</f>
        <v/>
      </c>
      <c r="B1134" s="89" t="s">
        <v>3222</v>
      </c>
      <c r="C1134" s="72" t="s">
        <v>4</v>
      </c>
      <c r="D1134" s="73" t="s">
        <v>3675</v>
      </c>
      <c r="E1134" s="74">
        <v>40921.629143518519</v>
      </c>
      <c r="F1134" s="74"/>
      <c r="G1134" s="75" t="str">
        <f>IF(stdProdLT(Main[[#This Row],[Comments]])=0.1,"N/A",IF(stdProdLT(Main[[#This Row],[Comments]])=0,"",stdProdLT(Main[[#This Row],[Comments]])))</f>
        <v/>
      </c>
      <c r="H1134" s="76" t="str">
        <f>IF(AND(Main[[#This Row],[In Stock Date]]&lt;&gt;"",Main[[#This Row],[Revised Due Date]]&lt;&gt;""),Main[[#This Row],[In Stock Date]]-Main[[#This Row],[Revised Due Date]],"")</f>
        <v/>
      </c>
      <c r="I1134" s="72" t="s">
        <v>2054</v>
      </c>
      <c r="J1134" s="72" t="s">
        <v>28</v>
      </c>
      <c r="K1134" s="72" t="s">
        <v>1926</v>
      </c>
      <c r="L1134" s="74"/>
      <c r="M1134" s="77" t="str">
        <f>IF(Main[[#This Row],[Tech Start Date]]&lt;1/1/1990,"",IF(Main[[#This Row],[Class]]="C",WORKDAY(Main[[#This Row],[Tech Start Date]],9),IF(Main[[#This Row],[Class]]="B", WORKDAY(Main[[#This Row],[Tech Start Date]],6),IF(Main[[#This Row],[Class]]="A",WORKDAY(Main[[#This Row],[Tech Start Date]],2),""))))</f>
        <v/>
      </c>
      <c r="N1134" s="77" t="str">
        <f>IF(Main[[#This Row],[Tech Start Date]]&lt;1/1/1990,"",IF(Main[[#This Row],[Class]]="C",WORKDAY(Main[[#This Row],[Tech Start Date]],19),IF(Main[[#This Row],[Class]]="B", WORKDAY(Main[[#This Row],[Tech Start Date]],12),IF(Main[[#This Row],[Class]]="A",WORKDAY(Main[[#This Row],[Tech Start Date]],4),""))))</f>
        <v/>
      </c>
      <c r="O1134" s="77" t="str">
        <f>IF(Main[[#This Row],[Tech Start Date]]&lt;1/1/1990,"",IF(Main[[#This Row],[Class]]="C",WORKDAY(Main[[#This Row],[Tech Start Date]],23),IF(Main[[#This Row],[Class]]="B", WORKDAY(Main[[#This Row],[Tech Start Date]],15),IF(Main[[#This Row],[Class]]="A",WORKDAY(Main[[#This Row],[Tech Start Date]],5),""))))</f>
        <v/>
      </c>
      <c r="P1134" s="77" t="str">
        <f>IF(Main[[#This Row],[Tech Start Date]]&lt;1/1/1990,"",IF(Main[[#This Row],[Class]]="C",WORKDAY(Main[[#This Row],[Tech Start Date]],28),IF(Main[[#This Row],[Class]]="B", WORKDAY(Main[[#This Row],[Tech Start Date]],19),IF(Main[[#This Row],[Class]]="A",WORKDAY(Main[[#This Row],[Tech Start Date]],9),""))))</f>
        <v/>
      </c>
      <c r="Q1134" s="74"/>
      <c r="R1134" s="74"/>
      <c r="S1134" s="72" t="s">
        <v>6</v>
      </c>
      <c r="T1134" s="80" t="s">
        <v>4</v>
      </c>
      <c r="U1134" s="72" t="s">
        <v>29</v>
      </c>
      <c r="V1134" s="72" t="s">
        <v>1927</v>
      </c>
      <c r="W1134" s="72" t="s">
        <v>1921</v>
      </c>
      <c r="X1134" s="72" t="s">
        <v>306</v>
      </c>
      <c r="Y1134" s="72" t="s">
        <v>4</v>
      </c>
      <c r="Z1134" s="72" t="s">
        <v>30</v>
      </c>
      <c r="AA1134" s="146" t="s">
        <v>4</v>
      </c>
    </row>
    <row r="1135" spans="1:27" ht="18.600000000000001" customHeight="1">
      <c r="A1135" s="139" t="str">
        <f>IF(priority(Main[[#This Row],[Comments]])&lt;&gt;0, priority(Main[[#This Row],[Comments]]),"")</f>
        <v/>
      </c>
      <c r="B1135" s="89" t="s">
        <v>3676</v>
      </c>
      <c r="C1135" s="72" t="s">
        <v>4</v>
      </c>
      <c r="D1135" s="73" t="s">
        <v>3677</v>
      </c>
      <c r="E1135" s="74">
        <v>40962.575243055559</v>
      </c>
      <c r="F1135" s="74"/>
      <c r="G1135" s="75" t="str">
        <f>IF(stdProdLT(Main[[#This Row],[Comments]])=0.1,"N/A",IF(stdProdLT(Main[[#This Row],[Comments]])=0,"",stdProdLT(Main[[#This Row],[Comments]])))</f>
        <v/>
      </c>
      <c r="H1135" s="76" t="str">
        <f>IF(AND(Main[[#This Row],[In Stock Date]]&lt;&gt;"",Main[[#This Row],[Revised Due Date]]&lt;&gt;""),Main[[#This Row],[In Stock Date]]-Main[[#This Row],[Revised Due Date]],"")</f>
        <v/>
      </c>
      <c r="I1135" s="72" t="s">
        <v>2054</v>
      </c>
      <c r="J1135" s="72" t="s">
        <v>28</v>
      </c>
      <c r="K1135" s="72" t="s">
        <v>4</v>
      </c>
      <c r="L1135" s="74"/>
      <c r="M1135" s="77" t="str">
        <f>IF(Main[[#This Row],[Tech Start Date]]&lt;1/1/1990,"",IF(Main[[#This Row],[Class]]="C",WORKDAY(Main[[#This Row],[Tech Start Date]],9),IF(Main[[#This Row],[Class]]="B", WORKDAY(Main[[#This Row],[Tech Start Date]],6),IF(Main[[#This Row],[Class]]="A",WORKDAY(Main[[#This Row],[Tech Start Date]],2),""))))</f>
        <v/>
      </c>
      <c r="N1135" s="77" t="str">
        <f>IF(Main[[#This Row],[Tech Start Date]]&lt;1/1/1990,"",IF(Main[[#This Row],[Class]]="C",WORKDAY(Main[[#This Row],[Tech Start Date]],19),IF(Main[[#This Row],[Class]]="B", WORKDAY(Main[[#This Row],[Tech Start Date]],12),IF(Main[[#This Row],[Class]]="A",WORKDAY(Main[[#This Row],[Tech Start Date]],4),""))))</f>
        <v/>
      </c>
      <c r="O1135" s="77" t="str">
        <f>IF(Main[[#This Row],[Tech Start Date]]&lt;1/1/1990,"",IF(Main[[#This Row],[Class]]="C",WORKDAY(Main[[#This Row],[Tech Start Date]],23),IF(Main[[#This Row],[Class]]="B", WORKDAY(Main[[#This Row],[Tech Start Date]],15),IF(Main[[#This Row],[Class]]="A",WORKDAY(Main[[#This Row],[Tech Start Date]],5),""))))</f>
        <v/>
      </c>
      <c r="P1135" s="77" t="str">
        <f>IF(Main[[#This Row],[Tech Start Date]]&lt;1/1/1990,"",IF(Main[[#This Row],[Class]]="C",WORKDAY(Main[[#This Row],[Tech Start Date]],28),IF(Main[[#This Row],[Class]]="B", WORKDAY(Main[[#This Row],[Tech Start Date]],19),IF(Main[[#This Row],[Class]]="A",WORKDAY(Main[[#This Row],[Tech Start Date]],9),""))))</f>
        <v/>
      </c>
      <c r="Q1135" s="74">
        <v>40998</v>
      </c>
      <c r="R1135" s="74"/>
      <c r="S1135" s="72" t="s">
        <v>6</v>
      </c>
      <c r="T1135" s="80" t="s">
        <v>4</v>
      </c>
      <c r="U1135" s="72" t="s">
        <v>29</v>
      </c>
      <c r="V1135" s="72" t="s">
        <v>1927</v>
      </c>
      <c r="W1135" s="72" t="s">
        <v>1921</v>
      </c>
      <c r="X1135" s="72" t="s">
        <v>2824</v>
      </c>
      <c r="Y1135" s="72" t="s">
        <v>2935</v>
      </c>
      <c r="Z1135" s="72" t="s">
        <v>30</v>
      </c>
      <c r="AA1135" s="146" t="s">
        <v>2824</v>
      </c>
    </row>
    <row r="1136" spans="1:27" ht="18.600000000000001" customHeight="1">
      <c r="A1136" s="139" t="str">
        <f>IF(priority(Main[[#This Row],[Comments]])&lt;&gt;0, priority(Main[[#This Row],[Comments]]),"")</f>
        <v/>
      </c>
      <c r="B1136" s="89" t="s">
        <v>2408</v>
      </c>
      <c r="C1136" s="72" t="s">
        <v>4</v>
      </c>
      <c r="D1136" s="73" t="s">
        <v>2409</v>
      </c>
      <c r="E1136" s="74">
        <v>40820.81591435185</v>
      </c>
      <c r="F1136" s="74"/>
      <c r="G1136" s="75" t="str">
        <f>IF(stdProdLT(Main[[#This Row],[Comments]])=0.1,"N/A",IF(stdProdLT(Main[[#This Row],[Comments]])=0,"",stdProdLT(Main[[#This Row],[Comments]])))</f>
        <v/>
      </c>
      <c r="H1136" s="76" t="str">
        <f>IF(AND(Main[[#This Row],[In Stock Date]]&lt;&gt;"",Main[[#This Row],[Revised Due Date]]&lt;&gt;""),Main[[#This Row],[In Stock Date]]-Main[[#This Row],[Revised Due Date]],"")</f>
        <v/>
      </c>
      <c r="I1136" s="72" t="s">
        <v>239</v>
      </c>
      <c r="J1136" s="72" t="s">
        <v>28</v>
      </c>
      <c r="K1136" s="72" t="s">
        <v>1926</v>
      </c>
      <c r="L1136" s="74"/>
      <c r="M1136" s="77" t="str">
        <f>IF(Main[[#This Row],[Tech Start Date]]&lt;1/1/1990,"",IF(Main[[#This Row],[Class]]="C",WORKDAY(Main[[#This Row],[Tech Start Date]],9),IF(Main[[#This Row],[Class]]="B", WORKDAY(Main[[#This Row],[Tech Start Date]],6),IF(Main[[#This Row],[Class]]="A",WORKDAY(Main[[#This Row],[Tech Start Date]],2),""))))</f>
        <v/>
      </c>
      <c r="N1136" s="77" t="str">
        <f>IF(Main[[#This Row],[Tech Start Date]]&lt;1/1/1990,"",IF(Main[[#This Row],[Class]]="C",WORKDAY(Main[[#This Row],[Tech Start Date]],19),IF(Main[[#This Row],[Class]]="B", WORKDAY(Main[[#This Row],[Tech Start Date]],12),IF(Main[[#This Row],[Class]]="A",WORKDAY(Main[[#This Row],[Tech Start Date]],4),""))))</f>
        <v/>
      </c>
      <c r="O1136" s="77" t="str">
        <f>IF(Main[[#This Row],[Tech Start Date]]&lt;1/1/1990,"",IF(Main[[#This Row],[Class]]="C",WORKDAY(Main[[#This Row],[Tech Start Date]],23),IF(Main[[#This Row],[Class]]="B", WORKDAY(Main[[#This Row],[Tech Start Date]],15),IF(Main[[#This Row],[Class]]="A",WORKDAY(Main[[#This Row],[Tech Start Date]],5),""))))</f>
        <v/>
      </c>
      <c r="P1136" s="77" t="str">
        <f>IF(Main[[#This Row],[Tech Start Date]]&lt;1/1/1990,"",IF(Main[[#This Row],[Class]]="C",WORKDAY(Main[[#This Row],[Tech Start Date]],28),IF(Main[[#This Row],[Class]]="B", WORKDAY(Main[[#This Row],[Tech Start Date]],19),IF(Main[[#This Row],[Class]]="A",WORKDAY(Main[[#This Row],[Tech Start Date]],9),""))))</f>
        <v/>
      </c>
      <c r="Q1136" s="74">
        <v>40847</v>
      </c>
      <c r="R1136" s="74"/>
      <c r="S1136" s="72" t="s">
        <v>6</v>
      </c>
      <c r="T1136" s="80" t="s">
        <v>4</v>
      </c>
      <c r="U1136" s="72" t="s">
        <v>29</v>
      </c>
      <c r="V1136" s="72" t="s">
        <v>1920</v>
      </c>
      <c r="W1136" s="72" t="s">
        <v>1921</v>
      </c>
      <c r="X1136" s="72" t="s">
        <v>30</v>
      </c>
      <c r="Y1136" s="72" t="s">
        <v>2946</v>
      </c>
      <c r="Z1136" s="72" t="s">
        <v>30</v>
      </c>
      <c r="AA1136" s="146" t="s">
        <v>30</v>
      </c>
    </row>
    <row r="1137" spans="1:27" ht="18.600000000000001" customHeight="1">
      <c r="A1137" s="139" t="str">
        <f>IF(priority(Main[[#This Row],[Comments]])&lt;&gt;0, priority(Main[[#This Row],[Comments]]),"")</f>
        <v/>
      </c>
      <c r="B1137" s="89" t="s">
        <v>3678</v>
      </c>
      <c r="C1137" s="72" t="s">
        <v>3613</v>
      </c>
      <c r="D1137" s="73" t="s">
        <v>3614</v>
      </c>
      <c r="E1137" s="74"/>
      <c r="F1137" s="74">
        <v>40982</v>
      </c>
      <c r="G1137" s="75" t="str">
        <f>IF(stdProdLT(Main[[#This Row],[Comments]])=0.1,"N/A",IF(stdProdLT(Main[[#This Row],[Comments]])=0,"",stdProdLT(Main[[#This Row],[Comments]])))</f>
        <v/>
      </c>
      <c r="H1137" s="76" t="str">
        <f>IF(AND(Main[[#This Row],[In Stock Date]]&lt;&gt;"",Main[[#This Row],[Revised Due Date]]&lt;&gt;""),Main[[#This Row],[In Stock Date]]-Main[[#This Row],[Revised Due Date]],"")</f>
        <v/>
      </c>
      <c r="I1137" s="72" t="s">
        <v>4</v>
      </c>
      <c r="J1137" s="72" t="s">
        <v>4</v>
      </c>
      <c r="K1137" s="72" t="s">
        <v>4</v>
      </c>
      <c r="L1137" s="74"/>
      <c r="M1137" s="77" t="str">
        <f>IF(Main[[#This Row],[Tech Start Date]]&lt;1/1/1990,"",IF(Main[[#This Row],[Class]]="C",WORKDAY(Main[[#This Row],[Tech Start Date]],9),IF(Main[[#This Row],[Class]]="B", WORKDAY(Main[[#This Row],[Tech Start Date]],6),IF(Main[[#This Row],[Class]]="A",WORKDAY(Main[[#This Row],[Tech Start Date]],2),""))))</f>
        <v/>
      </c>
      <c r="N1137" s="77" t="str">
        <f>IF(Main[[#This Row],[Tech Start Date]]&lt;1/1/1990,"",IF(Main[[#This Row],[Class]]="C",WORKDAY(Main[[#This Row],[Tech Start Date]],19),IF(Main[[#This Row],[Class]]="B", WORKDAY(Main[[#This Row],[Tech Start Date]],12),IF(Main[[#This Row],[Class]]="A",WORKDAY(Main[[#This Row],[Tech Start Date]],4),""))))</f>
        <v/>
      </c>
      <c r="O1137" s="77" t="str">
        <f>IF(Main[[#This Row],[Tech Start Date]]&lt;1/1/1990,"",IF(Main[[#This Row],[Class]]="C",WORKDAY(Main[[#This Row],[Tech Start Date]],23),IF(Main[[#This Row],[Class]]="B", WORKDAY(Main[[#This Row],[Tech Start Date]],15),IF(Main[[#This Row],[Class]]="A",WORKDAY(Main[[#This Row],[Tech Start Date]],5),""))))</f>
        <v/>
      </c>
      <c r="P1137" s="77" t="str">
        <f>IF(Main[[#This Row],[Tech Start Date]]&lt;1/1/1990,"",IF(Main[[#This Row],[Class]]="C",WORKDAY(Main[[#This Row],[Tech Start Date]],28),IF(Main[[#This Row],[Class]]="B", WORKDAY(Main[[#This Row],[Tech Start Date]],19),IF(Main[[#This Row],[Class]]="A",WORKDAY(Main[[#This Row],[Tech Start Date]],9),""))))</f>
        <v/>
      </c>
      <c r="Q1137" s="74"/>
      <c r="R1137" s="74"/>
      <c r="S1137" s="72" t="s">
        <v>11</v>
      </c>
      <c r="T1137" s="80" t="s">
        <v>4</v>
      </c>
      <c r="U1137" s="72" t="s">
        <v>12</v>
      </c>
      <c r="V1137" s="72" t="s">
        <v>1920</v>
      </c>
      <c r="W1137" s="72" t="s">
        <v>1922</v>
      </c>
      <c r="X1137" s="72" t="s">
        <v>2840</v>
      </c>
      <c r="Y1137" s="72" t="s">
        <v>3605</v>
      </c>
      <c r="Z1137" s="72" t="s">
        <v>4</v>
      </c>
      <c r="AA1137" s="146" t="s">
        <v>2840</v>
      </c>
    </row>
    <row r="1138" spans="1:27" ht="18.600000000000001" customHeight="1">
      <c r="A1138" s="139" t="str">
        <f>IF(priority(Main[[#This Row],[Comments]])&lt;&gt;0, priority(Main[[#This Row],[Comments]]),"")</f>
        <v/>
      </c>
      <c r="B1138" s="89" t="s">
        <v>1870</v>
      </c>
      <c r="C1138" s="72" t="s">
        <v>4</v>
      </c>
      <c r="D1138" s="73" t="s">
        <v>926</v>
      </c>
      <c r="E1138" s="74">
        <v>39968.4141087963</v>
      </c>
      <c r="F1138" s="74">
        <v>40298</v>
      </c>
      <c r="G1138" s="75" t="str">
        <f>IF(stdProdLT(Main[[#This Row],[Comments]])=0.1,"N/A",IF(stdProdLT(Main[[#This Row],[Comments]])=0,"",stdProdLT(Main[[#This Row],[Comments]])))</f>
        <v/>
      </c>
      <c r="H1138" s="76">
        <f>IF(AND(Main[[#This Row],[In Stock Date]]&lt;&gt;"",Main[[#This Row],[Revised Due Date]]&lt;&gt;""),Main[[#This Row],[In Stock Date]]-Main[[#This Row],[Revised Due Date]],"")</f>
        <v>-697</v>
      </c>
      <c r="I1138" s="72" t="s">
        <v>976</v>
      </c>
      <c r="J1138" s="72" t="s">
        <v>4</v>
      </c>
      <c r="K1138" s="72" t="s">
        <v>1929</v>
      </c>
      <c r="L1138" s="74"/>
      <c r="M1138" s="77" t="str">
        <f>IF(Main[[#This Row],[Tech Start Date]]&lt;1/1/1990,"",IF(Main[[#This Row],[Class]]="C",WORKDAY(Main[[#This Row],[Tech Start Date]],9),IF(Main[[#This Row],[Class]]="B", WORKDAY(Main[[#This Row],[Tech Start Date]],6),IF(Main[[#This Row],[Class]]="A",WORKDAY(Main[[#This Row],[Tech Start Date]],2),""))))</f>
        <v/>
      </c>
      <c r="N1138" s="77" t="str">
        <f>IF(Main[[#This Row],[Tech Start Date]]&lt;1/1/1990,"",IF(Main[[#This Row],[Class]]="C",WORKDAY(Main[[#This Row],[Tech Start Date]],19),IF(Main[[#This Row],[Class]]="B", WORKDAY(Main[[#This Row],[Tech Start Date]],12),IF(Main[[#This Row],[Class]]="A",WORKDAY(Main[[#This Row],[Tech Start Date]],4),""))))</f>
        <v/>
      </c>
      <c r="O1138" s="77" t="str">
        <f>IF(Main[[#This Row],[Tech Start Date]]&lt;1/1/1990,"",IF(Main[[#This Row],[Class]]="C",WORKDAY(Main[[#This Row],[Tech Start Date]],23),IF(Main[[#This Row],[Class]]="B", WORKDAY(Main[[#This Row],[Tech Start Date]],15),IF(Main[[#This Row],[Class]]="A",WORKDAY(Main[[#This Row],[Tech Start Date]],5),""))))</f>
        <v/>
      </c>
      <c r="P1138" s="77" t="str">
        <f>IF(Main[[#This Row],[Tech Start Date]]&lt;1/1/1990,"",IF(Main[[#This Row],[Class]]="C",WORKDAY(Main[[#This Row],[Tech Start Date]],28),IF(Main[[#This Row],[Class]]="B", WORKDAY(Main[[#This Row],[Tech Start Date]],19),IF(Main[[#This Row],[Class]]="A",WORKDAY(Main[[#This Row],[Tech Start Date]],9),""))))</f>
        <v/>
      </c>
      <c r="Q1138" s="74">
        <v>40165</v>
      </c>
      <c r="R1138" s="74">
        <v>40995</v>
      </c>
      <c r="S1138" s="72" t="s">
        <v>17</v>
      </c>
      <c r="T1138" s="80" t="s">
        <v>4</v>
      </c>
      <c r="U1138" s="72" t="s">
        <v>29</v>
      </c>
      <c r="V1138" s="72" t="s">
        <v>1920</v>
      </c>
      <c r="W1138" s="72" t="s">
        <v>1925</v>
      </c>
      <c r="X1138" s="72" t="s">
        <v>970</v>
      </c>
      <c r="Y1138" s="72" t="s">
        <v>3121</v>
      </c>
      <c r="Z1138" s="72" t="s">
        <v>415</v>
      </c>
      <c r="AA1138" s="146" t="s">
        <v>970</v>
      </c>
    </row>
    <row r="1139" spans="1:27" ht="18.600000000000001" customHeight="1">
      <c r="A1139" s="139" t="str">
        <f>IF(priority(Main[[#This Row],[Comments]])&lt;&gt;0, priority(Main[[#This Row],[Comments]]),"")</f>
        <v/>
      </c>
      <c r="B1139" s="89" t="s">
        <v>2387</v>
      </c>
      <c r="C1139" s="72" t="s">
        <v>72</v>
      </c>
      <c r="D1139" s="73" t="s">
        <v>2388</v>
      </c>
      <c r="E1139" s="74">
        <v>40856.064849537041</v>
      </c>
      <c r="F1139" s="74"/>
      <c r="G1139" s="75" t="str">
        <f>IF(stdProdLT(Main[[#This Row],[Comments]])=0.1,"N/A",IF(stdProdLT(Main[[#This Row],[Comments]])=0,"",stdProdLT(Main[[#This Row],[Comments]])))</f>
        <v/>
      </c>
      <c r="H1139" s="76" t="str">
        <f>IF(AND(Main[[#This Row],[In Stock Date]]&lt;&gt;"",Main[[#This Row],[Revised Due Date]]&lt;&gt;""),Main[[#This Row],[In Stock Date]]-Main[[#This Row],[Revised Due Date]],"")</f>
        <v/>
      </c>
      <c r="I1139" s="72" t="s">
        <v>4</v>
      </c>
      <c r="J1139" s="72" t="s">
        <v>4</v>
      </c>
      <c r="K1139" s="72" t="s">
        <v>4</v>
      </c>
      <c r="L1139" s="74"/>
      <c r="M1139" s="77" t="str">
        <f>IF(Main[[#This Row],[Tech Start Date]]&lt;1/1/1990,"",IF(Main[[#This Row],[Class]]="C",WORKDAY(Main[[#This Row],[Tech Start Date]],9),IF(Main[[#This Row],[Class]]="B", WORKDAY(Main[[#This Row],[Tech Start Date]],6),IF(Main[[#This Row],[Class]]="A",WORKDAY(Main[[#This Row],[Tech Start Date]],2),""))))</f>
        <v/>
      </c>
      <c r="N1139" s="77" t="str">
        <f>IF(Main[[#This Row],[Tech Start Date]]&lt;1/1/1990,"",IF(Main[[#This Row],[Class]]="C",WORKDAY(Main[[#This Row],[Tech Start Date]],19),IF(Main[[#This Row],[Class]]="B", WORKDAY(Main[[#This Row],[Tech Start Date]],12),IF(Main[[#This Row],[Class]]="A",WORKDAY(Main[[#This Row],[Tech Start Date]],4),""))))</f>
        <v/>
      </c>
      <c r="O1139" s="77" t="str">
        <f>IF(Main[[#This Row],[Tech Start Date]]&lt;1/1/1990,"",IF(Main[[#This Row],[Class]]="C",WORKDAY(Main[[#This Row],[Tech Start Date]],23),IF(Main[[#This Row],[Class]]="B", WORKDAY(Main[[#This Row],[Tech Start Date]],15),IF(Main[[#This Row],[Class]]="A",WORKDAY(Main[[#This Row],[Tech Start Date]],5),""))))</f>
        <v/>
      </c>
      <c r="P1139" s="77" t="str">
        <f>IF(Main[[#This Row],[Tech Start Date]]&lt;1/1/1990,"",IF(Main[[#This Row],[Class]]="C",WORKDAY(Main[[#This Row],[Tech Start Date]],28),IF(Main[[#This Row],[Class]]="B", WORKDAY(Main[[#This Row],[Tech Start Date]],19),IF(Main[[#This Row],[Class]]="A",WORKDAY(Main[[#This Row],[Tech Start Date]],9),""))))</f>
        <v/>
      </c>
      <c r="Q1139" s="74"/>
      <c r="R1139" s="74"/>
      <c r="S1139" s="72" t="s">
        <v>17</v>
      </c>
      <c r="T1139" s="80" t="s">
        <v>4</v>
      </c>
      <c r="U1139" s="72" t="s">
        <v>7</v>
      </c>
      <c r="V1139" s="72" t="s">
        <v>1918</v>
      </c>
      <c r="W1139" s="72" t="s">
        <v>1919</v>
      </c>
      <c r="X1139" s="72" t="s">
        <v>2896</v>
      </c>
      <c r="Y1139" s="72" t="s">
        <v>3053</v>
      </c>
      <c r="Z1139" s="72" t="s">
        <v>4</v>
      </c>
      <c r="AA1139" s="146" t="s">
        <v>2896</v>
      </c>
    </row>
    <row r="1140" spans="1:27" ht="18.600000000000001" customHeight="1">
      <c r="A1140" s="139" t="str">
        <f>IF(priority(Main[[#This Row],[Comments]])&lt;&gt;0, priority(Main[[#This Row],[Comments]]),"")</f>
        <v/>
      </c>
      <c r="B1140" s="89" t="s">
        <v>2472</v>
      </c>
      <c r="C1140" s="72" t="s">
        <v>47</v>
      </c>
      <c r="D1140" s="73" t="s">
        <v>2473</v>
      </c>
      <c r="E1140" s="74">
        <v>40847.703182870369</v>
      </c>
      <c r="F1140" s="74"/>
      <c r="G1140" s="75" t="str">
        <f>IF(stdProdLT(Main[[#This Row],[Comments]])=0.1,"N/A",IF(stdProdLT(Main[[#This Row],[Comments]])=0,"",stdProdLT(Main[[#This Row],[Comments]])))</f>
        <v/>
      </c>
      <c r="H1140" s="76" t="str">
        <f>IF(AND(Main[[#This Row],[In Stock Date]]&lt;&gt;"",Main[[#This Row],[Revised Due Date]]&lt;&gt;""),Main[[#This Row],[In Stock Date]]-Main[[#This Row],[Revised Due Date]],"")</f>
        <v/>
      </c>
      <c r="I1140" s="72" t="s">
        <v>69</v>
      </c>
      <c r="J1140" s="72" t="s">
        <v>28</v>
      </c>
      <c r="K1140" s="72" t="s">
        <v>1926</v>
      </c>
      <c r="L1140" s="74"/>
      <c r="M1140" s="77" t="str">
        <f>IF(Main[[#This Row],[Tech Start Date]]&lt;1/1/1990,"",IF(Main[[#This Row],[Class]]="C",WORKDAY(Main[[#This Row],[Tech Start Date]],9),IF(Main[[#This Row],[Class]]="B", WORKDAY(Main[[#This Row],[Tech Start Date]],6),IF(Main[[#This Row],[Class]]="A",WORKDAY(Main[[#This Row],[Tech Start Date]],2),""))))</f>
        <v/>
      </c>
      <c r="N1140" s="77" t="str">
        <f>IF(Main[[#This Row],[Tech Start Date]]&lt;1/1/1990,"",IF(Main[[#This Row],[Class]]="C",WORKDAY(Main[[#This Row],[Tech Start Date]],19),IF(Main[[#This Row],[Class]]="B", WORKDAY(Main[[#This Row],[Tech Start Date]],12),IF(Main[[#This Row],[Class]]="A",WORKDAY(Main[[#This Row],[Tech Start Date]],4),""))))</f>
        <v/>
      </c>
      <c r="O1140" s="77" t="str">
        <f>IF(Main[[#This Row],[Tech Start Date]]&lt;1/1/1990,"",IF(Main[[#This Row],[Class]]="C",WORKDAY(Main[[#This Row],[Tech Start Date]],23),IF(Main[[#This Row],[Class]]="B", WORKDAY(Main[[#This Row],[Tech Start Date]],15),IF(Main[[#This Row],[Class]]="A",WORKDAY(Main[[#This Row],[Tech Start Date]],5),""))))</f>
        <v/>
      </c>
      <c r="P1140" s="77" t="str">
        <f>IF(Main[[#This Row],[Tech Start Date]]&lt;1/1/1990,"",IF(Main[[#This Row],[Class]]="C",WORKDAY(Main[[#This Row],[Tech Start Date]],28),IF(Main[[#This Row],[Class]]="B", WORKDAY(Main[[#This Row],[Tech Start Date]],19),IF(Main[[#This Row],[Class]]="A",WORKDAY(Main[[#This Row],[Tech Start Date]],9),""))))</f>
        <v/>
      </c>
      <c r="Q1140" s="74">
        <v>40862</v>
      </c>
      <c r="R1140" s="74"/>
      <c r="S1140" s="72" t="s">
        <v>6</v>
      </c>
      <c r="T1140" s="80" t="s">
        <v>4</v>
      </c>
      <c r="U1140" s="72" t="s">
        <v>29</v>
      </c>
      <c r="V1140" s="72" t="s">
        <v>1920</v>
      </c>
      <c r="W1140" s="72" t="s">
        <v>1921</v>
      </c>
      <c r="X1140" s="72" t="s">
        <v>2871</v>
      </c>
      <c r="Y1140" s="72" t="s">
        <v>3016</v>
      </c>
      <c r="Z1140" s="72" t="s">
        <v>30</v>
      </c>
      <c r="AA1140" s="146" t="s">
        <v>2871</v>
      </c>
    </row>
    <row r="1141" spans="1:27" ht="18.600000000000001" customHeight="1">
      <c r="A1141" s="139" t="str">
        <f>IF(priority(Main[[#This Row],[Comments]])&lt;&gt;0, priority(Main[[#This Row],[Comments]]),"")</f>
        <v/>
      </c>
      <c r="B1141" s="89" t="s">
        <v>3682</v>
      </c>
      <c r="C1141" s="72" t="s">
        <v>3683</v>
      </c>
      <c r="D1141" s="73" t="s">
        <v>3684</v>
      </c>
      <c r="E1141" s="74">
        <v>40954.604432870372</v>
      </c>
      <c r="F1141" s="74"/>
      <c r="G1141" s="75" t="str">
        <f>IF(stdProdLT(Main[[#This Row],[Comments]])=0.1,"N/A",IF(stdProdLT(Main[[#This Row],[Comments]])=0,"",stdProdLT(Main[[#This Row],[Comments]])))</f>
        <v/>
      </c>
      <c r="H1141" s="76" t="str">
        <f>IF(AND(Main[[#This Row],[In Stock Date]]&lt;&gt;"",Main[[#This Row],[Revised Due Date]]&lt;&gt;""),Main[[#This Row],[In Stock Date]]-Main[[#This Row],[Revised Due Date]],"")</f>
        <v/>
      </c>
      <c r="I1141" s="72" t="s">
        <v>942</v>
      </c>
      <c r="J1141" s="72" t="s">
        <v>28</v>
      </c>
      <c r="K1141" s="72" t="s">
        <v>1930</v>
      </c>
      <c r="L1141" s="74"/>
      <c r="M1141" s="77" t="str">
        <f>IF(Main[[#This Row],[Tech Start Date]]&lt;1/1/1990,"",IF(Main[[#This Row],[Class]]="C",WORKDAY(Main[[#This Row],[Tech Start Date]],9),IF(Main[[#This Row],[Class]]="B", WORKDAY(Main[[#This Row],[Tech Start Date]],6),IF(Main[[#This Row],[Class]]="A",WORKDAY(Main[[#This Row],[Tech Start Date]],2),""))))</f>
        <v/>
      </c>
      <c r="N1141" s="77" t="str">
        <f>IF(Main[[#This Row],[Tech Start Date]]&lt;1/1/1990,"",IF(Main[[#This Row],[Class]]="C",WORKDAY(Main[[#This Row],[Tech Start Date]],19),IF(Main[[#This Row],[Class]]="B", WORKDAY(Main[[#This Row],[Tech Start Date]],12),IF(Main[[#This Row],[Class]]="A",WORKDAY(Main[[#This Row],[Tech Start Date]],4),""))))</f>
        <v/>
      </c>
      <c r="O1141" s="77" t="str">
        <f>IF(Main[[#This Row],[Tech Start Date]]&lt;1/1/1990,"",IF(Main[[#This Row],[Class]]="C",WORKDAY(Main[[#This Row],[Tech Start Date]],23),IF(Main[[#This Row],[Class]]="B", WORKDAY(Main[[#This Row],[Tech Start Date]],15),IF(Main[[#This Row],[Class]]="A",WORKDAY(Main[[#This Row],[Tech Start Date]],5),""))))</f>
        <v/>
      </c>
      <c r="P1141" s="77" t="str">
        <f>IF(Main[[#This Row],[Tech Start Date]]&lt;1/1/1990,"",IF(Main[[#This Row],[Class]]="C",WORKDAY(Main[[#This Row],[Tech Start Date]],28),IF(Main[[#This Row],[Class]]="B", WORKDAY(Main[[#This Row],[Tech Start Date]],19),IF(Main[[#This Row],[Class]]="A",WORKDAY(Main[[#This Row],[Tech Start Date]],9),""))))</f>
        <v/>
      </c>
      <c r="Q1141" s="74">
        <v>40968</v>
      </c>
      <c r="R1141" s="74"/>
      <c r="S1141" s="72" t="s">
        <v>11</v>
      </c>
      <c r="T1141" s="80" t="s">
        <v>4</v>
      </c>
      <c r="U1141" s="72" t="s">
        <v>7</v>
      </c>
      <c r="V1141" s="72" t="s">
        <v>1918</v>
      </c>
      <c r="W1141" s="72" t="s">
        <v>1919</v>
      </c>
      <c r="X1141" s="72" t="s">
        <v>2868</v>
      </c>
      <c r="Y1141" s="72" t="s">
        <v>4</v>
      </c>
      <c r="Z1141" s="72" t="s">
        <v>2056</v>
      </c>
      <c r="AA1141" s="146" t="s">
        <v>4</v>
      </c>
    </row>
    <row r="1142" spans="1:27" ht="18.600000000000001" customHeight="1">
      <c r="A1142" s="139" t="str">
        <f>IF(priority(Main[[#This Row],[Comments]])&lt;&gt;0, priority(Main[[#This Row],[Comments]]),"")</f>
        <v/>
      </c>
      <c r="B1142" s="89" t="s">
        <v>1878</v>
      </c>
      <c r="C1142" s="72" t="s">
        <v>99</v>
      </c>
      <c r="D1142" s="73" t="s">
        <v>930</v>
      </c>
      <c r="E1142" s="74"/>
      <c r="F1142" s="74">
        <v>40644</v>
      </c>
      <c r="G1142" s="75" t="str">
        <f>IF(stdProdLT(Main[[#This Row],[Comments]])=0.1,"N/A",IF(stdProdLT(Main[[#This Row],[Comments]])=0,"",stdProdLT(Main[[#This Row],[Comments]])))</f>
        <v/>
      </c>
      <c r="H1142" s="76">
        <f>IF(AND(Main[[#This Row],[In Stock Date]]&lt;&gt;"",Main[[#This Row],[Revised Due Date]]&lt;&gt;""),Main[[#This Row],[In Stock Date]]-Main[[#This Row],[Revised Due Date]],"")</f>
        <v>-19</v>
      </c>
      <c r="I1142" s="72" t="s">
        <v>4</v>
      </c>
      <c r="J1142" s="72" t="s">
        <v>21</v>
      </c>
      <c r="K1142" s="72" t="s">
        <v>1929</v>
      </c>
      <c r="L1142" s="74"/>
      <c r="M1142" s="77" t="str">
        <f>IF(Main[[#This Row],[Tech Start Date]]&lt;1/1/1990,"",IF(Main[[#This Row],[Class]]="C",WORKDAY(Main[[#This Row],[Tech Start Date]],9),IF(Main[[#This Row],[Class]]="B", WORKDAY(Main[[#This Row],[Tech Start Date]],6),IF(Main[[#This Row],[Class]]="A",WORKDAY(Main[[#This Row],[Tech Start Date]],2),""))))</f>
        <v/>
      </c>
      <c r="N1142" s="77" t="str">
        <f>IF(Main[[#This Row],[Tech Start Date]]&lt;1/1/1990,"",IF(Main[[#This Row],[Class]]="C",WORKDAY(Main[[#This Row],[Tech Start Date]],19),IF(Main[[#This Row],[Class]]="B", WORKDAY(Main[[#This Row],[Tech Start Date]],12),IF(Main[[#This Row],[Class]]="A",WORKDAY(Main[[#This Row],[Tech Start Date]],4),""))))</f>
        <v/>
      </c>
      <c r="O1142" s="77" t="str">
        <f>IF(Main[[#This Row],[Tech Start Date]]&lt;1/1/1990,"",IF(Main[[#This Row],[Class]]="C",WORKDAY(Main[[#This Row],[Tech Start Date]],23),IF(Main[[#This Row],[Class]]="B", WORKDAY(Main[[#This Row],[Tech Start Date]],15),IF(Main[[#This Row],[Class]]="A",WORKDAY(Main[[#This Row],[Tech Start Date]],5),""))))</f>
        <v/>
      </c>
      <c r="P1142" s="77" t="str">
        <f>IF(Main[[#This Row],[Tech Start Date]]&lt;1/1/1990,"",IF(Main[[#This Row],[Class]]="C",WORKDAY(Main[[#This Row],[Tech Start Date]],28),IF(Main[[#This Row],[Class]]="B", WORKDAY(Main[[#This Row],[Tech Start Date]],19),IF(Main[[#This Row],[Class]]="A",WORKDAY(Main[[#This Row],[Tech Start Date]],9),""))))</f>
        <v/>
      </c>
      <c r="Q1142" s="74">
        <v>40663</v>
      </c>
      <c r="R1142" s="74">
        <v>40663</v>
      </c>
      <c r="S1142" s="72" t="s">
        <v>11</v>
      </c>
      <c r="T1142" s="80" t="s">
        <v>4</v>
      </c>
      <c r="U1142" s="72" t="s">
        <v>14</v>
      </c>
      <c r="V1142" s="72" t="s">
        <v>1917</v>
      </c>
      <c r="W1142" s="72" t="s">
        <v>1922</v>
      </c>
      <c r="X1142" s="72" t="s">
        <v>2843</v>
      </c>
      <c r="Y1142" s="72" t="s">
        <v>2972</v>
      </c>
      <c r="Z1142" s="72" t="s">
        <v>129</v>
      </c>
      <c r="AA1142" s="146" t="s">
        <v>2840</v>
      </c>
    </row>
    <row r="1143" spans="1:27" ht="18.600000000000001" customHeight="1">
      <c r="A1143" s="139" t="str">
        <f>IF(priority(Main[[#This Row],[Comments]])&lt;&gt;0, priority(Main[[#This Row],[Comments]]),"")</f>
        <v/>
      </c>
      <c r="B1143" s="89" t="s">
        <v>1440</v>
      </c>
      <c r="C1143" s="72" t="s">
        <v>4</v>
      </c>
      <c r="D1143" s="73" t="s">
        <v>516</v>
      </c>
      <c r="E1143" s="74">
        <v>40584.460439814815</v>
      </c>
      <c r="F1143" s="74">
        <v>40599</v>
      </c>
      <c r="G1143" s="75" t="str">
        <f>IF(stdProdLT(Main[[#This Row],[Comments]])=0.1,"N/A",IF(stdProdLT(Main[[#This Row],[Comments]])=0,"",stdProdLT(Main[[#This Row],[Comments]])))</f>
        <v/>
      </c>
      <c r="H1143" s="76" t="str">
        <f>IF(AND(Main[[#This Row],[In Stock Date]]&lt;&gt;"",Main[[#This Row],[Revised Due Date]]&lt;&gt;""),Main[[#This Row],[In Stock Date]]-Main[[#This Row],[Revised Due Date]],"")</f>
        <v/>
      </c>
      <c r="I1143" s="72" t="s">
        <v>415</v>
      </c>
      <c r="J1143" s="72" t="s">
        <v>21</v>
      </c>
      <c r="K1143" s="72" t="s">
        <v>1926</v>
      </c>
      <c r="L1143" s="74"/>
      <c r="M1143" s="77" t="str">
        <f>IF(Main[[#This Row],[Tech Start Date]]&lt;1/1/1990,"",IF(Main[[#This Row],[Class]]="C",WORKDAY(Main[[#This Row],[Tech Start Date]],9),IF(Main[[#This Row],[Class]]="B", WORKDAY(Main[[#This Row],[Tech Start Date]],6),IF(Main[[#This Row],[Class]]="A",WORKDAY(Main[[#This Row],[Tech Start Date]],2),""))))</f>
        <v/>
      </c>
      <c r="N1143" s="77" t="str">
        <f>IF(Main[[#This Row],[Tech Start Date]]&lt;1/1/1990,"",IF(Main[[#This Row],[Class]]="C",WORKDAY(Main[[#This Row],[Tech Start Date]],19),IF(Main[[#This Row],[Class]]="B", WORKDAY(Main[[#This Row],[Tech Start Date]],12),IF(Main[[#This Row],[Class]]="A",WORKDAY(Main[[#This Row],[Tech Start Date]],4),""))))</f>
        <v/>
      </c>
      <c r="O1143" s="77" t="str">
        <f>IF(Main[[#This Row],[Tech Start Date]]&lt;1/1/1990,"",IF(Main[[#This Row],[Class]]="C",WORKDAY(Main[[#This Row],[Tech Start Date]],23),IF(Main[[#This Row],[Class]]="B", WORKDAY(Main[[#This Row],[Tech Start Date]],15),IF(Main[[#This Row],[Class]]="A",WORKDAY(Main[[#This Row],[Tech Start Date]],5),""))))</f>
        <v/>
      </c>
      <c r="P1143" s="77" t="str">
        <f>IF(Main[[#This Row],[Tech Start Date]]&lt;1/1/1990,"",IF(Main[[#This Row],[Class]]="C",WORKDAY(Main[[#This Row],[Tech Start Date]],28),IF(Main[[#This Row],[Class]]="B", WORKDAY(Main[[#This Row],[Tech Start Date]],19),IF(Main[[#This Row],[Class]]="A",WORKDAY(Main[[#This Row],[Tech Start Date]],9),""))))</f>
        <v/>
      </c>
      <c r="Q1143" s="74">
        <v>40599</v>
      </c>
      <c r="R1143" s="74"/>
      <c r="S1143" s="72" t="s">
        <v>6</v>
      </c>
      <c r="T1143" s="80" t="s">
        <v>4</v>
      </c>
      <c r="U1143" s="72" t="s">
        <v>29</v>
      </c>
      <c r="V1143" s="72" t="s">
        <v>1927</v>
      </c>
      <c r="W1143" s="72" t="s">
        <v>1919</v>
      </c>
      <c r="X1143" s="72" t="s">
        <v>415</v>
      </c>
      <c r="Y1143" s="72" t="s">
        <v>2981</v>
      </c>
      <c r="Z1143" s="72" t="s">
        <v>415</v>
      </c>
      <c r="AA1143" s="146" t="s">
        <v>415</v>
      </c>
    </row>
    <row r="1144" spans="1:27" ht="18.600000000000001" customHeight="1">
      <c r="A1144" s="139" t="str">
        <f>IF(priority(Main[[#This Row],[Comments]])&lt;&gt;0, priority(Main[[#This Row],[Comments]]),"")</f>
        <v/>
      </c>
      <c r="B1144" s="89" t="s">
        <v>2474</v>
      </c>
      <c r="C1144" s="72" t="s">
        <v>4</v>
      </c>
      <c r="D1144" s="73" t="s">
        <v>2475</v>
      </c>
      <c r="E1144" s="74"/>
      <c r="F1144" s="74"/>
      <c r="G1144" s="75" t="str">
        <f>IF(stdProdLT(Main[[#This Row],[Comments]])=0.1,"N/A",IF(stdProdLT(Main[[#This Row],[Comments]])=0,"",stdProdLT(Main[[#This Row],[Comments]])))</f>
        <v/>
      </c>
      <c r="H1144" s="76" t="str">
        <f>IF(AND(Main[[#This Row],[In Stock Date]]&lt;&gt;"",Main[[#This Row],[Revised Due Date]]&lt;&gt;""),Main[[#This Row],[In Stock Date]]-Main[[#This Row],[Revised Due Date]],"")</f>
        <v/>
      </c>
      <c r="I1144" s="72" t="s">
        <v>4</v>
      </c>
      <c r="J1144" s="72" t="s">
        <v>4</v>
      </c>
      <c r="K1144" s="72" t="s">
        <v>4</v>
      </c>
      <c r="L1144" s="74"/>
      <c r="M1144" s="77" t="str">
        <f>IF(Main[[#This Row],[Tech Start Date]]&lt;1/1/1990,"",IF(Main[[#This Row],[Class]]="C",WORKDAY(Main[[#This Row],[Tech Start Date]],9),IF(Main[[#This Row],[Class]]="B", WORKDAY(Main[[#This Row],[Tech Start Date]],6),IF(Main[[#This Row],[Class]]="A",WORKDAY(Main[[#This Row],[Tech Start Date]],2),""))))</f>
        <v/>
      </c>
      <c r="N1144" s="77" t="str">
        <f>IF(Main[[#This Row],[Tech Start Date]]&lt;1/1/1990,"",IF(Main[[#This Row],[Class]]="C",WORKDAY(Main[[#This Row],[Tech Start Date]],19),IF(Main[[#This Row],[Class]]="B", WORKDAY(Main[[#This Row],[Tech Start Date]],12),IF(Main[[#This Row],[Class]]="A",WORKDAY(Main[[#This Row],[Tech Start Date]],4),""))))</f>
        <v/>
      </c>
      <c r="O1144" s="77" t="str">
        <f>IF(Main[[#This Row],[Tech Start Date]]&lt;1/1/1990,"",IF(Main[[#This Row],[Class]]="C",WORKDAY(Main[[#This Row],[Tech Start Date]],23),IF(Main[[#This Row],[Class]]="B", WORKDAY(Main[[#This Row],[Tech Start Date]],15),IF(Main[[#This Row],[Class]]="A",WORKDAY(Main[[#This Row],[Tech Start Date]],5),""))))</f>
        <v/>
      </c>
      <c r="P1144" s="77" t="str">
        <f>IF(Main[[#This Row],[Tech Start Date]]&lt;1/1/1990,"",IF(Main[[#This Row],[Class]]="C",WORKDAY(Main[[#This Row],[Tech Start Date]],28),IF(Main[[#This Row],[Class]]="B", WORKDAY(Main[[#This Row],[Tech Start Date]],19),IF(Main[[#This Row],[Class]]="A",WORKDAY(Main[[#This Row],[Tech Start Date]],9),""))))</f>
        <v/>
      </c>
      <c r="Q1144" s="74"/>
      <c r="R1144" s="74"/>
      <c r="S1144" s="72" t="s">
        <v>11</v>
      </c>
      <c r="T1144" s="80" t="s">
        <v>4</v>
      </c>
      <c r="U1144" s="72" t="s">
        <v>14</v>
      </c>
      <c r="V1144" s="72" t="s">
        <v>1918</v>
      </c>
      <c r="W1144" s="72" t="s">
        <v>4</v>
      </c>
      <c r="X1144" s="72" t="s">
        <v>2254</v>
      </c>
      <c r="Y1144" s="72" t="s">
        <v>4</v>
      </c>
      <c r="Z1144" s="72" t="s">
        <v>4</v>
      </c>
      <c r="AA1144" s="146" t="s">
        <v>4</v>
      </c>
    </row>
    <row r="1145" spans="1:27" ht="18.600000000000001" customHeight="1">
      <c r="A1145" s="139" t="str">
        <f>IF(priority(Main[[#This Row],[Comments]])&lt;&gt;0, priority(Main[[#This Row],[Comments]]),"")</f>
        <v/>
      </c>
      <c r="B1145" s="89" t="s">
        <v>2476</v>
      </c>
      <c r="C1145" s="72" t="s">
        <v>2424</v>
      </c>
      <c r="D1145" s="73" t="s">
        <v>2477</v>
      </c>
      <c r="E1145" s="74"/>
      <c r="F1145" s="74">
        <v>40969</v>
      </c>
      <c r="G1145" s="75" t="str">
        <f>IF(stdProdLT(Main[[#This Row],[Comments]])=0.1,"N/A",IF(stdProdLT(Main[[#This Row],[Comments]])=0,"",stdProdLT(Main[[#This Row],[Comments]])))</f>
        <v/>
      </c>
      <c r="H1145" s="76" t="str">
        <f>IF(AND(Main[[#This Row],[In Stock Date]]&lt;&gt;"",Main[[#This Row],[Revised Due Date]]&lt;&gt;""),Main[[#This Row],[In Stock Date]]-Main[[#This Row],[Revised Due Date]],"")</f>
        <v/>
      </c>
      <c r="I1145" s="72" t="s">
        <v>4</v>
      </c>
      <c r="J1145" s="72" t="s">
        <v>4</v>
      </c>
      <c r="K1145" s="72" t="s">
        <v>4</v>
      </c>
      <c r="L1145" s="74"/>
      <c r="M1145" s="77" t="str">
        <f>IF(Main[[#This Row],[Tech Start Date]]&lt;1/1/1990,"",IF(Main[[#This Row],[Class]]="C",WORKDAY(Main[[#This Row],[Tech Start Date]],9),IF(Main[[#This Row],[Class]]="B", WORKDAY(Main[[#This Row],[Tech Start Date]],6),IF(Main[[#This Row],[Class]]="A",WORKDAY(Main[[#This Row],[Tech Start Date]],2),""))))</f>
        <v/>
      </c>
      <c r="N1145" s="77" t="str">
        <f>IF(Main[[#This Row],[Tech Start Date]]&lt;1/1/1990,"",IF(Main[[#This Row],[Class]]="C",WORKDAY(Main[[#This Row],[Tech Start Date]],19),IF(Main[[#This Row],[Class]]="B", WORKDAY(Main[[#This Row],[Tech Start Date]],12),IF(Main[[#This Row],[Class]]="A",WORKDAY(Main[[#This Row],[Tech Start Date]],4),""))))</f>
        <v/>
      </c>
      <c r="O1145" s="77" t="str">
        <f>IF(Main[[#This Row],[Tech Start Date]]&lt;1/1/1990,"",IF(Main[[#This Row],[Class]]="C",WORKDAY(Main[[#This Row],[Tech Start Date]],23),IF(Main[[#This Row],[Class]]="B", WORKDAY(Main[[#This Row],[Tech Start Date]],15),IF(Main[[#This Row],[Class]]="A",WORKDAY(Main[[#This Row],[Tech Start Date]],5),""))))</f>
        <v/>
      </c>
      <c r="P1145" s="77" t="str">
        <f>IF(Main[[#This Row],[Tech Start Date]]&lt;1/1/1990,"",IF(Main[[#This Row],[Class]]="C",WORKDAY(Main[[#This Row],[Tech Start Date]],28),IF(Main[[#This Row],[Class]]="B", WORKDAY(Main[[#This Row],[Tech Start Date]],19),IF(Main[[#This Row],[Class]]="A",WORKDAY(Main[[#This Row],[Tech Start Date]],9),""))))</f>
        <v/>
      </c>
      <c r="Q1145" s="74"/>
      <c r="R1145" s="74"/>
      <c r="S1145" s="72" t="s">
        <v>4</v>
      </c>
      <c r="T1145" s="80" t="s">
        <v>2478</v>
      </c>
      <c r="U1145" s="72" t="s">
        <v>14</v>
      </c>
      <c r="V1145" s="72" t="s">
        <v>1920</v>
      </c>
      <c r="W1145" s="72" t="s">
        <v>4</v>
      </c>
      <c r="X1145" s="72" t="s">
        <v>2862</v>
      </c>
      <c r="Y1145" s="72" t="s">
        <v>4</v>
      </c>
      <c r="Z1145" s="72" t="s">
        <v>4</v>
      </c>
      <c r="AA1145" s="146" t="s">
        <v>4</v>
      </c>
    </row>
    <row r="1146" spans="1:27" ht="18.600000000000001" customHeight="1">
      <c r="A1146" s="139" t="str">
        <f>IF(priority(Main[[#This Row],[Comments]])&lt;&gt;0, priority(Main[[#This Row],[Comments]]),"")</f>
        <v/>
      </c>
      <c r="B1146" s="89" t="s">
        <v>2481</v>
      </c>
      <c r="C1146" s="72" t="s">
        <v>4</v>
      </c>
      <c r="D1146" s="73" t="s">
        <v>2482</v>
      </c>
      <c r="E1146" s="74">
        <v>40834.323900462965</v>
      </c>
      <c r="F1146" s="74"/>
      <c r="G1146" s="75" t="str">
        <f>IF(stdProdLT(Main[[#This Row],[Comments]])=0.1,"N/A",IF(stdProdLT(Main[[#This Row],[Comments]])=0,"",stdProdLT(Main[[#This Row],[Comments]])))</f>
        <v/>
      </c>
      <c r="H1146" s="76" t="str">
        <f>IF(AND(Main[[#This Row],[In Stock Date]]&lt;&gt;"",Main[[#This Row],[Revised Due Date]]&lt;&gt;""),Main[[#This Row],[In Stock Date]]-Main[[#This Row],[Revised Due Date]],"")</f>
        <v/>
      </c>
      <c r="I1146" s="72" t="s">
        <v>4</v>
      </c>
      <c r="J1146" s="72" t="s">
        <v>4</v>
      </c>
      <c r="K1146" s="72" t="s">
        <v>4</v>
      </c>
      <c r="L1146" s="74"/>
      <c r="M1146" s="77" t="str">
        <f>IF(Main[[#This Row],[Tech Start Date]]&lt;1/1/1990,"",IF(Main[[#This Row],[Class]]="C",WORKDAY(Main[[#This Row],[Tech Start Date]],9),IF(Main[[#This Row],[Class]]="B", WORKDAY(Main[[#This Row],[Tech Start Date]],6),IF(Main[[#This Row],[Class]]="A",WORKDAY(Main[[#This Row],[Tech Start Date]],2),""))))</f>
        <v/>
      </c>
      <c r="N1146" s="77" t="str">
        <f>IF(Main[[#This Row],[Tech Start Date]]&lt;1/1/1990,"",IF(Main[[#This Row],[Class]]="C",WORKDAY(Main[[#This Row],[Tech Start Date]],19),IF(Main[[#This Row],[Class]]="B", WORKDAY(Main[[#This Row],[Tech Start Date]],12),IF(Main[[#This Row],[Class]]="A",WORKDAY(Main[[#This Row],[Tech Start Date]],4),""))))</f>
        <v/>
      </c>
      <c r="O1146" s="77" t="str">
        <f>IF(Main[[#This Row],[Tech Start Date]]&lt;1/1/1990,"",IF(Main[[#This Row],[Class]]="C",WORKDAY(Main[[#This Row],[Tech Start Date]],23),IF(Main[[#This Row],[Class]]="B", WORKDAY(Main[[#This Row],[Tech Start Date]],15),IF(Main[[#This Row],[Class]]="A",WORKDAY(Main[[#This Row],[Tech Start Date]],5),""))))</f>
        <v/>
      </c>
      <c r="P1146" s="77" t="str">
        <f>IF(Main[[#This Row],[Tech Start Date]]&lt;1/1/1990,"",IF(Main[[#This Row],[Class]]="C",WORKDAY(Main[[#This Row],[Tech Start Date]],28),IF(Main[[#This Row],[Class]]="B", WORKDAY(Main[[#This Row],[Tech Start Date]],19),IF(Main[[#This Row],[Class]]="A",WORKDAY(Main[[#This Row],[Tech Start Date]],9),""))))</f>
        <v/>
      </c>
      <c r="Q1146" s="74"/>
      <c r="R1146" s="74"/>
      <c r="S1146" s="72" t="s">
        <v>6</v>
      </c>
      <c r="T1146" s="80" t="s">
        <v>4</v>
      </c>
      <c r="U1146" s="72" t="s">
        <v>7</v>
      </c>
      <c r="V1146" s="72" t="s">
        <v>1917</v>
      </c>
      <c r="W1146" s="72" t="s">
        <v>1921</v>
      </c>
      <c r="X1146" s="72" t="s">
        <v>399</v>
      </c>
      <c r="Y1146" s="72" t="s">
        <v>4</v>
      </c>
      <c r="Z1146" s="72" t="s">
        <v>4</v>
      </c>
      <c r="AA1146" s="146" t="s">
        <v>3397</v>
      </c>
    </row>
    <row r="1147" spans="1:27" ht="18.600000000000001" customHeight="1">
      <c r="A1147" s="139" t="str">
        <f>IF(priority(Main[[#This Row],[Comments]])&lt;&gt;0, priority(Main[[#This Row],[Comments]]),"")</f>
        <v/>
      </c>
      <c r="B1147" s="89" t="s">
        <v>2483</v>
      </c>
      <c r="C1147" s="72" t="s">
        <v>347</v>
      </c>
      <c r="D1147" s="73" t="s">
        <v>2341</v>
      </c>
      <c r="E1147" s="74">
        <v>40827.600601851853</v>
      </c>
      <c r="F1147" s="74"/>
      <c r="G1147" s="75" t="str">
        <f>IF(stdProdLT(Main[[#This Row],[Comments]])=0.1,"N/A",IF(stdProdLT(Main[[#This Row],[Comments]])=0,"",stdProdLT(Main[[#This Row],[Comments]])))</f>
        <v/>
      </c>
      <c r="H1147" s="76" t="str">
        <f>IF(AND(Main[[#This Row],[In Stock Date]]&lt;&gt;"",Main[[#This Row],[Revised Due Date]]&lt;&gt;""),Main[[#This Row],[In Stock Date]]-Main[[#This Row],[Revised Due Date]],"")</f>
        <v/>
      </c>
      <c r="I1147" s="72" t="s">
        <v>4</v>
      </c>
      <c r="J1147" s="72" t="s">
        <v>4</v>
      </c>
      <c r="K1147" s="72" t="s">
        <v>4</v>
      </c>
      <c r="L1147" s="74"/>
      <c r="M1147" s="77" t="str">
        <f>IF(Main[[#This Row],[Tech Start Date]]&lt;1/1/1990,"",IF(Main[[#This Row],[Class]]="C",WORKDAY(Main[[#This Row],[Tech Start Date]],9),IF(Main[[#This Row],[Class]]="B", WORKDAY(Main[[#This Row],[Tech Start Date]],6),IF(Main[[#This Row],[Class]]="A",WORKDAY(Main[[#This Row],[Tech Start Date]],2),""))))</f>
        <v/>
      </c>
      <c r="N1147" s="77" t="str">
        <f>IF(Main[[#This Row],[Tech Start Date]]&lt;1/1/1990,"",IF(Main[[#This Row],[Class]]="C",WORKDAY(Main[[#This Row],[Tech Start Date]],19),IF(Main[[#This Row],[Class]]="B", WORKDAY(Main[[#This Row],[Tech Start Date]],12),IF(Main[[#This Row],[Class]]="A",WORKDAY(Main[[#This Row],[Tech Start Date]],4),""))))</f>
        <v/>
      </c>
      <c r="O1147" s="77" t="str">
        <f>IF(Main[[#This Row],[Tech Start Date]]&lt;1/1/1990,"",IF(Main[[#This Row],[Class]]="C",WORKDAY(Main[[#This Row],[Tech Start Date]],23),IF(Main[[#This Row],[Class]]="B", WORKDAY(Main[[#This Row],[Tech Start Date]],15),IF(Main[[#This Row],[Class]]="A",WORKDAY(Main[[#This Row],[Tech Start Date]],5),""))))</f>
        <v/>
      </c>
      <c r="P1147" s="77" t="str">
        <f>IF(Main[[#This Row],[Tech Start Date]]&lt;1/1/1990,"",IF(Main[[#This Row],[Class]]="C",WORKDAY(Main[[#This Row],[Tech Start Date]],28),IF(Main[[#This Row],[Class]]="B", WORKDAY(Main[[#This Row],[Tech Start Date]],19),IF(Main[[#This Row],[Class]]="A",WORKDAY(Main[[#This Row],[Tech Start Date]],9),""))))</f>
        <v/>
      </c>
      <c r="Q1147" s="74">
        <v>40847</v>
      </c>
      <c r="R1147" s="74"/>
      <c r="S1147" s="72" t="s">
        <v>4</v>
      </c>
      <c r="T1147" s="80" t="s">
        <v>4</v>
      </c>
      <c r="U1147" s="72" t="s">
        <v>7</v>
      </c>
      <c r="V1147" s="72" t="s">
        <v>1917</v>
      </c>
      <c r="W1147" s="72" t="s">
        <v>4</v>
      </c>
      <c r="X1147" s="72" t="s">
        <v>2855</v>
      </c>
      <c r="Y1147" s="72" t="s">
        <v>2989</v>
      </c>
      <c r="Z1147" s="72" t="s">
        <v>4</v>
      </c>
      <c r="AA1147" s="146" t="s">
        <v>2855</v>
      </c>
    </row>
    <row r="1148" spans="1:27" ht="18.600000000000001" customHeight="1">
      <c r="A1148" s="155" t="str">
        <f>IF(priority(Main[[#This Row],[Comments]])&lt;&gt;0, priority(Main[[#This Row],[Comments]]),"")</f>
        <v/>
      </c>
      <c r="B1148" s="156" t="s">
        <v>2484</v>
      </c>
      <c r="C1148" s="157" t="s">
        <v>347</v>
      </c>
      <c r="D1148" s="158" t="s">
        <v>2485</v>
      </c>
      <c r="E1148" s="160">
        <v>40827.603530092594</v>
      </c>
      <c r="F1148" s="160"/>
      <c r="G1148" s="162" t="str">
        <f>IF(stdProdLT(Main[[#This Row],[Comments]])=0.1,"N/A",IF(stdProdLT(Main[[#This Row],[Comments]])=0,"",stdProdLT(Main[[#This Row],[Comments]])))</f>
        <v/>
      </c>
      <c r="H1148" s="164" t="str">
        <f>IF(AND(Main[[#This Row],[In Stock Date]]&lt;&gt;"",Main[[#This Row],[Revised Due Date]]&lt;&gt;""),Main[[#This Row],[In Stock Date]]-Main[[#This Row],[Revised Due Date]],"")</f>
        <v/>
      </c>
      <c r="I1148" s="157" t="s">
        <v>4</v>
      </c>
      <c r="J1148" s="157" t="s">
        <v>4</v>
      </c>
      <c r="K1148" s="157" t="s">
        <v>4</v>
      </c>
      <c r="L1148" s="160"/>
      <c r="M1148" s="167" t="str">
        <f>IF(Main[[#This Row],[Tech Start Date]]&lt;1/1/1990,"",IF(Main[[#This Row],[Class]]="C",WORKDAY(Main[[#This Row],[Tech Start Date]],9),IF(Main[[#This Row],[Class]]="B", WORKDAY(Main[[#This Row],[Tech Start Date]],6),IF(Main[[#This Row],[Class]]="A",WORKDAY(Main[[#This Row],[Tech Start Date]],2),""))))</f>
        <v/>
      </c>
      <c r="N1148" s="167" t="str">
        <f>IF(Main[[#This Row],[Tech Start Date]]&lt;1/1/1990,"",IF(Main[[#This Row],[Class]]="C",WORKDAY(Main[[#This Row],[Tech Start Date]],19),IF(Main[[#This Row],[Class]]="B", WORKDAY(Main[[#This Row],[Tech Start Date]],12),IF(Main[[#This Row],[Class]]="A",WORKDAY(Main[[#This Row],[Tech Start Date]],4),""))))</f>
        <v/>
      </c>
      <c r="O1148" s="167" t="str">
        <f>IF(Main[[#This Row],[Tech Start Date]]&lt;1/1/1990,"",IF(Main[[#This Row],[Class]]="C",WORKDAY(Main[[#This Row],[Tech Start Date]],23),IF(Main[[#This Row],[Class]]="B", WORKDAY(Main[[#This Row],[Tech Start Date]],15),IF(Main[[#This Row],[Class]]="A",WORKDAY(Main[[#This Row],[Tech Start Date]],5),""))))</f>
        <v/>
      </c>
      <c r="P1148" s="167" t="str">
        <f>IF(Main[[#This Row],[Tech Start Date]]&lt;1/1/1990,"",IF(Main[[#This Row],[Class]]="C",WORKDAY(Main[[#This Row],[Tech Start Date]],28),IF(Main[[#This Row],[Class]]="B", WORKDAY(Main[[#This Row],[Tech Start Date]],19),IF(Main[[#This Row],[Class]]="A",WORKDAY(Main[[#This Row],[Tech Start Date]],9),""))))</f>
        <v/>
      </c>
      <c r="Q1148" s="160">
        <v>40847</v>
      </c>
      <c r="R1148" s="169"/>
      <c r="S1148" s="157" t="s">
        <v>11</v>
      </c>
      <c r="T1148" s="171" t="s">
        <v>4</v>
      </c>
      <c r="U1148" s="157" t="s">
        <v>7</v>
      </c>
      <c r="V1148" s="157" t="s">
        <v>1917</v>
      </c>
      <c r="W1148" s="157" t="s">
        <v>4</v>
      </c>
      <c r="X1148" s="157" t="s">
        <v>2855</v>
      </c>
      <c r="Y1148" s="157" t="s">
        <v>2989</v>
      </c>
      <c r="Z1148" s="157" t="s">
        <v>4</v>
      </c>
      <c r="AA1148" s="153" t="s">
        <v>2855</v>
      </c>
    </row>
    <row r="1149" spans="1:27" ht="18.600000000000001" customHeight="1">
      <c r="A1149" s="139" t="str">
        <f>IF(priority(Main[[#This Row],[Comments]])&lt;&gt;0, priority(Main[[#This Row],[Comments]]),"")</f>
        <v/>
      </c>
      <c r="B1149" s="89" t="s">
        <v>2486</v>
      </c>
      <c r="C1149" s="72" t="s">
        <v>4</v>
      </c>
      <c r="D1149" s="73" t="s">
        <v>2487</v>
      </c>
      <c r="E1149" s="74"/>
      <c r="F1149" s="74"/>
      <c r="G1149" s="75" t="str">
        <f>IF(stdProdLT(Main[[#This Row],[Comments]])=0.1,"N/A",IF(stdProdLT(Main[[#This Row],[Comments]])=0,"",stdProdLT(Main[[#This Row],[Comments]])))</f>
        <v/>
      </c>
      <c r="H1149" s="76" t="str">
        <f>IF(AND(Main[[#This Row],[In Stock Date]]&lt;&gt;"",Main[[#This Row],[Revised Due Date]]&lt;&gt;""),Main[[#This Row],[In Stock Date]]-Main[[#This Row],[Revised Due Date]],"")</f>
        <v/>
      </c>
      <c r="I1149" s="72" t="s">
        <v>4</v>
      </c>
      <c r="J1149" s="72" t="s">
        <v>4</v>
      </c>
      <c r="K1149" s="72" t="s">
        <v>4</v>
      </c>
      <c r="L1149" s="74"/>
      <c r="M1149" s="77" t="str">
        <f>IF(Main[[#This Row],[Tech Start Date]]&lt;1/1/1990,"",IF(Main[[#This Row],[Class]]="C",WORKDAY(Main[[#This Row],[Tech Start Date]],9),IF(Main[[#This Row],[Class]]="B", WORKDAY(Main[[#This Row],[Tech Start Date]],6),IF(Main[[#This Row],[Class]]="A",WORKDAY(Main[[#This Row],[Tech Start Date]],2),""))))</f>
        <v/>
      </c>
      <c r="N1149" s="77" t="str">
        <f>IF(Main[[#This Row],[Tech Start Date]]&lt;1/1/1990,"",IF(Main[[#This Row],[Class]]="C",WORKDAY(Main[[#This Row],[Tech Start Date]],19),IF(Main[[#This Row],[Class]]="B", WORKDAY(Main[[#This Row],[Tech Start Date]],12),IF(Main[[#This Row],[Class]]="A",WORKDAY(Main[[#This Row],[Tech Start Date]],4),""))))</f>
        <v/>
      </c>
      <c r="O1149" s="77" t="str">
        <f>IF(Main[[#This Row],[Tech Start Date]]&lt;1/1/1990,"",IF(Main[[#This Row],[Class]]="C",WORKDAY(Main[[#This Row],[Tech Start Date]],23),IF(Main[[#This Row],[Class]]="B", WORKDAY(Main[[#This Row],[Tech Start Date]],15),IF(Main[[#This Row],[Class]]="A",WORKDAY(Main[[#This Row],[Tech Start Date]],5),""))))</f>
        <v/>
      </c>
      <c r="P1149" s="77" t="str">
        <f>IF(Main[[#This Row],[Tech Start Date]]&lt;1/1/1990,"",IF(Main[[#This Row],[Class]]="C",WORKDAY(Main[[#This Row],[Tech Start Date]],28),IF(Main[[#This Row],[Class]]="B", WORKDAY(Main[[#This Row],[Tech Start Date]],19),IF(Main[[#This Row],[Class]]="A",WORKDAY(Main[[#This Row],[Tech Start Date]],9),""))))</f>
        <v/>
      </c>
      <c r="Q1149" s="74"/>
      <c r="R1149" s="74"/>
      <c r="S1149" s="72" t="s">
        <v>11</v>
      </c>
      <c r="T1149" s="80" t="s">
        <v>4</v>
      </c>
      <c r="U1149" s="72" t="s">
        <v>14</v>
      </c>
      <c r="V1149" s="72" t="s">
        <v>1918</v>
      </c>
      <c r="W1149" s="72" t="s">
        <v>4</v>
      </c>
      <c r="X1149" s="72" t="s">
        <v>2254</v>
      </c>
      <c r="Y1149" s="72" t="s">
        <v>4</v>
      </c>
      <c r="Z1149" s="72" t="s">
        <v>4</v>
      </c>
      <c r="AA1149" s="146" t="s">
        <v>4</v>
      </c>
    </row>
    <row r="1150" spans="1:27" ht="18.600000000000001" customHeight="1">
      <c r="A1150" s="139" t="str">
        <f>IF(priority(Main[[#This Row],[Comments]])&lt;&gt;0, priority(Main[[#This Row],[Comments]]),"")</f>
        <v/>
      </c>
      <c r="B1150" s="89" t="s">
        <v>1285</v>
      </c>
      <c r="C1150" s="72" t="s">
        <v>37</v>
      </c>
      <c r="D1150" s="73" t="s">
        <v>2488</v>
      </c>
      <c r="E1150" s="74">
        <v>40767.457106481481</v>
      </c>
      <c r="F1150" s="74"/>
      <c r="G1150" s="75" t="str">
        <f>IF(stdProdLT(Main[[#This Row],[Comments]])=0.1,"N/A",IF(stdProdLT(Main[[#This Row],[Comments]])=0,"",stdProdLT(Main[[#This Row],[Comments]])))</f>
        <v/>
      </c>
      <c r="H1150" s="76" t="str">
        <f>IF(AND(Main[[#This Row],[In Stock Date]]&lt;&gt;"",Main[[#This Row],[Revised Due Date]]&lt;&gt;""),Main[[#This Row],[In Stock Date]]-Main[[#This Row],[Revised Due Date]],"")</f>
        <v/>
      </c>
      <c r="I1150" s="72" t="s">
        <v>4</v>
      </c>
      <c r="J1150" s="72" t="s">
        <v>4</v>
      </c>
      <c r="K1150" s="72" t="s">
        <v>4</v>
      </c>
      <c r="L1150" s="74"/>
      <c r="M1150" s="77" t="str">
        <f>IF(Main[[#This Row],[Tech Start Date]]&lt;1/1/1990,"",IF(Main[[#This Row],[Class]]="C",WORKDAY(Main[[#This Row],[Tech Start Date]],9),IF(Main[[#This Row],[Class]]="B", WORKDAY(Main[[#This Row],[Tech Start Date]],6),IF(Main[[#This Row],[Class]]="A",WORKDAY(Main[[#This Row],[Tech Start Date]],2),""))))</f>
        <v/>
      </c>
      <c r="N1150" s="77" t="str">
        <f>IF(Main[[#This Row],[Tech Start Date]]&lt;1/1/1990,"",IF(Main[[#This Row],[Class]]="C",WORKDAY(Main[[#This Row],[Tech Start Date]],19),IF(Main[[#This Row],[Class]]="B", WORKDAY(Main[[#This Row],[Tech Start Date]],12),IF(Main[[#This Row],[Class]]="A",WORKDAY(Main[[#This Row],[Tech Start Date]],4),""))))</f>
        <v/>
      </c>
      <c r="O1150" s="77" t="str">
        <f>IF(Main[[#This Row],[Tech Start Date]]&lt;1/1/1990,"",IF(Main[[#This Row],[Class]]="C",WORKDAY(Main[[#This Row],[Tech Start Date]],23),IF(Main[[#This Row],[Class]]="B", WORKDAY(Main[[#This Row],[Tech Start Date]],15),IF(Main[[#This Row],[Class]]="A",WORKDAY(Main[[#This Row],[Tech Start Date]],5),""))))</f>
        <v/>
      </c>
      <c r="P1150" s="77" t="str">
        <f>IF(Main[[#This Row],[Tech Start Date]]&lt;1/1/1990,"",IF(Main[[#This Row],[Class]]="C",WORKDAY(Main[[#This Row],[Tech Start Date]],28),IF(Main[[#This Row],[Class]]="B", WORKDAY(Main[[#This Row],[Tech Start Date]],19),IF(Main[[#This Row],[Class]]="A",WORKDAY(Main[[#This Row],[Tech Start Date]],9),""))))</f>
        <v/>
      </c>
      <c r="Q1150" s="74">
        <v>40715</v>
      </c>
      <c r="R1150" s="74"/>
      <c r="S1150" s="72" t="s">
        <v>6</v>
      </c>
      <c r="T1150" s="80" t="s">
        <v>4</v>
      </c>
      <c r="U1150" s="72" t="s">
        <v>7</v>
      </c>
      <c r="V1150" s="72" t="s">
        <v>1917</v>
      </c>
      <c r="W1150" s="72" t="s">
        <v>1928</v>
      </c>
      <c r="X1150" s="72" t="s">
        <v>972</v>
      </c>
      <c r="Y1150" s="72" t="s">
        <v>3103</v>
      </c>
      <c r="Z1150" s="72" t="s">
        <v>4</v>
      </c>
      <c r="AA1150" s="146" t="s">
        <v>972</v>
      </c>
    </row>
    <row r="1151" spans="1:27" ht="18.600000000000001" customHeight="1">
      <c r="A1151" s="139" t="str">
        <f>IF(priority(Main[[#This Row],[Comments]])&lt;&gt;0, priority(Main[[#This Row],[Comments]]),"")</f>
        <v/>
      </c>
      <c r="B1151" s="89" t="s">
        <v>1115</v>
      </c>
      <c r="C1151" s="72" t="s">
        <v>37</v>
      </c>
      <c r="D1151" s="73" t="s">
        <v>2489</v>
      </c>
      <c r="E1151" s="74">
        <v>40767.459861111114</v>
      </c>
      <c r="F1151" s="74"/>
      <c r="G1151" s="75" t="str">
        <f>IF(stdProdLT(Main[[#This Row],[Comments]])=0.1,"N/A",IF(stdProdLT(Main[[#This Row],[Comments]])=0,"",stdProdLT(Main[[#This Row],[Comments]])))</f>
        <v/>
      </c>
      <c r="H1151" s="76" t="str">
        <f>IF(AND(Main[[#This Row],[In Stock Date]]&lt;&gt;"",Main[[#This Row],[Revised Due Date]]&lt;&gt;""),Main[[#This Row],[In Stock Date]]-Main[[#This Row],[Revised Due Date]],"")</f>
        <v/>
      </c>
      <c r="I1151" s="72" t="s">
        <v>4</v>
      </c>
      <c r="J1151" s="72" t="s">
        <v>4</v>
      </c>
      <c r="K1151" s="72" t="s">
        <v>4</v>
      </c>
      <c r="L1151" s="74"/>
      <c r="M1151" s="77" t="str">
        <f>IF(Main[[#This Row],[Tech Start Date]]&lt;1/1/1990,"",IF(Main[[#This Row],[Class]]="C",WORKDAY(Main[[#This Row],[Tech Start Date]],9),IF(Main[[#This Row],[Class]]="B", WORKDAY(Main[[#This Row],[Tech Start Date]],6),IF(Main[[#This Row],[Class]]="A",WORKDAY(Main[[#This Row],[Tech Start Date]],2),""))))</f>
        <v/>
      </c>
      <c r="N1151" s="77" t="str">
        <f>IF(Main[[#This Row],[Tech Start Date]]&lt;1/1/1990,"",IF(Main[[#This Row],[Class]]="C",WORKDAY(Main[[#This Row],[Tech Start Date]],19),IF(Main[[#This Row],[Class]]="B", WORKDAY(Main[[#This Row],[Tech Start Date]],12),IF(Main[[#This Row],[Class]]="A",WORKDAY(Main[[#This Row],[Tech Start Date]],4),""))))</f>
        <v/>
      </c>
      <c r="O1151" s="77" t="str">
        <f>IF(Main[[#This Row],[Tech Start Date]]&lt;1/1/1990,"",IF(Main[[#This Row],[Class]]="C",WORKDAY(Main[[#This Row],[Tech Start Date]],23),IF(Main[[#This Row],[Class]]="B", WORKDAY(Main[[#This Row],[Tech Start Date]],15),IF(Main[[#This Row],[Class]]="A",WORKDAY(Main[[#This Row],[Tech Start Date]],5),""))))</f>
        <v/>
      </c>
      <c r="P1151" s="77" t="str">
        <f>IF(Main[[#This Row],[Tech Start Date]]&lt;1/1/1990,"",IF(Main[[#This Row],[Class]]="C",WORKDAY(Main[[#This Row],[Tech Start Date]],28),IF(Main[[#This Row],[Class]]="B", WORKDAY(Main[[#This Row],[Tech Start Date]],19),IF(Main[[#This Row],[Class]]="A",WORKDAY(Main[[#This Row],[Tech Start Date]],9),""))))</f>
        <v/>
      </c>
      <c r="Q1151" s="74">
        <v>40716</v>
      </c>
      <c r="R1151" s="74"/>
      <c r="S1151" s="72" t="s">
        <v>6</v>
      </c>
      <c r="T1151" s="80" t="s">
        <v>4</v>
      </c>
      <c r="U1151" s="72" t="s">
        <v>7</v>
      </c>
      <c r="V1151" s="72" t="s">
        <v>1917</v>
      </c>
      <c r="W1151" s="72" t="s">
        <v>1928</v>
      </c>
      <c r="X1151" s="72" t="s">
        <v>972</v>
      </c>
      <c r="Y1151" s="72" t="s">
        <v>3103</v>
      </c>
      <c r="Z1151" s="72" t="s">
        <v>4</v>
      </c>
      <c r="AA1151" s="146" t="s">
        <v>972</v>
      </c>
    </row>
    <row r="1152" spans="1:27" ht="18.600000000000001" customHeight="1">
      <c r="A1152" s="139" t="str">
        <f>IF(priority(Main[[#This Row],[Comments]])&lt;&gt;0, priority(Main[[#This Row],[Comments]]),"")</f>
        <v/>
      </c>
      <c r="B1152" s="89" t="s">
        <v>2492</v>
      </c>
      <c r="C1152" s="72" t="s">
        <v>4</v>
      </c>
      <c r="D1152" s="73" t="s">
        <v>2493</v>
      </c>
      <c r="E1152" s="74">
        <v>40857.542858796296</v>
      </c>
      <c r="F1152" s="74"/>
      <c r="G1152" s="75" t="str">
        <f>IF(stdProdLT(Main[[#This Row],[Comments]])=0.1,"N/A",IF(stdProdLT(Main[[#This Row],[Comments]])=0,"",stdProdLT(Main[[#This Row],[Comments]])))</f>
        <v/>
      </c>
      <c r="H1152" s="76" t="str">
        <f>IF(AND(Main[[#This Row],[In Stock Date]]&lt;&gt;"",Main[[#This Row],[Revised Due Date]]&lt;&gt;""),Main[[#This Row],[In Stock Date]]-Main[[#This Row],[Revised Due Date]],"")</f>
        <v/>
      </c>
      <c r="I1152" s="72" t="s">
        <v>4</v>
      </c>
      <c r="J1152" s="72" t="s">
        <v>4</v>
      </c>
      <c r="K1152" s="72" t="s">
        <v>4</v>
      </c>
      <c r="L1152" s="74"/>
      <c r="M1152" s="77" t="str">
        <f>IF(Main[[#This Row],[Tech Start Date]]&lt;1/1/1990,"",IF(Main[[#This Row],[Class]]="C",WORKDAY(Main[[#This Row],[Tech Start Date]],9),IF(Main[[#This Row],[Class]]="B", WORKDAY(Main[[#This Row],[Tech Start Date]],6),IF(Main[[#This Row],[Class]]="A",WORKDAY(Main[[#This Row],[Tech Start Date]],2),""))))</f>
        <v/>
      </c>
      <c r="N1152" s="77" t="str">
        <f>IF(Main[[#This Row],[Tech Start Date]]&lt;1/1/1990,"",IF(Main[[#This Row],[Class]]="C",WORKDAY(Main[[#This Row],[Tech Start Date]],19),IF(Main[[#This Row],[Class]]="B", WORKDAY(Main[[#This Row],[Tech Start Date]],12),IF(Main[[#This Row],[Class]]="A",WORKDAY(Main[[#This Row],[Tech Start Date]],4),""))))</f>
        <v/>
      </c>
      <c r="O1152" s="77" t="str">
        <f>IF(Main[[#This Row],[Tech Start Date]]&lt;1/1/1990,"",IF(Main[[#This Row],[Class]]="C",WORKDAY(Main[[#This Row],[Tech Start Date]],23),IF(Main[[#This Row],[Class]]="B", WORKDAY(Main[[#This Row],[Tech Start Date]],15),IF(Main[[#This Row],[Class]]="A",WORKDAY(Main[[#This Row],[Tech Start Date]],5),""))))</f>
        <v/>
      </c>
      <c r="P1152" s="77" t="str">
        <f>IF(Main[[#This Row],[Tech Start Date]]&lt;1/1/1990,"",IF(Main[[#This Row],[Class]]="C",WORKDAY(Main[[#This Row],[Tech Start Date]],28),IF(Main[[#This Row],[Class]]="B", WORKDAY(Main[[#This Row],[Tech Start Date]],19),IF(Main[[#This Row],[Class]]="A",WORKDAY(Main[[#This Row],[Tech Start Date]],9),""))))</f>
        <v/>
      </c>
      <c r="Q1152" s="74"/>
      <c r="R1152" s="74"/>
      <c r="S1152" s="72" t="s">
        <v>11</v>
      </c>
      <c r="T1152" s="80" t="s">
        <v>4</v>
      </c>
      <c r="U1152" s="72" t="s">
        <v>29</v>
      </c>
      <c r="V1152" s="72" t="s">
        <v>1918</v>
      </c>
      <c r="W1152" s="72" t="s">
        <v>4</v>
      </c>
      <c r="X1152" s="72" t="s">
        <v>2254</v>
      </c>
      <c r="Y1152" s="72" t="s">
        <v>4</v>
      </c>
      <c r="Z1152" s="72" t="s">
        <v>4</v>
      </c>
      <c r="AA1152" s="146" t="s">
        <v>4</v>
      </c>
    </row>
    <row r="1153" spans="1:27" ht="18.600000000000001" customHeight="1">
      <c r="A1153" s="139" t="str">
        <f>IF(priority(Main[[#This Row],[Comments]])&lt;&gt;0, priority(Main[[#This Row],[Comments]]),"")</f>
        <v/>
      </c>
      <c r="B1153" s="89" t="s">
        <v>2494</v>
      </c>
      <c r="C1153" s="72" t="s">
        <v>4</v>
      </c>
      <c r="D1153" s="73" t="s">
        <v>2495</v>
      </c>
      <c r="E1153" s="74">
        <v>40820.695763888885</v>
      </c>
      <c r="F1153" s="74"/>
      <c r="G1153" s="75" t="str">
        <f>IF(stdProdLT(Main[[#This Row],[Comments]])=0.1,"N/A",IF(stdProdLT(Main[[#This Row],[Comments]])=0,"",stdProdLT(Main[[#This Row],[Comments]])))</f>
        <v/>
      </c>
      <c r="H1153" s="76" t="str">
        <f>IF(AND(Main[[#This Row],[In Stock Date]]&lt;&gt;"",Main[[#This Row],[Revised Due Date]]&lt;&gt;""),Main[[#This Row],[In Stock Date]]-Main[[#This Row],[Revised Due Date]],"")</f>
        <v/>
      </c>
      <c r="I1153" s="72" t="s">
        <v>4</v>
      </c>
      <c r="J1153" s="72" t="s">
        <v>4</v>
      </c>
      <c r="K1153" s="72" t="s">
        <v>4</v>
      </c>
      <c r="L1153" s="74"/>
      <c r="M1153" s="77" t="str">
        <f>IF(Main[[#This Row],[Tech Start Date]]&lt;1/1/1990,"",IF(Main[[#This Row],[Class]]="C",WORKDAY(Main[[#This Row],[Tech Start Date]],9),IF(Main[[#This Row],[Class]]="B", WORKDAY(Main[[#This Row],[Tech Start Date]],6),IF(Main[[#This Row],[Class]]="A",WORKDAY(Main[[#This Row],[Tech Start Date]],2),""))))</f>
        <v/>
      </c>
      <c r="N1153" s="77" t="str">
        <f>IF(Main[[#This Row],[Tech Start Date]]&lt;1/1/1990,"",IF(Main[[#This Row],[Class]]="C",WORKDAY(Main[[#This Row],[Tech Start Date]],19),IF(Main[[#This Row],[Class]]="B", WORKDAY(Main[[#This Row],[Tech Start Date]],12),IF(Main[[#This Row],[Class]]="A",WORKDAY(Main[[#This Row],[Tech Start Date]],4),""))))</f>
        <v/>
      </c>
      <c r="O1153" s="77" t="str">
        <f>IF(Main[[#This Row],[Tech Start Date]]&lt;1/1/1990,"",IF(Main[[#This Row],[Class]]="C",WORKDAY(Main[[#This Row],[Tech Start Date]],23),IF(Main[[#This Row],[Class]]="B", WORKDAY(Main[[#This Row],[Tech Start Date]],15),IF(Main[[#This Row],[Class]]="A",WORKDAY(Main[[#This Row],[Tech Start Date]],5),""))))</f>
        <v/>
      </c>
      <c r="P1153" s="77" t="str">
        <f>IF(Main[[#This Row],[Tech Start Date]]&lt;1/1/1990,"",IF(Main[[#This Row],[Class]]="C",WORKDAY(Main[[#This Row],[Tech Start Date]],28),IF(Main[[#This Row],[Class]]="B", WORKDAY(Main[[#This Row],[Tech Start Date]],19),IF(Main[[#This Row],[Class]]="A",WORKDAY(Main[[#This Row],[Tech Start Date]],9),""))))</f>
        <v/>
      </c>
      <c r="Q1153" s="74"/>
      <c r="R1153" s="74"/>
      <c r="S1153" s="72" t="s">
        <v>6</v>
      </c>
      <c r="T1153" s="80" t="s">
        <v>4</v>
      </c>
      <c r="U1153" s="72" t="s">
        <v>29</v>
      </c>
      <c r="V1153" s="72" t="s">
        <v>1920</v>
      </c>
      <c r="W1153" s="72" t="s">
        <v>1921</v>
      </c>
      <c r="X1153" s="72" t="s">
        <v>102</v>
      </c>
      <c r="Y1153" s="72" t="s">
        <v>3120</v>
      </c>
      <c r="Z1153" s="72" t="s">
        <v>4</v>
      </c>
      <c r="AA1153" s="146" t="s">
        <v>885</v>
      </c>
    </row>
    <row r="1154" spans="1:27" ht="18.600000000000001" customHeight="1">
      <c r="A1154" s="139" t="str">
        <f>IF(priority(Main[[#This Row],[Comments]])&lt;&gt;0, priority(Main[[#This Row],[Comments]]),"")</f>
        <v/>
      </c>
      <c r="B1154" s="89" t="s">
        <v>3545</v>
      </c>
      <c r="C1154" s="72" t="s">
        <v>4</v>
      </c>
      <c r="D1154" s="73" t="s">
        <v>3546</v>
      </c>
      <c r="E1154" s="74">
        <v>40949.644756944443</v>
      </c>
      <c r="F1154" s="74"/>
      <c r="G1154" s="75" t="str">
        <f>IF(stdProdLT(Main[[#This Row],[Comments]])=0.1,"N/A",IF(stdProdLT(Main[[#This Row],[Comments]])=0,"",stdProdLT(Main[[#This Row],[Comments]])))</f>
        <v/>
      </c>
      <c r="H1154" s="76" t="str">
        <f>IF(AND(Main[[#This Row],[In Stock Date]]&lt;&gt;"",Main[[#This Row],[Revised Due Date]]&lt;&gt;""),Main[[#This Row],[In Stock Date]]-Main[[#This Row],[Revised Due Date]],"")</f>
        <v/>
      </c>
      <c r="I1154" s="72" t="s">
        <v>4</v>
      </c>
      <c r="J1154" s="72" t="s">
        <v>4</v>
      </c>
      <c r="K1154" s="81" t="s">
        <v>4</v>
      </c>
      <c r="L1154" s="74"/>
      <c r="M1154" s="77" t="str">
        <f>IF(Main[[#This Row],[Tech Start Date]]&lt;1/1/1990,"",IF(Main[[#This Row],[Class]]="C",WORKDAY(Main[[#This Row],[Tech Start Date]],9),IF(Main[[#This Row],[Class]]="B", WORKDAY(Main[[#This Row],[Tech Start Date]],6),IF(Main[[#This Row],[Class]]="A",WORKDAY(Main[[#This Row],[Tech Start Date]],2),""))))</f>
        <v/>
      </c>
      <c r="N1154" s="77" t="str">
        <f>IF(Main[[#This Row],[Tech Start Date]]&lt;1/1/1990,"",IF(Main[[#This Row],[Class]]="C",WORKDAY(Main[[#This Row],[Tech Start Date]],19),IF(Main[[#This Row],[Class]]="B", WORKDAY(Main[[#This Row],[Tech Start Date]],12),IF(Main[[#This Row],[Class]]="A",WORKDAY(Main[[#This Row],[Tech Start Date]],4),""))))</f>
        <v/>
      </c>
      <c r="O1154" s="77" t="str">
        <f>IF(Main[[#This Row],[Tech Start Date]]&lt;1/1/1990,"",IF(Main[[#This Row],[Class]]="C",WORKDAY(Main[[#This Row],[Tech Start Date]],23),IF(Main[[#This Row],[Class]]="B", WORKDAY(Main[[#This Row],[Tech Start Date]],15),IF(Main[[#This Row],[Class]]="A",WORKDAY(Main[[#This Row],[Tech Start Date]],5),""))))</f>
        <v/>
      </c>
      <c r="P1154" s="77" t="str">
        <f>IF(Main[[#This Row],[Tech Start Date]]&lt;1/1/1990,"",IF(Main[[#This Row],[Class]]="C",WORKDAY(Main[[#This Row],[Tech Start Date]],28),IF(Main[[#This Row],[Class]]="B", WORKDAY(Main[[#This Row],[Tech Start Date]],19),IF(Main[[#This Row],[Class]]="A",WORKDAY(Main[[#This Row],[Tech Start Date]],9),""))))</f>
        <v/>
      </c>
      <c r="Q1154" s="74">
        <v>40959</v>
      </c>
      <c r="R1154" s="74"/>
      <c r="S1154" s="72" t="s">
        <v>4</v>
      </c>
      <c r="T1154" s="80" t="s">
        <v>4</v>
      </c>
      <c r="U1154" s="72" t="s">
        <v>7</v>
      </c>
      <c r="V1154" s="72" t="s">
        <v>1917</v>
      </c>
      <c r="W1154" s="72" t="s">
        <v>4</v>
      </c>
      <c r="X1154" s="72" t="s">
        <v>958</v>
      </c>
      <c r="Y1154" s="72" t="s">
        <v>4</v>
      </c>
      <c r="Z1154" s="72" t="s">
        <v>4</v>
      </c>
      <c r="AA1154" s="146" t="s">
        <v>4</v>
      </c>
    </row>
    <row r="1155" spans="1:27" ht="18.600000000000001" customHeight="1">
      <c r="A1155" s="139" t="str">
        <f>IF(priority(Main[[#This Row],[Comments]])&lt;&gt;0, priority(Main[[#This Row],[Comments]]),"")</f>
        <v/>
      </c>
      <c r="B1155" s="89" t="s">
        <v>2498</v>
      </c>
      <c r="C1155" s="72" t="s">
        <v>4</v>
      </c>
      <c r="D1155" s="73" t="s">
        <v>2499</v>
      </c>
      <c r="E1155" s="74">
        <v>40855.647002314814</v>
      </c>
      <c r="F1155" s="74"/>
      <c r="G1155" s="75" t="str">
        <f>IF(stdProdLT(Main[[#This Row],[Comments]])=0.1,"N/A",IF(stdProdLT(Main[[#This Row],[Comments]])=0,"",stdProdLT(Main[[#This Row],[Comments]])))</f>
        <v/>
      </c>
      <c r="H1155" s="76" t="str">
        <f>IF(AND(Main[[#This Row],[In Stock Date]]&lt;&gt;"",Main[[#This Row],[Revised Due Date]]&lt;&gt;""),Main[[#This Row],[In Stock Date]]-Main[[#This Row],[Revised Due Date]],"")</f>
        <v/>
      </c>
      <c r="I1155" s="72" t="s">
        <v>4</v>
      </c>
      <c r="J1155" s="72" t="s">
        <v>4</v>
      </c>
      <c r="K1155" s="72" t="s">
        <v>4</v>
      </c>
      <c r="L1155" s="74"/>
      <c r="M1155" s="77" t="str">
        <f>IF(Main[[#This Row],[Tech Start Date]]&lt;1/1/1990,"",IF(Main[[#This Row],[Class]]="C",WORKDAY(Main[[#This Row],[Tech Start Date]],9),IF(Main[[#This Row],[Class]]="B", WORKDAY(Main[[#This Row],[Tech Start Date]],6),IF(Main[[#This Row],[Class]]="A",WORKDAY(Main[[#This Row],[Tech Start Date]],2),""))))</f>
        <v/>
      </c>
      <c r="N1155" s="77" t="str">
        <f>IF(Main[[#This Row],[Tech Start Date]]&lt;1/1/1990,"",IF(Main[[#This Row],[Class]]="C",WORKDAY(Main[[#This Row],[Tech Start Date]],19),IF(Main[[#This Row],[Class]]="B", WORKDAY(Main[[#This Row],[Tech Start Date]],12),IF(Main[[#This Row],[Class]]="A",WORKDAY(Main[[#This Row],[Tech Start Date]],4),""))))</f>
        <v/>
      </c>
      <c r="O1155" s="77" t="str">
        <f>IF(Main[[#This Row],[Tech Start Date]]&lt;1/1/1990,"",IF(Main[[#This Row],[Class]]="C",WORKDAY(Main[[#This Row],[Tech Start Date]],23),IF(Main[[#This Row],[Class]]="B", WORKDAY(Main[[#This Row],[Tech Start Date]],15),IF(Main[[#This Row],[Class]]="A",WORKDAY(Main[[#This Row],[Tech Start Date]],5),""))))</f>
        <v/>
      </c>
      <c r="P1155" s="77" t="str">
        <f>IF(Main[[#This Row],[Tech Start Date]]&lt;1/1/1990,"",IF(Main[[#This Row],[Class]]="C",WORKDAY(Main[[#This Row],[Tech Start Date]],28),IF(Main[[#This Row],[Class]]="B", WORKDAY(Main[[#This Row],[Tech Start Date]],19),IF(Main[[#This Row],[Class]]="A",WORKDAY(Main[[#This Row],[Tech Start Date]],9),""))))</f>
        <v/>
      </c>
      <c r="Q1155" s="74">
        <v>40892</v>
      </c>
      <c r="R1155" s="74"/>
      <c r="S1155" s="72" t="s">
        <v>6</v>
      </c>
      <c r="T1155" s="80" t="s">
        <v>4</v>
      </c>
      <c r="U1155" s="72" t="s">
        <v>7</v>
      </c>
      <c r="V1155" s="72" t="s">
        <v>1917</v>
      </c>
      <c r="W1155" s="72" t="s">
        <v>1925</v>
      </c>
      <c r="X1155" s="72" t="s">
        <v>2827</v>
      </c>
      <c r="Y1155" s="72" t="s">
        <v>2942</v>
      </c>
      <c r="Z1155" s="72" t="s">
        <v>4</v>
      </c>
      <c r="AA1155" s="146" t="s">
        <v>2827</v>
      </c>
    </row>
    <row r="1156" spans="1:27" ht="18.600000000000001" customHeight="1">
      <c r="A1156" s="139" t="str">
        <f>IF(priority(Main[[#This Row],[Comments]])&lt;&gt;0, priority(Main[[#This Row],[Comments]]),"")</f>
        <v/>
      </c>
      <c r="B1156" s="89" t="s">
        <v>3313</v>
      </c>
      <c r="C1156" s="72" t="s">
        <v>4</v>
      </c>
      <c r="D1156" s="73" t="s">
        <v>3680</v>
      </c>
      <c r="E1156" s="74">
        <v>40934.445497685185</v>
      </c>
      <c r="F1156" s="74"/>
      <c r="G1156" s="75" t="str">
        <f>IF(stdProdLT(Main[[#This Row],[Comments]])=0.1,"N/A",IF(stdProdLT(Main[[#This Row],[Comments]])=0,"",stdProdLT(Main[[#This Row],[Comments]])))</f>
        <v/>
      </c>
      <c r="H1156" s="76" t="str">
        <f>IF(AND(Main[[#This Row],[In Stock Date]]&lt;&gt;"",Main[[#This Row],[Revised Due Date]]&lt;&gt;""),Main[[#This Row],[In Stock Date]]-Main[[#This Row],[Revised Due Date]],"")</f>
        <v/>
      </c>
      <c r="I1156" s="72" t="s">
        <v>69</v>
      </c>
      <c r="J1156" s="72" t="s">
        <v>70</v>
      </c>
      <c r="K1156" s="72" t="s">
        <v>4</v>
      </c>
      <c r="L1156" s="74"/>
      <c r="M1156" s="77" t="str">
        <f>IF(Main[[#This Row],[Tech Start Date]]&lt;1/1/1990,"",IF(Main[[#This Row],[Class]]="C",WORKDAY(Main[[#This Row],[Tech Start Date]],9),IF(Main[[#This Row],[Class]]="B", WORKDAY(Main[[#This Row],[Tech Start Date]],6),IF(Main[[#This Row],[Class]]="A",WORKDAY(Main[[#This Row],[Tech Start Date]],2),""))))</f>
        <v/>
      </c>
      <c r="N1156" s="77" t="str">
        <f>IF(Main[[#This Row],[Tech Start Date]]&lt;1/1/1990,"",IF(Main[[#This Row],[Class]]="C",WORKDAY(Main[[#This Row],[Tech Start Date]],19),IF(Main[[#This Row],[Class]]="B", WORKDAY(Main[[#This Row],[Tech Start Date]],12),IF(Main[[#This Row],[Class]]="A",WORKDAY(Main[[#This Row],[Tech Start Date]],4),""))))</f>
        <v/>
      </c>
      <c r="O1156" s="77" t="str">
        <f>IF(Main[[#This Row],[Tech Start Date]]&lt;1/1/1990,"",IF(Main[[#This Row],[Class]]="C",WORKDAY(Main[[#This Row],[Tech Start Date]],23),IF(Main[[#This Row],[Class]]="B", WORKDAY(Main[[#This Row],[Tech Start Date]],15),IF(Main[[#This Row],[Class]]="A",WORKDAY(Main[[#This Row],[Tech Start Date]],5),""))))</f>
        <v/>
      </c>
      <c r="P1156" s="77" t="str">
        <f>IF(Main[[#This Row],[Tech Start Date]]&lt;1/1/1990,"",IF(Main[[#This Row],[Class]]="C",WORKDAY(Main[[#This Row],[Tech Start Date]],28),IF(Main[[#This Row],[Class]]="B", WORKDAY(Main[[#This Row],[Tech Start Date]],19),IF(Main[[#This Row],[Class]]="A",WORKDAY(Main[[#This Row],[Tech Start Date]],9),""))))</f>
        <v/>
      </c>
      <c r="Q1156" s="74">
        <v>40968</v>
      </c>
      <c r="R1156" s="74"/>
      <c r="S1156" s="72" t="s">
        <v>6</v>
      </c>
      <c r="T1156" s="80" t="s">
        <v>4</v>
      </c>
      <c r="U1156" s="72" t="s">
        <v>29</v>
      </c>
      <c r="V1156" s="72" t="s">
        <v>1920</v>
      </c>
      <c r="W1156" s="72" t="s">
        <v>4</v>
      </c>
      <c r="X1156" s="72" t="s">
        <v>2825</v>
      </c>
      <c r="Y1156" s="72" t="s">
        <v>2938</v>
      </c>
      <c r="Z1156" s="72" t="s">
        <v>4</v>
      </c>
      <c r="AA1156" s="146" t="s">
        <v>2825</v>
      </c>
    </row>
    <row r="1157" spans="1:27" ht="18.600000000000001" customHeight="1">
      <c r="A1157" s="139" t="str">
        <f>IF(priority(Main[[#This Row],[Comments]])&lt;&gt;0, priority(Main[[#This Row],[Comments]]),"")</f>
        <v/>
      </c>
      <c r="B1157" s="89" t="s">
        <v>2366</v>
      </c>
      <c r="C1157" s="72" t="s">
        <v>4</v>
      </c>
      <c r="D1157" s="73" t="s">
        <v>3513</v>
      </c>
      <c r="E1157" s="74">
        <v>40854.718263888892</v>
      </c>
      <c r="F1157" s="74"/>
      <c r="G1157" s="75" t="str">
        <f>IF(stdProdLT(Main[[#This Row],[Comments]])=0.1,"N/A",IF(stdProdLT(Main[[#This Row],[Comments]])=0,"",stdProdLT(Main[[#This Row],[Comments]])))</f>
        <v/>
      </c>
      <c r="H1157" s="76" t="str">
        <f>IF(AND(Main[[#This Row],[In Stock Date]]&lt;&gt;"",Main[[#This Row],[Revised Due Date]]&lt;&gt;""),Main[[#This Row],[In Stock Date]]-Main[[#This Row],[Revised Due Date]],"")</f>
        <v/>
      </c>
      <c r="I1157" s="72" t="s">
        <v>4</v>
      </c>
      <c r="J1157" s="72" t="s">
        <v>4</v>
      </c>
      <c r="K1157" s="72" t="s">
        <v>4</v>
      </c>
      <c r="L1157" s="74"/>
      <c r="M1157" s="77" t="str">
        <f>IF(Main[[#This Row],[Tech Start Date]]&lt;1/1/1990,"",IF(Main[[#This Row],[Class]]="C",WORKDAY(Main[[#This Row],[Tech Start Date]],9),IF(Main[[#This Row],[Class]]="B", WORKDAY(Main[[#This Row],[Tech Start Date]],6),IF(Main[[#This Row],[Class]]="A",WORKDAY(Main[[#This Row],[Tech Start Date]],2),""))))</f>
        <v/>
      </c>
      <c r="N1157" s="77" t="str">
        <f>IF(Main[[#This Row],[Tech Start Date]]&lt;1/1/1990,"",IF(Main[[#This Row],[Class]]="C",WORKDAY(Main[[#This Row],[Tech Start Date]],19),IF(Main[[#This Row],[Class]]="B", WORKDAY(Main[[#This Row],[Tech Start Date]],12),IF(Main[[#This Row],[Class]]="A",WORKDAY(Main[[#This Row],[Tech Start Date]],4),""))))</f>
        <v/>
      </c>
      <c r="O1157" s="77" t="str">
        <f>IF(Main[[#This Row],[Tech Start Date]]&lt;1/1/1990,"",IF(Main[[#This Row],[Class]]="C",WORKDAY(Main[[#This Row],[Tech Start Date]],23),IF(Main[[#This Row],[Class]]="B", WORKDAY(Main[[#This Row],[Tech Start Date]],15),IF(Main[[#This Row],[Class]]="A",WORKDAY(Main[[#This Row],[Tech Start Date]],5),""))))</f>
        <v/>
      </c>
      <c r="P1157" s="77" t="str">
        <f>IF(Main[[#This Row],[Tech Start Date]]&lt;1/1/1990,"",IF(Main[[#This Row],[Class]]="C",WORKDAY(Main[[#This Row],[Tech Start Date]],28),IF(Main[[#This Row],[Class]]="B", WORKDAY(Main[[#This Row],[Tech Start Date]],19),IF(Main[[#This Row],[Class]]="A",WORKDAY(Main[[#This Row],[Tech Start Date]],9),""))))</f>
        <v/>
      </c>
      <c r="Q1157" s="74">
        <v>40884</v>
      </c>
      <c r="R1157" s="74"/>
      <c r="S1157" s="72" t="s">
        <v>6</v>
      </c>
      <c r="T1157" s="80" t="s">
        <v>4</v>
      </c>
      <c r="U1157" s="72" t="s">
        <v>7</v>
      </c>
      <c r="V1157" s="72" t="s">
        <v>2288</v>
      </c>
      <c r="W1157" s="72" t="s">
        <v>4</v>
      </c>
      <c r="X1157" s="72" t="s">
        <v>2871</v>
      </c>
      <c r="Y1157" s="72" t="s">
        <v>3016</v>
      </c>
      <c r="Z1157" s="72" t="s">
        <v>4</v>
      </c>
      <c r="AA1157" s="146" t="s">
        <v>2871</v>
      </c>
    </row>
    <row r="1158" spans="1:27" ht="18.600000000000001" customHeight="1">
      <c r="A1158" s="139" t="str">
        <f>IF(priority(Main[[#This Row],[Comments]])&lt;&gt;0, priority(Main[[#This Row],[Comments]]),"")</f>
        <v/>
      </c>
      <c r="B1158" s="89" t="s">
        <v>2505</v>
      </c>
      <c r="C1158" s="72" t="s">
        <v>4</v>
      </c>
      <c r="D1158" s="73" t="s">
        <v>2506</v>
      </c>
      <c r="E1158" s="74"/>
      <c r="F1158" s="74"/>
      <c r="G1158" s="75" t="str">
        <f>IF(stdProdLT(Main[[#This Row],[Comments]])=0.1,"N/A",IF(stdProdLT(Main[[#This Row],[Comments]])=0,"",stdProdLT(Main[[#This Row],[Comments]])))</f>
        <v/>
      </c>
      <c r="H1158" s="76" t="str">
        <f>IF(AND(Main[[#This Row],[In Stock Date]]&lt;&gt;"",Main[[#This Row],[Revised Due Date]]&lt;&gt;""),Main[[#This Row],[In Stock Date]]-Main[[#This Row],[Revised Due Date]],"")</f>
        <v/>
      </c>
      <c r="I1158" s="72" t="s">
        <v>4</v>
      </c>
      <c r="J1158" s="72" t="s">
        <v>4</v>
      </c>
      <c r="K1158" s="72" t="s">
        <v>4</v>
      </c>
      <c r="L1158" s="74"/>
      <c r="M1158" s="77" t="str">
        <f>IF(Main[[#This Row],[Tech Start Date]]&lt;1/1/1990,"",IF(Main[[#This Row],[Class]]="C",WORKDAY(Main[[#This Row],[Tech Start Date]],9),IF(Main[[#This Row],[Class]]="B", WORKDAY(Main[[#This Row],[Tech Start Date]],6),IF(Main[[#This Row],[Class]]="A",WORKDAY(Main[[#This Row],[Tech Start Date]],2),""))))</f>
        <v/>
      </c>
      <c r="N1158" s="77" t="str">
        <f>IF(Main[[#This Row],[Tech Start Date]]&lt;1/1/1990,"",IF(Main[[#This Row],[Class]]="C",WORKDAY(Main[[#This Row],[Tech Start Date]],19),IF(Main[[#This Row],[Class]]="B", WORKDAY(Main[[#This Row],[Tech Start Date]],12),IF(Main[[#This Row],[Class]]="A",WORKDAY(Main[[#This Row],[Tech Start Date]],4),""))))</f>
        <v/>
      </c>
      <c r="O1158" s="77" t="str">
        <f>IF(Main[[#This Row],[Tech Start Date]]&lt;1/1/1990,"",IF(Main[[#This Row],[Class]]="C",WORKDAY(Main[[#This Row],[Tech Start Date]],23),IF(Main[[#This Row],[Class]]="B", WORKDAY(Main[[#This Row],[Tech Start Date]],15),IF(Main[[#This Row],[Class]]="A",WORKDAY(Main[[#This Row],[Tech Start Date]],5),""))))</f>
        <v/>
      </c>
      <c r="P1158" s="77" t="str">
        <f>IF(Main[[#This Row],[Tech Start Date]]&lt;1/1/1990,"",IF(Main[[#This Row],[Class]]="C",WORKDAY(Main[[#This Row],[Tech Start Date]],28),IF(Main[[#This Row],[Class]]="B", WORKDAY(Main[[#This Row],[Tech Start Date]],19),IF(Main[[#This Row],[Class]]="A",WORKDAY(Main[[#This Row],[Tech Start Date]],9),""))))</f>
        <v/>
      </c>
      <c r="Q1158" s="74"/>
      <c r="R1158" s="74"/>
      <c r="S1158" s="72" t="s">
        <v>11</v>
      </c>
      <c r="T1158" s="80" t="s">
        <v>4</v>
      </c>
      <c r="U1158" s="72" t="s">
        <v>14</v>
      </c>
      <c r="V1158" s="72" t="s">
        <v>1917</v>
      </c>
      <c r="W1158" s="72" t="s">
        <v>1925</v>
      </c>
      <c r="X1158" s="72" t="s">
        <v>2912</v>
      </c>
      <c r="Y1158" s="72" t="s">
        <v>3102</v>
      </c>
      <c r="Z1158" s="72" t="s">
        <v>879</v>
      </c>
      <c r="AA1158" s="146" t="s">
        <v>2912</v>
      </c>
    </row>
    <row r="1159" spans="1:27" ht="18.600000000000001" customHeight="1">
      <c r="A1159" s="139" t="str">
        <f>IF(priority(Main[[#This Row],[Comments]])&lt;&gt;0, priority(Main[[#This Row],[Comments]]),"")</f>
        <v/>
      </c>
      <c r="B1159" s="89" t="s">
        <v>3331</v>
      </c>
      <c r="C1159" s="72" t="s">
        <v>4</v>
      </c>
      <c r="D1159" s="73" t="s">
        <v>3681</v>
      </c>
      <c r="E1159" s="74">
        <v>40939.635509259257</v>
      </c>
      <c r="F1159" s="74"/>
      <c r="G1159" s="75" t="str">
        <f>IF(stdProdLT(Main[[#This Row],[Comments]])=0.1,"N/A",IF(stdProdLT(Main[[#This Row],[Comments]])=0,"",stdProdLT(Main[[#This Row],[Comments]])))</f>
        <v/>
      </c>
      <c r="H1159" s="76" t="str">
        <f>IF(AND(Main[[#This Row],[In Stock Date]]&lt;&gt;"",Main[[#This Row],[Revised Due Date]]&lt;&gt;""),Main[[#This Row],[In Stock Date]]-Main[[#This Row],[Revised Due Date]],"")</f>
        <v/>
      </c>
      <c r="I1159" s="72" t="s">
        <v>2214</v>
      </c>
      <c r="J1159" s="72" t="s">
        <v>28</v>
      </c>
      <c r="K1159" s="72" t="s">
        <v>1929</v>
      </c>
      <c r="L1159" s="74"/>
      <c r="M1159" s="77" t="str">
        <f>IF(Main[[#This Row],[Tech Start Date]]&lt;1/1/1990,"",IF(Main[[#This Row],[Class]]="C",WORKDAY(Main[[#This Row],[Tech Start Date]],9),IF(Main[[#This Row],[Class]]="B", WORKDAY(Main[[#This Row],[Tech Start Date]],6),IF(Main[[#This Row],[Class]]="A",WORKDAY(Main[[#This Row],[Tech Start Date]],2),""))))</f>
        <v/>
      </c>
      <c r="N1159" s="77" t="str">
        <f>IF(Main[[#This Row],[Tech Start Date]]&lt;1/1/1990,"",IF(Main[[#This Row],[Class]]="C",WORKDAY(Main[[#This Row],[Tech Start Date]],19),IF(Main[[#This Row],[Class]]="B", WORKDAY(Main[[#This Row],[Tech Start Date]],12),IF(Main[[#This Row],[Class]]="A",WORKDAY(Main[[#This Row],[Tech Start Date]],4),""))))</f>
        <v/>
      </c>
      <c r="O1159" s="77" t="str">
        <f>IF(Main[[#This Row],[Tech Start Date]]&lt;1/1/1990,"",IF(Main[[#This Row],[Class]]="C",WORKDAY(Main[[#This Row],[Tech Start Date]],23),IF(Main[[#This Row],[Class]]="B", WORKDAY(Main[[#This Row],[Tech Start Date]],15),IF(Main[[#This Row],[Class]]="A",WORKDAY(Main[[#This Row],[Tech Start Date]],5),""))))</f>
        <v/>
      </c>
      <c r="P1159" s="77" t="str">
        <f>IF(Main[[#This Row],[Tech Start Date]]&lt;1/1/1990,"",IF(Main[[#This Row],[Class]]="C",WORKDAY(Main[[#This Row],[Tech Start Date]],28),IF(Main[[#This Row],[Class]]="B", WORKDAY(Main[[#This Row],[Tech Start Date]],19),IF(Main[[#This Row],[Class]]="A",WORKDAY(Main[[#This Row],[Tech Start Date]],9),""))))</f>
        <v/>
      </c>
      <c r="Q1159" s="74"/>
      <c r="R1159" s="74"/>
      <c r="S1159" s="72" t="s">
        <v>6</v>
      </c>
      <c r="T1159" s="80" t="s">
        <v>4</v>
      </c>
      <c r="U1159" s="72" t="s">
        <v>7</v>
      </c>
      <c r="V1159" s="72" t="s">
        <v>1932</v>
      </c>
      <c r="W1159" s="72" t="s">
        <v>1921</v>
      </c>
      <c r="X1159" s="72" t="s">
        <v>306</v>
      </c>
      <c r="Y1159" s="72" t="s">
        <v>4</v>
      </c>
      <c r="Z1159" s="72" t="s">
        <v>2214</v>
      </c>
      <c r="AA1159" s="146" t="s">
        <v>4</v>
      </c>
    </row>
    <row r="1160" spans="1:27" ht="18.600000000000001" customHeight="1">
      <c r="A1160" s="139" t="str">
        <f>IF(priority(Main[[#This Row],[Comments]])&lt;&gt;0, priority(Main[[#This Row],[Comments]]),"")</f>
        <v/>
      </c>
      <c r="B1160" s="89" t="s">
        <v>2514</v>
      </c>
      <c r="C1160" s="72" t="s">
        <v>2515</v>
      </c>
      <c r="D1160" s="73" t="s">
        <v>2516</v>
      </c>
      <c r="E1160" s="74"/>
      <c r="F1160" s="74"/>
      <c r="G1160" s="75" t="str">
        <f>IF(stdProdLT(Main[[#This Row],[Comments]])=0.1,"N/A",IF(stdProdLT(Main[[#This Row],[Comments]])=0,"",stdProdLT(Main[[#This Row],[Comments]])))</f>
        <v/>
      </c>
      <c r="H1160" s="76" t="str">
        <f>IF(AND(Main[[#This Row],[In Stock Date]]&lt;&gt;"",Main[[#This Row],[Revised Due Date]]&lt;&gt;""),Main[[#This Row],[In Stock Date]]-Main[[#This Row],[Revised Due Date]],"")</f>
        <v/>
      </c>
      <c r="I1160" s="72" t="s">
        <v>4</v>
      </c>
      <c r="J1160" s="72" t="s">
        <v>4</v>
      </c>
      <c r="K1160" s="72" t="s">
        <v>4</v>
      </c>
      <c r="L1160" s="74"/>
      <c r="M1160" s="77" t="str">
        <f>IF(Main[[#This Row],[Tech Start Date]]&lt;1/1/1990,"",IF(Main[[#This Row],[Class]]="C",WORKDAY(Main[[#This Row],[Tech Start Date]],9),IF(Main[[#This Row],[Class]]="B", WORKDAY(Main[[#This Row],[Tech Start Date]],6),IF(Main[[#This Row],[Class]]="A",WORKDAY(Main[[#This Row],[Tech Start Date]],2),""))))</f>
        <v/>
      </c>
      <c r="N1160" s="77" t="str">
        <f>IF(Main[[#This Row],[Tech Start Date]]&lt;1/1/1990,"",IF(Main[[#This Row],[Class]]="C",WORKDAY(Main[[#This Row],[Tech Start Date]],19),IF(Main[[#This Row],[Class]]="B", WORKDAY(Main[[#This Row],[Tech Start Date]],12),IF(Main[[#This Row],[Class]]="A",WORKDAY(Main[[#This Row],[Tech Start Date]],4),""))))</f>
        <v/>
      </c>
      <c r="O1160" s="77" t="str">
        <f>IF(Main[[#This Row],[Tech Start Date]]&lt;1/1/1990,"",IF(Main[[#This Row],[Class]]="C",WORKDAY(Main[[#This Row],[Tech Start Date]],23),IF(Main[[#This Row],[Class]]="B", WORKDAY(Main[[#This Row],[Tech Start Date]],15),IF(Main[[#This Row],[Class]]="A",WORKDAY(Main[[#This Row],[Tech Start Date]],5),""))))</f>
        <v/>
      </c>
      <c r="P1160" s="77" t="str">
        <f>IF(Main[[#This Row],[Tech Start Date]]&lt;1/1/1990,"",IF(Main[[#This Row],[Class]]="C",WORKDAY(Main[[#This Row],[Tech Start Date]],28),IF(Main[[#This Row],[Class]]="B", WORKDAY(Main[[#This Row],[Tech Start Date]],19),IF(Main[[#This Row],[Class]]="A",WORKDAY(Main[[#This Row],[Tech Start Date]],9),""))))</f>
        <v/>
      </c>
      <c r="Q1160" s="74"/>
      <c r="R1160" s="74"/>
      <c r="S1160" s="72" t="s">
        <v>11</v>
      </c>
      <c r="T1160" s="80" t="s">
        <v>4</v>
      </c>
      <c r="U1160" s="72" t="s">
        <v>14</v>
      </c>
      <c r="V1160" s="72" t="s">
        <v>1918</v>
      </c>
      <c r="W1160" s="72" t="s">
        <v>1925</v>
      </c>
      <c r="X1160" s="72" t="s">
        <v>2254</v>
      </c>
      <c r="Y1160" s="72" t="s">
        <v>4</v>
      </c>
      <c r="Z1160" s="72" t="s">
        <v>4</v>
      </c>
      <c r="AA1160" s="146" t="s">
        <v>3471</v>
      </c>
    </row>
    <row r="1161" spans="1:27" ht="18.600000000000001" customHeight="1">
      <c r="A1161" s="139" t="str">
        <f>IF(priority(Main[[#This Row],[Comments]])&lt;&gt;0, priority(Main[[#This Row],[Comments]]),"")</f>
        <v/>
      </c>
      <c r="B1161" s="89" t="s">
        <v>2518</v>
      </c>
      <c r="C1161" s="72" t="s">
        <v>4</v>
      </c>
      <c r="D1161" s="73" t="s">
        <v>2519</v>
      </c>
      <c r="E1161" s="74"/>
      <c r="F1161" s="74"/>
      <c r="G1161" s="75" t="str">
        <f>IF(stdProdLT(Main[[#This Row],[Comments]])=0.1,"N/A",IF(stdProdLT(Main[[#This Row],[Comments]])=0,"",stdProdLT(Main[[#This Row],[Comments]])))</f>
        <v/>
      </c>
      <c r="H1161" s="76" t="str">
        <f>IF(AND(Main[[#This Row],[In Stock Date]]&lt;&gt;"",Main[[#This Row],[Revised Due Date]]&lt;&gt;""),Main[[#This Row],[In Stock Date]]-Main[[#This Row],[Revised Due Date]],"")</f>
        <v/>
      </c>
      <c r="I1161" s="72" t="s">
        <v>4</v>
      </c>
      <c r="J1161" s="72" t="s">
        <v>4</v>
      </c>
      <c r="K1161" s="72" t="s">
        <v>4</v>
      </c>
      <c r="L1161" s="74"/>
      <c r="M1161" s="77" t="str">
        <f>IF(Main[[#This Row],[Tech Start Date]]&lt;1/1/1990,"",IF(Main[[#This Row],[Class]]="C",WORKDAY(Main[[#This Row],[Tech Start Date]],9),IF(Main[[#This Row],[Class]]="B", WORKDAY(Main[[#This Row],[Tech Start Date]],6),IF(Main[[#This Row],[Class]]="A",WORKDAY(Main[[#This Row],[Tech Start Date]],2),""))))</f>
        <v/>
      </c>
      <c r="N1161" s="77" t="str">
        <f>IF(Main[[#This Row],[Tech Start Date]]&lt;1/1/1990,"",IF(Main[[#This Row],[Class]]="C",WORKDAY(Main[[#This Row],[Tech Start Date]],19),IF(Main[[#This Row],[Class]]="B", WORKDAY(Main[[#This Row],[Tech Start Date]],12),IF(Main[[#This Row],[Class]]="A",WORKDAY(Main[[#This Row],[Tech Start Date]],4),""))))</f>
        <v/>
      </c>
      <c r="O1161" s="77" t="str">
        <f>IF(Main[[#This Row],[Tech Start Date]]&lt;1/1/1990,"",IF(Main[[#This Row],[Class]]="C",WORKDAY(Main[[#This Row],[Tech Start Date]],23),IF(Main[[#This Row],[Class]]="B", WORKDAY(Main[[#This Row],[Tech Start Date]],15),IF(Main[[#This Row],[Class]]="A",WORKDAY(Main[[#This Row],[Tech Start Date]],5),""))))</f>
        <v/>
      </c>
      <c r="P1161" s="77" t="str">
        <f>IF(Main[[#This Row],[Tech Start Date]]&lt;1/1/1990,"",IF(Main[[#This Row],[Class]]="C",WORKDAY(Main[[#This Row],[Tech Start Date]],28),IF(Main[[#This Row],[Class]]="B", WORKDAY(Main[[#This Row],[Tech Start Date]],19),IF(Main[[#This Row],[Class]]="A",WORKDAY(Main[[#This Row],[Tech Start Date]],9),""))))</f>
        <v/>
      </c>
      <c r="Q1161" s="74">
        <v>40878</v>
      </c>
      <c r="R1161" s="74"/>
      <c r="S1161" s="72" t="s">
        <v>6</v>
      </c>
      <c r="T1161" s="80" t="s">
        <v>4</v>
      </c>
      <c r="U1161" s="72" t="s">
        <v>12</v>
      </c>
      <c r="V1161" s="72" t="s">
        <v>2288</v>
      </c>
      <c r="W1161" s="72" t="s">
        <v>4</v>
      </c>
      <c r="X1161" s="72" t="s">
        <v>2842</v>
      </c>
      <c r="Y1161" s="72" t="s">
        <v>2971</v>
      </c>
      <c r="Z1161" s="72" t="s">
        <v>4</v>
      </c>
      <c r="AA1161" s="146" t="s">
        <v>2842</v>
      </c>
    </row>
    <row r="1162" spans="1:27" ht="18.600000000000001" customHeight="1">
      <c r="A1162" s="139" t="str">
        <f>IF(priority(Main[[#This Row],[Comments]])&lt;&gt;0, priority(Main[[#This Row],[Comments]]),"")</f>
        <v/>
      </c>
      <c r="B1162" s="89" t="s">
        <v>3347</v>
      </c>
      <c r="C1162" s="72" t="s">
        <v>3348</v>
      </c>
      <c r="D1162" s="73" t="s">
        <v>3349</v>
      </c>
      <c r="E1162" s="74"/>
      <c r="F1162" s="74"/>
      <c r="G1162" s="75" t="str">
        <f>IF(stdProdLT(Main[[#This Row],[Comments]])=0.1,"N/A",IF(stdProdLT(Main[[#This Row],[Comments]])=0,"",stdProdLT(Main[[#This Row],[Comments]])))</f>
        <v/>
      </c>
      <c r="H1162" s="76" t="str">
        <f>IF(AND(Main[[#This Row],[In Stock Date]]&lt;&gt;"",Main[[#This Row],[Revised Due Date]]&lt;&gt;""),Main[[#This Row],[In Stock Date]]-Main[[#This Row],[Revised Due Date]],"")</f>
        <v/>
      </c>
      <c r="I1162" s="72" t="s">
        <v>2211</v>
      </c>
      <c r="J1162" s="72" t="s">
        <v>75</v>
      </c>
      <c r="K1162" s="72" t="s">
        <v>1926</v>
      </c>
      <c r="L1162" s="74"/>
      <c r="M1162" s="77" t="str">
        <f>IF(Main[[#This Row],[Tech Start Date]]&lt;1/1/1990,"",IF(Main[[#This Row],[Class]]="C",WORKDAY(Main[[#This Row],[Tech Start Date]],9),IF(Main[[#This Row],[Class]]="B", WORKDAY(Main[[#This Row],[Tech Start Date]],6),IF(Main[[#This Row],[Class]]="A",WORKDAY(Main[[#This Row],[Tech Start Date]],2),""))))</f>
        <v/>
      </c>
      <c r="N1162" s="77" t="str">
        <f>IF(Main[[#This Row],[Tech Start Date]]&lt;1/1/1990,"",IF(Main[[#This Row],[Class]]="C",WORKDAY(Main[[#This Row],[Tech Start Date]],19),IF(Main[[#This Row],[Class]]="B", WORKDAY(Main[[#This Row],[Tech Start Date]],12),IF(Main[[#This Row],[Class]]="A",WORKDAY(Main[[#This Row],[Tech Start Date]],4),""))))</f>
        <v/>
      </c>
      <c r="O1162" s="77" t="str">
        <f>IF(Main[[#This Row],[Tech Start Date]]&lt;1/1/1990,"",IF(Main[[#This Row],[Class]]="C",WORKDAY(Main[[#This Row],[Tech Start Date]],23),IF(Main[[#This Row],[Class]]="B", WORKDAY(Main[[#This Row],[Tech Start Date]],15),IF(Main[[#This Row],[Class]]="A",WORKDAY(Main[[#This Row],[Tech Start Date]],5),""))))</f>
        <v/>
      </c>
      <c r="P1162" s="77" t="str">
        <f>IF(Main[[#This Row],[Tech Start Date]]&lt;1/1/1990,"",IF(Main[[#This Row],[Class]]="C",WORKDAY(Main[[#This Row],[Tech Start Date]],28),IF(Main[[#This Row],[Class]]="B", WORKDAY(Main[[#This Row],[Tech Start Date]],19),IF(Main[[#This Row],[Class]]="A",WORKDAY(Main[[#This Row],[Tech Start Date]],9),""))))</f>
        <v/>
      </c>
      <c r="Q1162" s="74"/>
      <c r="R1162" s="74"/>
      <c r="S1162" s="72" t="s">
        <v>6</v>
      </c>
      <c r="T1162" s="80" t="s">
        <v>4</v>
      </c>
      <c r="U1162" s="72" t="s">
        <v>14</v>
      </c>
      <c r="V1162" s="72" t="s">
        <v>1917</v>
      </c>
      <c r="W1162" s="72" t="s">
        <v>1921</v>
      </c>
      <c r="X1162" s="72" t="s">
        <v>2211</v>
      </c>
      <c r="Y1162" s="72" t="s">
        <v>3350</v>
      </c>
      <c r="Z1162" s="72" t="s">
        <v>306</v>
      </c>
      <c r="AA1162" s="146" t="s">
        <v>3472</v>
      </c>
    </row>
    <row r="1163" spans="1:27" ht="18.600000000000001" customHeight="1">
      <c r="A1163" s="139" t="str">
        <f>IF(priority(Main[[#This Row],[Comments]])&lt;&gt;0, priority(Main[[#This Row],[Comments]]),"")</f>
        <v/>
      </c>
      <c r="B1163" s="89" t="s">
        <v>2766</v>
      </c>
      <c r="C1163" s="72" t="s">
        <v>4</v>
      </c>
      <c r="D1163" s="73" t="s">
        <v>2767</v>
      </c>
      <c r="E1163" s="74">
        <v>40911.566932870373</v>
      </c>
      <c r="F1163" s="74"/>
      <c r="G1163" s="75" t="str">
        <f>IF(stdProdLT(Main[[#This Row],[Comments]])=0.1,"N/A",IF(stdProdLT(Main[[#This Row],[Comments]])=0,"",stdProdLT(Main[[#This Row],[Comments]])))</f>
        <v/>
      </c>
      <c r="H1163" s="76" t="str">
        <f>IF(AND(Main[[#This Row],[In Stock Date]]&lt;&gt;"",Main[[#This Row],[Revised Due Date]]&lt;&gt;""),Main[[#This Row],[In Stock Date]]-Main[[#This Row],[Revised Due Date]],"")</f>
        <v/>
      </c>
      <c r="I1163" s="72" t="s">
        <v>530</v>
      </c>
      <c r="J1163" s="72" t="s">
        <v>28</v>
      </c>
      <c r="K1163" s="72" t="s">
        <v>1926</v>
      </c>
      <c r="L1163" s="74"/>
      <c r="M1163" s="77" t="str">
        <f>IF(Main[[#This Row],[Tech Start Date]]&lt;1/1/1990,"",IF(Main[[#This Row],[Class]]="C",WORKDAY(Main[[#This Row],[Tech Start Date]],9),IF(Main[[#This Row],[Class]]="B", WORKDAY(Main[[#This Row],[Tech Start Date]],6),IF(Main[[#This Row],[Class]]="A",WORKDAY(Main[[#This Row],[Tech Start Date]],2),""))))</f>
        <v/>
      </c>
      <c r="N1163" s="77" t="str">
        <f>IF(Main[[#This Row],[Tech Start Date]]&lt;1/1/1990,"",IF(Main[[#This Row],[Class]]="C",WORKDAY(Main[[#This Row],[Tech Start Date]],19),IF(Main[[#This Row],[Class]]="B", WORKDAY(Main[[#This Row],[Tech Start Date]],12),IF(Main[[#This Row],[Class]]="A",WORKDAY(Main[[#This Row],[Tech Start Date]],4),""))))</f>
        <v/>
      </c>
      <c r="O1163" s="77" t="str">
        <f>IF(Main[[#This Row],[Tech Start Date]]&lt;1/1/1990,"",IF(Main[[#This Row],[Class]]="C",WORKDAY(Main[[#This Row],[Tech Start Date]],23),IF(Main[[#This Row],[Class]]="B", WORKDAY(Main[[#This Row],[Tech Start Date]],15),IF(Main[[#This Row],[Class]]="A",WORKDAY(Main[[#This Row],[Tech Start Date]],5),""))))</f>
        <v/>
      </c>
      <c r="P1163" s="77" t="str">
        <f>IF(Main[[#This Row],[Tech Start Date]]&lt;1/1/1990,"",IF(Main[[#This Row],[Class]]="C",WORKDAY(Main[[#This Row],[Tech Start Date]],28),IF(Main[[#This Row],[Class]]="B", WORKDAY(Main[[#This Row],[Tech Start Date]],19),IF(Main[[#This Row],[Class]]="A",WORKDAY(Main[[#This Row],[Tech Start Date]],9),""))))</f>
        <v/>
      </c>
      <c r="Q1163" s="74">
        <v>40963</v>
      </c>
      <c r="R1163" s="74"/>
      <c r="S1163" s="72" t="s">
        <v>6</v>
      </c>
      <c r="T1163" s="80" t="s">
        <v>4</v>
      </c>
      <c r="U1163" s="72" t="s">
        <v>29</v>
      </c>
      <c r="V1163" s="72" t="s">
        <v>1920</v>
      </c>
      <c r="W1163" s="72" t="s">
        <v>1921</v>
      </c>
      <c r="X1163" s="72" t="s">
        <v>767</v>
      </c>
      <c r="Y1163" s="72" t="s">
        <v>2941</v>
      </c>
      <c r="Z1163" s="72" t="s">
        <v>30</v>
      </c>
      <c r="AA1163" s="146" t="s">
        <v>767</v>
      </c>
    </row>
    <row r="1164" spans="1:27" ht="18.600000000000001" customHeight="1">
      <c r="A1164" s="139" t="str">
        <f>IF(priority(Main[[#This Row],[Comments]])&lt;&gt;0, priority(Main[[#This Row],[Comments]]),"")</f>
        <v/>
      </c>
      <c r="B1164" s="89" t="s">
        <v>3510</v>
      </c>
      <c r="C1164" s="72" t="s">
        <v>47</v>
      </c>
      <c r="D1164" s="73" t="s">
        <v>3512</v>
      </c>
      <c r="E1164" s="74">
        <v>40941.662106481483</v>
      </c>
      <c r="F1164" s="74"/>
      <c r="G1164" s="75" t="str">
        <f>IF(stdProdLT(Main[[#This Row],[Comments]])=0.1,"N/A",IF(stdProdLT(Main[[#This Row],[Comments]])=0,"",stdProdLT(Main[[#This Row],[Comments]])))</f>
        <v/>
      </c>
      <c r="H1164" s="76" t="str">
        <f>IF(AND(Main[[#This Row],[In Stock Date]]&lt;&gt;"",Main[[#This Row],[Revised Due Date]]&lt;&gt;""),Main[[#This Row],[In Stock Date]]-Main[[#This Row],[Revised Due Date]],"")</f>
        <v/>
      </c>
      <c r="I1164" s="72" t="s">
        <v>4</v>
      </c>
      <c r="J1164" s="72" t="s">
        <v>4</v>
      </c>
      <c r="K1164" s="72" t="s">
        <v>4</v>
      </c>
      <c r="L1164" s="74"/>
      <c r="M1164" s="77" t="str">
        <f>IF(Main[[#This Row],[Tech Start Date]]&lt;1/1/1990,"",IF(Main[[#This Row],[Class]]="C",WORKDAY(Main[[#This Row],[Tech Start Date]],9),IF(Main[[#This Row],[Class]]="B", WORKDAY(Main[[#This Row],[Tech Start Date]],6),IF(Main[[#This Row],[Class]]="A",WORKDAY(Main[[#This Row],[Tech Start Date]],2),""))))</f>
        <v/>
      </c>
      <c r="N1164" s="77" t="str">
        <f>IF(Main[[#This Row],[Tech Start Date]]&lt;1/1/1990,"",IF(Main[[#This Row],[Class]]="C",WORKDAY(Main[[#This Row],[Tech Start Date]],19),IF(Main[[#This Row],[Class]]="B", WORKDAY(Main[[#This Row],[Tech Start Date]],12),IF(Main[[#This Row],[Class]]="A",WORKDAY(Main[[#This Row],[Tech Start Date]],4),""))))</f>
        <v/>
      </c>
      <c r="O1164" s="77" t="str">
        <f>IF(Main[[#This Row],[Tech Start Date]]&lt;1/1/1990,"",IF(Main[[#This Row],[Class]]="C",WORKDAY(Main[[#This Row],[Tech Start Date]],23),IF(Main[[#This Row],[Class]]="B", WORKDAY(Main[[#This Row],[Tech Start Date]],15),IF(Main[[#This Row],[Class]]="A",WORKDAY(Main[[#This Row],[Tech Start Date]],5),""))))</f>
        <v/>
      </c>
      <c r="P1164" s="77" t="str">
        <f>IF(Main[[#This Row],[Tech Start Date]]&lt;1/1/1990,"",IF(Main[[#This Row],[Class]]="C",WORKDAY(Main[[#This Row],[Tech Start Date]],28),IF(Main[[#This Row],[Class]]="B", WORKDAY(Main[[#This Row],[Tech Start Date]],19),IF(Main[[#This Row],[Class]]="A",WORKDAY(Main[[#This Row],[Tech Start Date]],9),""))))</f>
        <v/>
      </c>
      <c r="Q1164" s="74">
        <v>40968</v>
      </c>
      <c r="R1164" s="74"/>
      <c r="S1164" s="72" t="s">
        <v>6</v>
      </c>
      <c r="T1164" s="80" t="s">
        <v>4</v>
      </c>
      <c r="U1164" s="72" t="s">
        <v>29</v>
      </c>
      <c r="V1164" s="72" t="s">
        <v>2288</v>
      </c>
      <c r="W1164" s="72" t="s">
        <v>4</v>
      </c>
      <c r="X1164" s="72" t="s">
        <v>2871</v>
      </c>
      <c r="Y1164" s="72" t="s">
        <v>3016</v>
      </c>
      <c r="Z1164" s="72" t="s">
        <v>4</v>
      </c>
      <c r="AA1164" s="146" t="s">
        <v>2871</v>
      </c>
    </row>
    <row r="1165" spans="1:27" ht="18.600000000000001" customHeight="1">
      <c r="A1165" s="139" t="str">
        <f>IF(priority(Main[[#This Row],[Comments]])&lt;&gt;0, priority(Main[[#This Row],[Comments]]),"")</f>
        <v/>
      </c>
      <c r="B1165" s="89" t="s">
        <v>3304</v>
      </c>
      <c r="C1165" s="72" t="s">
        <v>4</v>
      </c>
      <c r="D1165" s="73" t="s">
        <v>3689</v>
      </c>
      <c r="E1165" s="74">
        <v>40932.426516203705</v>
      </c>
      <c r="F1165" s="74"/>
      <c r="G1165" s="75" t="str">
        <f>IF(stdProdLT(Main[[#This Row],[Comments]])=0.1,"N/A",IF(stdProdLT(Main[[#This Row],[Comments]])=0,"",stdProdLT(Main[[#This Row],[Comments]])))</f>
        <v/>
      </c>
      <c r="H1165" s="76" t="str">
        <f>IF(AND(Main[[#This Row],[In Stock Date]]&lt;&gt;"",Main[[#This Row],[Revised Due Date]]&lt;&gt;""),Main[[#This Row],[In Stock Date]]-Main[[#This Row],[Revised Due Date]],"")</f>
        <v/>
      </c>
      <c r="I1165" s="72" t="s">
        <v>530</v>
      </c>
      <c r="J1165" s="72" t="s">
        <v>28</v>
      </c>
      <c r="K1165" s="72" t="s">
        <v>1926</v>
      </c>
      <c r="L1165" s="74"/>
      <c r="M1165" s="77" t="str">
        <f>IF(Main[[#This Row],[Tech Start Date]]&lt;1/1/1990,"",IF(Main[[#This Row],[Class]]="C",WORKDAY(Main[[#This Row],[Tech Start Date]],9),IF(Main[[#This Row],[Class]]="B", WORKDAY(Main[[#This Row],[Tech Start Date]],6),IF(Main[[#This Row],[Class]]="A",WORKDAY(Main[[#This Row],[Tech Start Date]],2),""))))</f>
        <v/>
      </c>
      <c r="N1165" s="77" t="str">
        <f>IF(Main[[#This Row],[Tech Start Date]]&lt;1/1/1990,"",IF(Main[[#This Row],[Class]]="C",WORKDAY(Main[[#This Row],[Tech Start Date]],19),IF(Main[[#This Row],[Class]]="B", WORKDAY(Main[[#This Row],[Tech Start Date]],12),IF(Main[[#This Row],[Class]]="A",WORKDAY(Main[[#This Row],[Tech Start Date]],4),""))))</f>
        <v/>
      </c>
      <c r="O1165" s="77" t="str">
        <f>IF(Main[[#This Row],[Tech Start Date]]&lt;1/1/1990,"",IF(Main[[#This Row],[Class]]="C",WORKDAY(Main[[#This Row],[Tech Start Date]],23),IF(Main[[#This Row],[Class]]="B", WORKDAY(Main[[#This Row],[Tech Start Date]],15),IF(Main[[#This Row],[Class]]="A",WORKDAY(Main[[#This Row],[Tech Start Date]],5),""))))</f>
        <v/>
      </c>
      <c r="P1165" s="77" t="str">
        <f>IF(Main[[#This Row],[Tech Start Date]]&lt;1/1/1990,"",IF(Main[[#This Row],[Class]]="C",WORKDAY(Main[[#This Row],[Tech Start Date]],28),IF(Main[[#This Row],[Class]]="B", WORKDAY(Main[[#This Row],[Tech Start Date]],19),IF(Main[[#This Row],[Class]]="A",WORKDAY(Main[[#This Row],[Tech Start Date]],9),""))))</f>
        <v/>
      </c>
      <c r="Q1165" s="74">
        <v>41019</v>
      </c>
      <c r="R1165" s="74"/>
      <c r="S1165" s="72" t="s">
        <v>6</v>
      </c>
      <c r="T1165" s="80" t="s">
        <v>4</v>
      </c>
      <c r="U1165" s="72" t="s">
        <v>29</v>
      </c>
      <c r="V1165" s="72" t="s">
        <v>1920</v>
      </c>
      <c r="W1165" s="72" t="s">
        <v>1921</v>
      </c>
      <c r="X1165" s="72" t="s">
        <v>2872</v>
      </c>
      <c r="Y1165" s="72" t="s">
        <v>3006</v>
      </c>
      <c r="Z1165" s="72" t="s">
        <v>30</v>
      </c>
      <c r="AA1165" s="146" t="s">
        <v>2872</v>
      </c>
    </row>
    <row r="1166" spans="1:27" ht="18.600000000000001" customHeight="1">
      <c r="A1166" s="139" t="str">
        <f>IF(priority(Main[[#This Row],[Comments]])&lt;&gt;0, priority(Main[[#This Row],[Comments]]),"")</f>
        <v/>
      </c>
      <c r="B1166" s="89" t="s">
        <v>2521</v>
      </c>
      <c r="C1166" s="72" t="s">
        <v>4</v>
      </c>
      <c r="D1166" s="73" t="s">
        <v>2522</v>
      </c>
      <c r="E1166" s="74">
        <v>40840.652592592596</v>
      </c>
      <c r="F1166" s="74"/>
      <c r="G1166" s="75" t="str">
        <f>IF(stdProdLT(Main[[#This Row],[Comments]])=0.1,"N/A",IF(stdProdLT(Main[[#This Row],[Comments]])=0,"",stdProdLT(Main[[#This Row],[Comments]])))</f>
        <v/>
      </c>
      <c r="H1166" s="76" t="str">
        <f>IF(AND(Main[[#This Row],[In Stock Date]]&lt;&gt;"",Main[[#This Row],[Revised Due Date]]&lt;&gt;""),Main[[#This Row],[In Stock Date]]-Main[[#This Row],[Revised Due Date]],"")</f>
        <v/>
      </c>
      <c r="I1166" s="72" t="s">
        <v>4</v>
      </c>
      <c r="J1166" s="72" t="s">
        <v>4</v>
      </c>
      <c r="K1166" s="72" t="s">
        <v>4</v>
      </c>
      <c r="L1166" s="74"/>
      <c r="M1166" s="77" t="str">
        <f>IF(Main[[#This Row],[Tech Start Date]]&lt;1/1/1990,"",IF(Main[[#This Row],[Class]]="C",WORKDAY(Main[[#This Row],[Tech Start Date]],9),IF(Main[[#This Row],[Class]]="B", WORKDAY(Main[[#This Row],[Tech Start Date]],6),IF(Main[[#This Row],[Class]]="A",WORKDAY(Main[[#This Row],[Tech Start Date]],2),""))))</f>
        <v/>
      </c>
      <c r="N1166" s="77" t="str">
        <f>IF(Main[[#This Row],[Tech Start Date]]&lt;1/1/1990,"",IF(Main[[#This Row],[Class]]="C",WORKDAY(Main[[#This Row],[Tech Start Date]],19),IF(Main[[#This Row],[Class]]="B", WORKDAY(Main[[#This Row],[Tech Start Date]],12),IF(Main[[#This Row],[Class]]="A",WORKDAY(Main[[#This Row],[Tech Start Date]],4),""))))</f>
        <v/>
      </c>
      <c r="O1166" s="77" t="str">
        <f>IF(Main[[#This Row],[Tech Start Date]]&lt;1/1/1990,"",IF(Main[[#This Row],[Class]]="C",WORKDAY(Main[[#This Row],[Tech Start Date]],23),IF(Main[[#This Row],[Class]]="B", WORKDAY(Main[[#This Row],[Tech Start Date]],15),IF(Main[[#This Row],[Class]]="A",WORKDAY(Main[[#This Row],[Tech Start Date]],5),""))))</f>
        <v/>
      </c>
      <c r="P1166" s="77" t="str">
        <f>IF(Main[[#This Row],[Tech Start Date]]&lt;1/1/1990,"",IF(Main[[#This Row],[Class]]="C",WORKDAY(Main[[#This Row],[Tech Start Date]],28),IF(Main[[#This Row],[Class]]="B", WORKDAY(Main[[#This Row],[Tech Start Date]],19),IF(Main[[#This Row],[Class]]="A",WORKDAY(Main[[#This Row],[Tech Start Date]],9),""))))</f>
        <v/>
      </c>
      <c r="Q1166" s="74"/>
      <c r="R1166" s="74"/>
      <c r="S1166" s="72" t="s">
        <v>6</v>
      </c>
      <c r="T1166" s="80" t="s">
        <v>4</v>
      </c>
      <c r="U1166" s="72" t="s">
        <v>29</v>
      </c>
      <c r="V1166" s="72" t="s">
        <v>1917</v>
      </c>
      <c r="W1166" s="72" t="s">
        <v>4</v>
      </c>
      <c r="X1166" s="72" t="s">
        <v>939</v>
      </c>
      <c r="Y1166" s="72" t="s">
        <v>2990</v>
      </c>
      <c r="Z1166" s="72" t="s">
        <v>4</v>
      </c>
      <c r="AA1166" s="146" t="s">
        <v>939</v>
      </c>
    </row>
    <row r="1167" spans="1:27" ht="18.600000000000001" customHeight="1">
      <c r="A1167" s="139" t="str">
        <f>IF(priority(Main[[#This Row],[Comments]])&lt;&gt;0, priority(Main[[#This Row],[Comments]]),"")</f>
        <v/>
      </c>
      <c r="B1167" s="89" t="s">
        <v>2380</v>
      </c>
      <c r="C1167" s="72" t="s">
        <v>4</v>
      </c>
      <c r="D1167" s="73" t="s">
        <v>3180</v>
      </c>
      <c r="E1167" s="74">
        <v>40861.64230324074</v>
      </c>
      <c r="F1167" s="74"/>
      <c r="G1167" s="75" t="str">
        <f>IF(stdProdLT(Main[[#This Row],[Comments]])=0.1,"N/A",IF(stdProdLT(Main[[#This Row],[Comments]])=0,"",stdProdLT(Main[[#This Row],[Comments]])))</f>
        <v/>
      </c>
      <c r="H1167" s="76" t="str">
        <f>IF(AND(Main[[#This Row],[In Stock Date]]&lt;&gt;"",Main[[#This Row],[Revised Due Date]]&lt;&gt;""),Main[[#This Row],[In Stock Date]]-Main[[#This Row],[Revised Due Date]],"")</f>
        <v/>
      </c>
      <c r="I1167" s="72" t="s">
        <v>306</v>
      </c>
      <c r="J1167" s="72" t="s">
        <v>75</v>
      </c>
      <c r="K1167" s="81" t="s">
        <v>1926</v>
      </c>
      <c r="L1167" s="74"/>
      <c r="M1167" s="77" t="str">
        <f>IF(Main[[#This Row],[Tech Start Date]]&lt;1/1/1990,"",IF(Main[[#This Row],[Class]]="C",WORKDAY(Main[[#This Row],[Tech Start Date]],9),IF(Main[[#This Row],[Class]]="B", WORKDAY(Main[[#This Row],[Tech Start Date]],6),IF(Main[[#This Row],[Class]]="A",WORKDAY(Main[[#This Row],[Tech Start Date]],2),""))))</f>
        <v/>
      </c>
      <c r="N1167" s="77" t="str">
        <f>IF(Main[[#This Row],[Tech Start Date]]&lt;1/1/1990,"",IF(Main[[#This Row],[Class]]="C",WORKDAY(Main[[#This Row],[Tech Start Date]],19),IF(Main[[#This Row],[Class]]="B", WORKDAY(Main[[#This Row],[Tech Start Date]],12),IF(Main[[#This Row],[Class]]="A",WORKDAY(Main[[#This Row],[Tech Start Date]],4),""))))</f>
        <v/>
      </c>
      <c r="O1167" s="77" t="str">
        <f>IF(Main[[#This Row],[Tech Start Date]]&lt;1/1/1990,"",IF(Main[[#This Row],[Class]]="C",WORKDAY(Main[[#This Row],[Tech Start Date]],23),IF(Main[[#This Row],[Class]]="B", WORKDAY(Main[[#This Row],[Tech Start Date]],15),IF(Main[[#This Row],[Class]]="A",WORKDAY(Main[[#This Row],[Tech Start Date]],5),""))))</f>
        <v/>
      </c>
      <c r="P1167" s="77" t="str">
        <f>IF(Main[[#This Row],[Tech Start Date]]&lt;1/1/1990,"",IF(Main[[#This Row],[Class]]="C",WORKDAY(Main[[#This Row],[Tech Start Date]],28),IF(Main[[#This Row],[Class]]="B", WORKDAY(Main[[#This Row],[Tech Start Date]],19),IF(Main[[#This Row],[Class]]="A",WORKDAY(Main[[#This Row],[Tech Start Date]],9),""))))</f>
        <v/>
      </c>
      <c r="Q1167" s="74">
        <v>40897</v>
      </c>
      <c r="R1167" s="74"/>
      <c r="S1167" s="72" t="s">
        <v>6</v>
      </c>
      <c r="T1167" s="80" t="s">
        <v>4</v>
      </c>
      <c r="U1167" s="72" t="s">
        <v>29</v>
      </c>
      <c r="V1167" s="72" t="s">
        <v>1920</v>
      </c>
      <c r="W1167" s="72" t="s">
        <v>1921</v>
      </c>
      <c r="X1167" s="72" t="s">
        <v>30</v>
      </c>
      <c r="Y1167" s="72" t="s">
        <v>2946</v>
      </c>
      <c r="Z1167" s="72" t="s">
        <v>30</v>
      </c>
      <c r="AA1167" s="146" t="s">
        <v>30</v>
      </c>
    </row>
    <row r="1168" spans="1:27" ht="18.600000000000001" customHeight="1">
      <c r="A1168" s="139" t="str">
        <f>IF(priority(Main[[#This Row],[Comments]])&lt;&gt;0, priority(Main[[#This Row],[Comments]]),"")</f>
        <v/>
      </c>
      <c r="B1168" s="89" t="s">
        <v>2512</v>
      </c>
      <c r="C1168" s="72" t="s">
        <v>4</v>
      </c>
      <c r="D1168" s="73" t="s">
        <v>2513</v>
      </c>
      <c r="E1168" s="74"/>
      <c r="F1168" s="74"/>
      <c r="G1168" s="75" t="str">
        <f>IF(stdProdLT(Main[[#This Row],[Comments]])=0.1,"N/A",IF(stdProdLT(Main[[#This Row],[Comments]])=0,"",stdProdLT(Main[[#This Row],[Comments]])))</f>
        <v/>
      </c>
      <c r="H1168" s="76" t="str">
        <f>IF(AND(Main[[#This Row],[In Stock Date]]&lt;&gt;"",Main[[#This Row],[Revised Due Date]]&lt;&gt;""),Main[[#This Row],[In Stock Date]]-Main[[#This Row],[Revised Due Date]],"")</f>
        <v/>
      </c>
      <c r="I1168" s="72" t="s">
        <v>4</v>
      </c>
      <c r="J1168" s="72" t="s">
        <v>4</v>
      </c>
      <c r="K1168" s="81" t="s">
        <v>4</v>
      </c>
      <c r="L1168" s="74"/>
      <c r="M1168" s="77" t="str">
        <f>IF(Main[[#This Row],[Tech Start Date]]&lt;1/1/1990,"",IF(Main[[#This Row],[Class]]="C",WORKDAY(Main[[#This Row],[Tech Start Date]],9),IF(Main[[#This Row],[Class]]="B", WORKDAY(Main[[#This Row],[Tech Start Date]],6),IF(Main[[#This Row],[Class]]="A",WORKDAY(Main[[#This Row],[Tech Start Date]],2),""))))</f>
        <v/>
      </c>
      <c r="N1168" s="77" t="str">
        <f>IF(Main[[#This Row],[Tech Start Date]]&lt;1/1/1990,"",IF(Main[[#This Row],[Class]]="C",WORKDAY(Main[[#This Row],[Tech Start Date]],19),IF(Main[[#This Row],[Class]]="B", WORKDAY(Main[[#This Row],[Tech Start Date]],12),IF(Main[[#This Row],[Class]]="A",WORKDAY(Main[[#This Row],[Tech Start Date]],4),""))))</f>
        <v/>
      </c>
      <c r="O1168" s="77" t="str">
        <f>IF(Main[[#This Row],[Tech Start Date]]&lt;1/1/1990,"",IF(Main[[#This Row],[Class]]="C",WORKDAY(Main[[#This Row],[Tech Start Date]],23),IF(Main[[#This Row],[Class]]="B", WORKDAY(Main[[#This Row],[Tech Start Date]],15),IF(Main[[#This Row],[Class]]="A",WORKDAY(Main[[#This Row],[Tech Start Date]],5),""))))</f>
        <v/>
      </c>
      <c r="P1168" s="77" t="str">
        <f>IF(Main[[#This Row],[Tech Start Date]]&lt;1/1/1990,"",IF(Main[[#This Row],[Class]]="C",WORKDAY(Main[[#This Row],[Tech Start Date]],28),IF(Main[[#This Row],[Class]]="B", WORKDAY(Main[[#This Row],[Tech Start Date]],19),IF(Main[[#This Row],[Class]]="A",WORKDAY(Main[[#This Row],[Tech Start Date]],9),""))))</f>
        <v/>
      </c>
      <c r="Q1168" s="74">
        <v>40837</v>
      </c>
      <c r="R1168" s="74"/>
      <c r="S1168" s="72" t="s">
        <v>11</v>
      </c>
      <c r="T1168" s="80" t="s">
        <v>4</v>
      </c>
      <c r="U1168" s="72" t="s">
        <v>14</v>
      </c>
      <c r="V1168" s="72" t="s">
        <v>1918</v>
      </c>
      <c r="W1168" s="72" t="s">
        <v>1925</v>
      </c>
      <c r="X1168" s="72" t="s">
        <v>2912</v>
      </c>
      <c r="Y1168" s="72" t="s">
        <v>3102</v>
      </c>
      <c r="Z1168" s="72" t="s">
        <v>4</v>
      </c>
      <c r="AA1168" s="146" t="s">
        <v>2912</v>
      </c>
    </row>
    <row r="1169" spans="1:27" ht="18.600000000000001" customHeight="1">
      <c r="A1169" s="139" t="str">
        <f>IF(priority(Main[[#This Row],[Comments]])&lt;&gt;0, priority(Main[[#This Row],[Comments]]),"")</f>
        <v/>
      </c>
      <c r="B1169" s="89" t="s">
        <v>1383</v>
      </c>
      <c r="C1169" s="72" t="s">
        <v>4</v>
      </c>
      <c r="D1169" s="73" t="s">
        <v>2018</v>
      </c>
      <c r="E1169" s="74"/>
      <c r="F1169" s="74"/>
      <c r="G1169" s="75" t="str">
        <f>IF(stdProdLT(Main[[#This Row],[Comments]])=0.1,"N/A",IF(stdProdLT(Main[[#This Row],[Comments]])=0,"",stdProdLT(Main[[#This Row],[Comments]])))</f>
        <v/>
      </c>
      <c r="H1169" s="76" t="str">
        <f>IF(AND(Main[[#This Row],[In Stock Date]]&lt;&gt;"",Main[[#This Row],[Revised Due Date]]&lt;&gt;""),Main[[#This Row],[In Stock Date]]-Main[[#This Row],[Revised Due Date]],"")</f>
        <v/>
      </c>
      <c r="I1169" s="72" t="s">
        <v>4</v>
      </c>
      <c r="J1169" s="72" t="s">
        <v>4</v>
      </c>
      <c r="K1169" s="72" t="s">
        <v>4</v>
      </c>
      <c r="L1169" s="74"/>
      <c r="M1169" s="77" t="str">
        <f>IF(Main[[#This Row],[Tech Start Date]]&lt;1/1/1990,"",IF(Main[[#This Row],[Class]]="C",WORKDAY(Main[[#This Row],[Tech Start Date]],9),IF(Main[[#This Row],[Class]]="B", WORKDAY(Main[[#This Row],[Tech Start Date]],6),IF(Main[[#This Row],[Class]]="A",WORKDAY(Main[[#This Row],[Tech Start Date]],2),""))))</f>
        <v/>
      </c>
      <c r="N1169" s="77" t="str">
        <f>IF(Main[[#This Row],[Tech Start Date]]&lt;1/1/1990,"",IF(Main[[#This Row],[Class]]="C",WORKDAY(Main[[#This Row],[Tech Start Date]],19),IF(Main[[#This Row],[Class]]="B", WORKDAY(Main[[#This Row],[Tech Start Date]],12),IF(Main[[#This Row],[Class]]="A",WORKDAY(Main[[#This Row],[Tech Start Date]],4),""))))</f>
        <v/>
      </c>
      <c r="O1169" s="77" t="str">
        <f>IF(Main[[#This Row],[Tech Start Date]]&lt;1/1/1990,"",IF(Main[[#This Row],[Class]]="C",WORKDAY(Main[[#This Row],[Tech Start Date]],23),IF(Main[[#This Row],[Class]]="B", WORKDAY(Main[[#This Row],[Tech Start Date]],15),IF(Main[[#This Row],[Class]]="A",WORKDAY(Main[[#This Row],[Tech Start Date]],5),""))))</f>
        <v/>
      </c>
      <c r="P1169" s="77" t="str">
        <f>IF(Main[[#This Row],[Tech Start Date]]&lt;1/1/1990,"",IF(Main[[#This Row],[Class]]="C",WORKDAY(Main[[#This Row],[Tech Start Date]],28),IF(Main[[#This Row],[Class]]="B", WORKDAY(Main[[#This Row],[Tech Start Date]],19),IF(Main[[#This Row],[Class]]="A",WORKDAY(Main[[#This Row],[Tech Start Date]],9),""))))</f>
        <v/>
      </c>
      <c r="Q1169" s="74">
        <v>40310</v>
      </c>
      <c r="R1169" s="74"/>
      <c r="S1169" s="72" t="s">
        <v>6</v>
      </c>
      <c r="T1169" s="80" t="s">
        <v>4</v>
      </c>
      <c r="U1169" s="72" t="s">
        <v>14</v>
      </c>
      <c r="V1169" s="72" t="s">
        <v>1917</v>
      </c>
      <c r="W1169" s="72" t="s">
        <v>1922</v>
      </c>
      <c r="X1169" s="72" t="s">
        <v>885</v>
      </c>
      <c r="Y1169" s="72" t="s">
        <v>2969</v>
      </c>
      <c r="Z1169" s="72" t="s">
        <v>4</v>
      </c>
      <c r="AA1169" s="146" t="s">
        <v>885</v>
      </c>
    </row>
    <row r="1170" spans="1:27" ht="18.600000000000001" customHeight="1">
      <c r="A1170" s="139" t="str">
        <f>IF(priority(Main[[#This Row],[Comments]])&lt;&gt;0, priority(Main[[#This Row],[Comments]]),"")</f>
        <v/>
      </c>
      <c r="B1170" s="89" t="s">
        <v>2589</v>
      </c>
      <c r="C1170" s="72" t="s">
        <v>4</v>
      </c>
      <c r="D1170" s="73" t="s">
        <v>2770</v>
      </c>
      <c r="E1170" s="74"/>
      <c r="F1170" s="74"/>
      <c r="G1170" s="75" t="str">
        <f>IF(stdProdLT(Main[[#This Row],[Comments]])=0.1,"N/A",IF(stdProdLT(Main[[#This Row],[Comments]])=0,"",stdProdLT(Main[[#This Row],[Comments]])))</f>
        <v/>
      </c>
      <c r="H1170" s="76" t="str">
        <f>IF(AND(Main[[#This Row],[In Stock Date]]&lt;&gt;"",Main[[#This Row],[Revised Due Date]]&lt;&gt;""),Main[[#This Row],[In Stock Date]]-Main[[#This Row],[Revised Due Date]],"")</f>
        <v/>
      </c>
      <c r="I1170" s="72" t="s">
        <v>239</v>
      </c>
      <c r="J1170" s="72" t="s">
        <v>28</v>
      </c>
      <c r="K1170" s="72" t="s">
        <v>1926</v>
      </c>
      <c r="L1170" s="74"/>
      <c r="M1170" s="77" t="str">
        <f>IF(Main[[#This Row],[Tech Start Date]]&lt;1/1/1990,"",IF(Main[[#This Row],[Class]]="C",WORKDAY(Main[[#This Row],[Tech Start Date]],9),IF(Main[[#This Row],[Class]]="B", WORKDAY(Main[[#This Row],[Tech Start Date]],6),IF(Main[[#This Row],[Class]]="A",WORKDAY(Main[[#This Row],[Tech Start Date]],2),""))))</f>
        <v/>
      </c>
      <c r="N1170" s="77" t="str">
        <f>IF(Main[[#This Row],[Tech Start Date]]&lt;1/1/1990,"",IF(Main[[#This Row],[Class]]="C",WORKDAY(Main[[#This Row],[Tech Start Date]],19),IF(Main[[#This Row],[Class]]="B", WORKDAY(Main[[#This Row],[Tech Start Date]],12),IF(Main[[#This Row],[Class]]="A",WORKDAY(Main[[#This Row],[Tech Start Date]],4),""))))</f>
        <v/>
      </c>
      <c r="O1170" s="77" t="str">
        <f>IF(Main[[#This Row],[Tech Start Date]]&lt;1/1/1990,"",IF(Main[[#This Row],[Class]]="C",WORKDAY(Main[[#This Row],[Tech Start Date]],23),IF(Main[[#This Row],[Class]]="B", WORKDAY(Main[[#This Row],[Tech Start Date]],15),IF(Main[[#This Row],[Class]]="A",WORKDAY(Main[[#This Row],[Tech Start Date]],5),""))))</f>
        <v/>
      </c>
      <c r="P1170" s="77" t="str">
        <f>IF(Main[[#This Row],[Tech Start Date]]&lt;1/1/1990,"",IF(Main[[#This Row],[Class]]="C",WORKDAY(Main[[#This Row],[Tech Start Date]],28),IF(Main[[#This Row],[Class]]="B", WORKDAY(Main[[#This Row],[Tech Start Date]],19),IF(Main[[#This Row],[Class]]="A",WORKDAY(Main[[#This Row],[Tech Start Date]],9),""))))</f>
        <v/>
      </c>
      <c r="Q1170" s="74">
        <v>40907</v>
      </c>
      <c r="R1170" s="74"/>
      <c r="S1170" s="72" t="s">
        <v>6</v>
      </c>
      <c r="T1170" s="80" t="s">
        <v>4</v>
      </c>
      <c r="U1170" s="72" t="s">
        <v>14</v>
      </c>
      <c r="V1170" s="72" t="s">
        <v>1920</v>
      </c>
      <c r="W1170" s="72" t="s">
        <v>1921</v>
      </c>
      <c r="X1170" s="72" t="s">
        <v>2825</v>
      </c>
      <c r="Y1170" s="72" t="s">
        <v>2938</v>
      </c>
      <c r="Z1170" s="72" t="s">
        <v>30</v>
      </c>
      <c r="AA1170" s="146" t="s">
        <v>2825</v>
      </c>
    </row>
    <row r="1171" spans="1:27" ht="18.600000000000001" customHeight="1">
      <c r="A1171" s="139" t="str">
        <f>IF(priority(Main[[#This Row],[Comments]])&lt;&gt;0, priority(Main[[#This Row],[Comments]]),"")</f>
        <v/>
      </c>
      <c r="B1171" s="89" t="s">
        <v>2320</v>
      </c>
      <c r="C1171" s="72" t="s">
        <v>4</v>
      </c>
      <c r="D1171" s="73" t="s">
        <v>2321</v>
      </c>
      <c r="E1171" s="74">
        <v>40819.669872685183</v>
      </c>
      <c r="F1171" s="74"/>
      <c r="G1171" s="75" t="str">
        <f>IF(stdProdLT(Main[[#This Row],[Comments]])=0.1,"N/A",IF(stdProdLT(Main[[#This Row],[Comments]])=0,"",stdProdLT(Main[[#This Row],[Comments]])))</f>
        <v/>
      </c>
      <c r="H1171" s="76" t="str">
        <f>IF(AND(Main[[#This Row],[In Stock Date]]&lt;&gt;"",Main[[#This Row],[Revised Due Date]]&lt;&gt;""),Main[[#This Row],[In Stock Date]]-Main[[#This Row],[Revised Due Date]],"")</f>
        <v/>
      </c>
      <c r="I1171" s="72" t="s">
        <v>239</v>
      </c>
      <c r="J1171" s="72" t="s">
        <v>28</v>
      </c>
      <c r="K1171" s="72" t="s">
        <v>1926</v>
      </c>
      <c r="L1171" s="74"/>
      <c r="M1171" s="77" t="str">
        <f>IF(Main[[#This Row],[Tech Start Date]]&lt;1/1/1990,"",IF(Main[[#This Row],[Class]]="C",WORKDAY(Main[[#This Row],[Tech Start Date]],9),IF(Main[[#This Row],[Class]]="B", WORKDAY(Main[[#This Row],[Tech Start Date]],6),IF(Main[[#This Row],[Class]]="A",WORKDAY(Main[[#This Row],[Tech Start Date]],2),""))))</f>
        <v/>
      </c>
      <c r="N1171" s="77" t="str">
        <f>IF(Main[[#This Row],[Tech Start Date]]&lt;1/1/1990,"",IF(Main[[#This Row],[Class]]="C",WORKDAY(Main[[#This Row],[Tech Start Date]],19),IF(Main[[#This Row],[Class]]="B", WORKDAY(Main[[#This Row],[Tech Start Date]],12),IF(Main[[#This Row],[Class]]="A",WORKDAY(Main[[#This Row],[Tech Start Date]],4),""))))</f>
        <v/>
      </c>
      <c r="O1171" s="77" t="str">
        <f>IF(Main[[#This Row],[Tech Start Date]]&lt;1/1/1990,"",IF(Main[[#This Row],[Class]]="C",WORKDAY(Main[[#This Row],[Tech Start Date]],23),IF(Main[[#This Row],[Class]]="B", WORKDAY(Main[[#This Row],[Tech Start Date]],15),IF(Main[[#This Row],[Class]]="A",WORKDAY(Main[[#This Row],[Tech Start Date]],5),""))))</f>
        <v/>
      </c>
      <c r="P1171" s="77" t="str">
        <f>IF(Main[[#This Row],[Tech Start Date]]&lt;1/1/1990,"",IF(Main[[#This Row],[Class]]="C",WORKDAY(Main[[#This Row],[Tech Start Date]],28),IF(Main[[#This Row],[Class]]="B", WORKDAY(Main[[#This Row],[Tech Start Date]],19),IF(Main[[#This Row],[Class]]="A",WORKDAY(Main[[#This Row],[Tech Start Date]],9),""))))</f>
        <v/>
      </c>
      <c r="Q1171" s="74">
        <v>40847</v>
      </c>
      <c r="R1171" s="74"/>
      <c r="S1171" s="72" t="s">
        <v>6</v>
      </c>
      <c r="T1171" s="80" t="s">
        <v>4</v>
      </c>
      <c r="U1171" s="72" t="s">
        <v>29</v>
      </c>
      <c r="V1171" s="72" t="s">
        <v>1920</v>
      </c>
      <c r="W1171" s="72" t="s">
        <v>1921</v>
      </c>
      <c r="X1171" s="72" t="s">
        <v>30</v>
      </c>
      <c r="Y1171" s="72" t="s">
        <v>2946</v>
      </c>
      <c r="Z1171" s="72" t="s">
        <v>30</v>
      </c>
      <c r="AA1171" s="146" t="s">
        <v>30</v>
      </c>
    </row>
    <row r="1172" spans="1:27" ht="18.600000000000001" customHeight="1">
      <c r="A1172" s="139" t="str">
        <f>IF(priority(Main[[#This Row],[Comments]])&lt;&gt;0, priority(Main[[#This Row],[Comments]]),"")</f>
        <v/>
      </c>
      <c r="B1172" s="89" t="s">
        <v>2524</v>
      </c>
      <c r="C1172" s="72" t="s">
        <v>2515</v>
      </c>
      <c r="D1172" s="73" t="s">
        <v>2525</v>
      </c>
      <c r="E1172" s="74"/>
      <c r="F1172" s="74"/>
      <c r="G1172" s="75" t="str">
        <f>IF(stdProdLT(Main[[#This Row],[Comments]])=0.1,"N/A",IF(stdProdLT(Main[[#This Row],[Comments]])=0,"",stdProdLT(Main[[#This Row],[Comments]])))</f>
        <v/>
      </c>
      <c r="H1172" s="76" t="str">
        <f>IF(AND(Main[[#This Row],[In Stock Date]]&lt;&gt;"",Main[[#This Row],[Revised Due Date]]&lt;&gt;""),Main[[#This Row],[In Stock Date]]-Main[[#This Row],[Revised Due Date]],"")</f>
        <v/>
      </c>
      <c r="I1172" s="72" t="s">
        <v>4</v>
      </c>
      <c r="J1172" s="72" t="s">
        <v>4</v>
      </c>
      <c r="K1172" s="72" t="s">
        <v>4</v>
      </c>
      <c r="L1172" s="74"/>
      <c r="M1172" s="77" t="str">
        <f>IF(Main[[#This Row],[Tech Start Date]]&lt;1/1/1990,"",IF(Main[[#This Row],[Class]]="C",WORKDAY(Main[[#This Row],[Tech Start Date]],9),IF(Main[[#This Row],[Class]]="B", WORKDAY(Main[[#This Row],[Tech Start Date]],6),IF(Main[[#This Row],[Class]]="A",WORKDAY(Main[[#This Row],[Tech Start Date]],2),""))))</f>
        <v/>
      </c>
      <c r="N1172" s="77" t="str">
        <f>IF(Main[[#This Row],[Tech Start Date]]&lt;1/1/1990,"",IF(Main[[#This Row],[Class]]="C",WORKDAY(Main[[#This Row],[Tech Start Date]],19),IF(Main[[#This Row],[Class]]="B", WORKDAY(Main[[#This Row],[Tech Start Date]],12),IF(Main[[#This Row],[Class]]="A",WORKDAY(Main[[#This Row],[Tech Start Date]],4),""))))</f>
        <v/>
      </c>
      <c r="O1172" s="77" t="str">
        <f>IF(Main[[#This Row],[Tech Start Date]]&lt;1/1/1990,"",IF(Main[[#This Row],[Class]]="C",WORKDAY(Main[[#This Row],[Tech Start Date]],23),IF(Main[[#This Row],[Class]]="B", WORKDAY(Main[[#This Row],[Tech Start Date]],15),IF(Main[[#This Row],[Class]]="A",WORKDAY(Main[[#This Row],[Tech Start Date]],5),""))))</f>
        <v/>
      </c>
      <c r="P1172" s="77" t="str">
        <f>IF(Main[[#This Row],[Tech Start Date]]&lt;1/1/1990,"",IF(Main[[#This Row],[Class]]="C",WORKDAY(Main[[#This Row],[Tech Start Date]],28),IF(Main[[#This Row],[Class]]="B", WORKDAY(Main[[#This Row],[Tech Start Date]],19),IF(Main[[#This Row],[Class]]="A",WORKDAY(Main[[#This Row],[Tech Start Date]],9),""))))</f>
        <v/>
      </c>
      <c r="Q1172" s="74"/>
      <c r="R1172" s="74"/>
      <c r="S1172" s="72" t="s">
        <v>11</v>
      </c>
      <c r="T1172" s="80" t="s">
        <v>4</v>
      </c>
      <c r="U1172" s="72" t="s">
        <v>14</v>
      </c>
      <c r="V1172" s="72" t="s">
        <v>1918</v>
      </c>
      <c r="W1172" s="72" t="s">
        <v>1925</v>
      </c>
      <c r="X1172" s="72" t="s">
        <v>306</v>
      </c>
      <c r="Y1172" s="72" t="s">
        <v>4</v>
      </c>
      <c r="Z1172" s="72" t="s">
        <v>4</v>
      </c>
      <c r="AA1172" s="146" t="s">
        <v>3471</v>
      </c>
    </row>
    <row r="1173" spans="1:27" ht="18.600000000000001" customHeight="1">
      <c r="A1173" s="139" t="str">
        <f>IF(priority(Main[[#This Row],[Comments]])&lt;&gt;0, priority(Main[[#This Row],[Comments]]),"")</f>
        <v/>
      </c>
      <c r="B1173" s="89" t="s">
        <v>2526</v>
      </c>
      <c r="C1173" s="72" t="s">
        <v>2332</v>
      </c>
      <c r="D1173" s="73" t="s">
        <v>2527</v>
      </c>
      <c r="E1173" s="74">
        <v>40843.623680555553</v>
      </c>
      <c r="F1173" s="74"/>
      <c r="G1173" s="75" t="str">
        <f>IF(stdProdLT(Main[[#This Row],[Comments]])=0.1,"N/A",IF(stdProdLT(Main[[#This Row],[Comments]])=0,"",stdProdLT(Main[[#This Row],[Comments]])))</f>
        <v/>
      </c>
      <c r="H1173" s="76" t="str">
        <f>IF(AND(Main[[#This Row],[In Stock Date]]&lt;&gt;"",Main[[#This Row],[Revised Due Date]]&lt;&gt;""),Main[[#This Row],[In Stock Date]]-Main[[#This Row],[Revised Due Date]],"")</f>
        <v/>
      </c>
      <c r="I1173" s="72" t="s">
        <v>4</v>
      </c>
      <c r="J1173" s="72" t="s">
        <v>4</v>
      </c>
      <c r="K1173" s="72" t="s">
        <v>4</v>
      </c>
      <c r="L1173" s="74"/>
      <c r="M1173" s="77" t="str">
        <f>IF(Main[[#This Row],[Tech Start Date]]&lt;1/1/1990,"",IF(Main[[#This Row],[Class]]="C",WORKDAY(Main[[#This Row],[Tech Start Date]],9),IF(Main[[#This Row],[Class]]="B", WORKDAY(Main[[#This Row],[Tech Start Date]],6),IF(Main[[#This Row],[Class]]="A",WORKDAY(Main[[#This Row],[Tech Start Date]],2),""))))</f>
        <v/>
      </c>
      <c r="N1173" s="77" t="str">
        <f>IF(Main[[#This Row],[Tech Start Date]]&lt;1/1/1990,"",IF(Main[[#This Row],[Class]]="C",WORKDAY(Main[[#This Row],[Tech Start Date]],19),IF(Main[[#This Row],[Class]]="B", WORKDAY(Main[[#This Row],[Tech Start Date]],12),IF(Main[[#This Row],[Class]]="A",WORKDAY(Main[[#This Row],[Tech Start Date]],4),""))))</f>
        <v/>
      </c>
      <c r="O1173" s="77" t="str">
        <f>IF(Main[[#This Row],[Tech Start Date]]&lt;1/1/1990,"",IF(Main[[#This Row],[Class]]="C",WORKDAY(Main[[#This Row],[Tech Start Date]],23),IF(Main[[#This Row],[Class]]="B", WORKDAY(Main[[#This Row],[Tech Start Date]],15),IF(Main[[#This Row],[Class]]="A",WORKDAY(Main[[#This Row],[Tech Start Date]],5),""))))</f>
        <v/>
      </c>
      <c r="P1173" s="77" t="str">
        <f>IF(Main[[#This Row],[Tech Start Date]]&lt;1/1/1990,"",IF(Main[[#This Row],[Class]]="C",WORKDAY(Main[[#This Row],[Tech Start Date]],28),IF(Main[[#This Row],[Class]]="B", WORKDAY(Main[[#This Row],[Tech Start Date]],19),IF(Main[[#This Row],[Class]]="A",WORKDAY(Main[[#This Row],[Tech Start Date]],9),""))))</f>
        <v/>
      </c>
      <c r="Q1173" s="74"/>
      <c r="R1173" s="74"/>
      <c r="S1173" s="72" t="s">
        <v>6</v>
      </c>
      <c r="T1173" s="80" t="s">
        <v>4</v>
      </c>
      <c r="U1173" s="72" t="s">
        <v>7</v>
      </c>
      <c r="V1173" s="72" t="s">
        <v>1917</v>
      </c>
      <c r="W1173" s="72" t="s">
        <v>1921</v>
      </c>
      <c r="X1173" s="72" t="s">
        <v>2885</v>
      </c>
      <c r="Y1173" s="72" t="s">
        <v>3033</v>
      </c>
      <c r="Z1173" s="72" t="s">
        <v>4</v>
      </c>
      <c r="AA1173" s="146" t="s">
        <v>2885</v>
      </c>
    </row>
    <row r="1174" spans="1:27" ht="18.600000000000001" customHeight="1">
      <c r="A1174" s="139" t="str">
        <f>IF(priority(Main[[#This Row],[Comments]])&lt;&gt;0, priority(Main[[#This Row],[Comments]]),"")</f>
        <v/>
      </c>
      <c r="B1174" s="89" t="s">
        <v>2745</v>
      </c>
      <c r="C1174" s="72" t="s">
        <v>4</v>
      </c>
      <c r="D1174" s="73" t="s">
        <v>3246</v>
      </c>
      <c r="E1174" s="74"/>
      <c r="F1174" s="74"/>
      <c r="G1174" s="75" t="str">
        <f>IF(stdProdLT(Main[[#This Row],[Comments]])=0.1,"N/A",IF(stdProdLT(Main[[#This Row],[Comments]])=0,"",stdProdLT(Main[[#This Row],[Comments]])))</f>
        <v/>
      </c>
      <c r="H1174" s="76" t="str">
        <f>IF(AND(Main[[#This Row],[In Stock Date]]&lt;&gt;"",Main[[#This Row],[Revised Due Date]]&lt;&gt;""),Main[[#This Row],[In Stock Date]]-Main[[#This Row],[Revised Due Date]],"")</f>
        <v/>
      </c>
      <c r="I1174" s="72" t="s">
        <v>2211</v>
      </c>
      <c r="J1174" s="72" t="s">
        <v>75</v>
      </c>
      <c r="K1174" s="72" t="s">
        <v>1926</v>
      </c>
      <c r="L1174" s="74"/>
      <c r="M1174" s="77" t="str">
        <f>IF(Main[[#This Row],[Tech Start Date]]&lt;1/1/1990,"",IF(Main[[#This Row],[Class]]="C",WORKDAY(Main[[#This Row],[Tech Start Date]],9),IF(Main[[#This Row],[Class]]="B", WORKDAY(Main[[#This Row],[Tech Start Date]],6),IF(Main[[#This Row],[Class]]="A",WORKDAY(Main[[#This Row],[Tech Start Date]],2),""))))</f>
        <v/>
      </c>
      <c r="N1174" s="77" t="str">
        <f>IF(Main[[#This Row],[Tech Start Date]]&lt;1/1/1990,"",IF(Main[[#This Row],[Class]]="C",WORKDAY(Main[[#This Row],[Tech Start Date]],19),IF(Main[[#This Row],[Class]]="B", WORKDAY(Main[[#This Row],[Tech Start Date]],12),IF(Main[[#This Row],[Class]]="A",WORKDAY(Main[[#This Row],[Tech Start Date]],4),""))))</f>
        <v/>
      </c>
      <c r="O1174" s="77" t="str">
        <f>IF(Main[[#This Row],[Tech Start Date]]&lt;1/1/1990,"",IF(Main[[#This Row],[Class]]="C",WORKDAY(Main[[#This Row],[Tech Start Date]],23),IF(Main[[#This Row],[Class]]="B", WORKDAY(Main[[#This Row],[Tech Start Date]],15),IF(Main[[#This Row],[Class]]="A",WORKDAY(Main[[#This Row],[Tech Start Date]],5),""))))</f>
        <v/>
      </c>
      <c r="P1174" s="77" t="str">
        <f>IF(Main[[#This Row],[Tech Start Date]]&lt;1/1/1990,"",IF(Main[[#This Row],[Class]]="C",WORKDAY(Main[[#This Row],[Tech Start Date]],28),IF(Main[[#This Row],[Class]]="B", WORKDAY(Main[[#This Row],[Tech Start Date]],19),IF(Main[[#This Row],[Class]]="A",WORKDAY(Main[[#This Row],[Tech Start Date]],9),""))))</f>
        <v/>
      </c>
      <c r="Q1174" s="74">
        <v>40935</v>
      </c>
      <c r="R1174" s="74"/>
      <c r="S1174" s="72" t="s">
        <v>6</v>
      </c>
      <c r="T1174" s="80" t="s">
        <v>4</v>
      </c>
      <c r="U1174" s="72" t="s">
        <v>14</v>
      </c>
      <c r="V1174" s="72" t="s">
        <v>1920</v>
      </c>
      <c r="W1174" s="72" t="s">
        <v>1921</v>
      </c>
      <c r="X1174" s="72" t="s">
        <v>2825</v>
      </c>
      <c r="Y1174" s="72" t="s">
        <v>2938</v>
      </c>
      <c r="Z1174" s="72" t="s">
        <v>30</v>
      </c>
      <c r="AA1174" s="146" t="s">
        <v>2825</v>
      </c>
    </row>
    <row r="1175" spans="1:27" ht="18.600000000000001" customHeight="1">
      <c r="A1175" s="139" t="str">
        <f>IF(priority(Main[[#This Row],[Comments]])&lt;&gt;0, priority(Main[[#This Row],[Comments]]),"")</f>
        <v/>
      </c>
      <c r="B1175" s="89" t="s">
        <v>1873</v>
      </c>
      <c r="C1175" s="72" t="s">
        <v>4</v>
      </c>
      <c r="D1175" s="73" t="s">
        <v>3685</v>
      </c>
      <c r="E1175" s="74">
        <v>40352.443437499998</v>
      </c>
      <c r="F1175" s="74"/>
      <c r="G1175" s="75" t="str">
        <f>IF(stdProdLT(Main[[#This Row],[Comments]])=0.1,"N/A",IF(stdProdLT(Main[[#This Row],[Comments]])=0,"",stdProdLT(Main[[#This Row],[Comments]])))</f>
        <v/>
      </c>
      <c r="H1175" s="76" t="str">
        <f>IF(AND(Main[[#This Row],[In Stock Date]]&lt;&gt;"",Main[[#This Row],[Revised Due Date]]&lt;&gt;""),Main[[#This Row],[In Stock Date]]-Main[[#This Row],[Revised Due Date]],"")</f>
        <v/>
      </c>
      <c r="I1175" s="72" t="s">
        <v>2632</v>
      </c>
      <c r="J1175" s="72" t="s">
        <v>28</v>
      </c>
      <c r="K1175" s="81" t="s">
        <v>1929</v>
      </c>
      <c r="L1175" s="74"/>
      <c r="M1175" s="77" t="str">
        <f>IF(Main[[#This Row],[Tech Start Date]]&lt;1/1/1990,"",IF(Main[[#This Row],[Class]]="C",WORKDAY(Main[[#This Row],[Tech Start Date]],9),IF(Main[[#This Row],[Class]]="B", WORKDAY(Main[[#This Row],[Tech Start Date]],6),IF(Main[[#This Row],[Class]]="A",WORKDAY(Main[[#This Row],[Tech Start Date]],2),""))))</f>
        <v/>
      </c>
      <c r="N1175" s="77" t="str">
        <f>IF(Main[[#This Row],[Tech Start Date]]&lt;1/1/1990,"",IF(Main[[#This Row],[Class]]="C",WORKDAY(Main[[#This Row],[Tech Start Date]],19),IF(Main[[#This Row],[Class]]="B", WORKDAY(Main[[#This Row],[Tech Start Date]],12),IF(Main[[#This Row],[Class]]="A",WORKDAY(Main[[#This Row],[Tech Start Date]],4),""))))</f>
        <v/>
      </c>
      <c r="O1175" s="77" t="str">
        <f>IF(Main[[#This Row],[Tech Start Date]]&lt;1/1/1990,"",IF(Main[[#This Row],[Class]]="C",WORKDAY(Main[[#This Row],[Tech Start Date]],23),IF(Main[[#This Row],[Class]]="B", WORKDAY(Main[[#This Row],[Tech Start Date]],15),IF(Main[[#This Row],[Class]]="A",WORKDAY(Main[[#This Row],[Tech Start Date]],5),""))))</f>
        <v/>
      </c>
      <c r="P1175" s="77" t="str">
        <f>IF(Main[[#This Row],[Tech Start Date]]&lt;1/1/1990,"",IF(Main[[#This Row],[Class]]="C",WORKDAY(Main[[#This Row],[Tech Start Date]],28),IF(Main[[#This Row],[Class]]="B", WORKDAY(Main[[#This Row],[Tech Start Date]],19),IF(Main[[#This Row],[Class]]="A",WORKDAY(Main[[#This Row],[Tech Start Date]],9),""))))</f>
        <v/>
      </c>
      <c r="Q1175" s="74">
        <v>40633</v>
      </c>
      <c r="R1175" s="74">
        <v>41060</v>
      </c>
      <c r="S1175" s="72" t="s">
        <v>17</v>
      </c>
      <c r="T1175" s="80" t="s">
        <v>2471</v>
      </c>
      <c r="U1175" s="72" t="s">
        <v>29</v>
      </c>
      <c r="V1175" s="72" t="s">
        <v>1917</v>
      </c>
      <c r="W1175" s="72" t="s">
        <v>1922</v>
      </c>
      <c r="X1175" s="72" t="s">
        <v>129</v>
      </c>
      <c r="Y1175" s="72" t="s">
        <v>2939</v>
      </c>
      <c r="Z1175" s="72" t="s">
        <v>129</v>
      </c>
      <c r="AA1175" s="146" t="s">
        <v>129</v>
      </c>
    </row>
    <row r="1176" spans="1:27" ht="18.600000000000001" customHeight="1">
      <c r="A1176" s="139" t="str">
        <f>IF(priority(Main[[#This Row],[Comments]])&lt;&gt;0, priority(Main[[#This Row],[Comments]]),"")</f>
        <v/>
      </c>
      <c r="B1176" s="89" t="s">
        <v>2532</v>
      </c>
      <c r="C1176" s="72" t="s">
        <v>4</v>
      </c>
      <c r="D1176" s="73" t="s">
        <v>2533</v>
      </c>
      <c r="E1176" s="74"/>
      <c r="F1176" s="74"/>
      <c r="G1176" s="75" t="str">
        <f>IF(stdProdLT(Main[[#This Row],[Comments]])=0.1,"N/A",IF(stdProdLT(Main[[#This Row],[Comments]])=0,"",stdProdLT(Main[[#This Row],[Comments]])))</f>
        <v/>
      </c>
      <c r="H1176" s="76" t="str">
        <f>IF(AND(Main[[#This Row],[In Stock Date]]&lt;&gt;"",Main[[#This Row],[Revised Due Date]]&lt;&gt;""),Main[[#This Row],[In Stock Date]]-Main[[#This Row],[Revised Due Date]],"")</f>
        <v/>
      </c>
      <c r="I1176" s="72" t="s">
        <v>4</v>
      </c>
      <c r="J1176" s="72" t="s">
        <v>4</v>
      </c>
      <c r="K1176" s="72" t="s">
        <v>4</v>
      </c>
      <c r="L1176" s="74"/>
      <c r="M1176" s="77" t="str">
        <f>IF(Main[[#This Row],[Tech Start Date]]&lt;1/1/1990,"",IF(Main[[#This Row],[Class]]="C",WORKDAY(Main[[#This Row],[Tech Start Date]],9),IF(Main[[#This Row],[Class]]="B", WORKDAY(Main[[#This Row],[Tech Start Date]],6),IF(Main[[#This Row],[Class]]="A",WORKDAY(Main[[#This Row],[Tech Start Date]],2),""))))</f>
        <v/>
      </c>
      <c r="N1176" s="77" t="str">
        <f>IF(Main[[#This Row],[Tech Start Date]]&lt;1/1/1990,"",IF(Main[[#This Row],[Class]]="C",WORKDAY(Main[[#This Row],[Tech Start Date]],19),IF(Main[[#This Row],[Class]]="B", WORKDAY(Main[[#This Row],[Tech Start Date]],12),IF(Main[[#This Row],[Class]]="A",WORKDAY(Main[[#This Row],[Tech Start Date]],4),""))))</f>
        <v/>
      </c>
      <c r="O1176" s="77" t="str">
        <f>IF(Main[[#This Row],[Tech Start Date]]&lt;1/1/1990,"",IF(Main[[#This Row],[Class]]="C",WORKDAY(Main[[#This Row],[Tech Start Date]],23),IF(Main[[#This Row],[Class]]="B", WORKDAY(Main[[#This Row],[Tech Start Date]],15),IF(Main[[#This Row],[Class]]="A",WORKDAY(Main[[#This Row],[Tech Start Date]],5),""))))</f>
        <v/>
      </c>
      <c r="P1176" s="77" t="str">
        <f>IF(Main[[#This Row],[Tech Start Date]]&lt;1/1/1990,"",IF(Main[[#This Row],[Class]]="C",WORKDAY(Main[[#This Row],[Tech Start Date]],28),IF(Main[[#This Row],[Class]]="B", WORKDAY(Main[[#This Row],[Tech Start Date]],19),IF(Main[[#This Row],[Class]]="A",WORKDAY(Main[[#This Row],[Tech Start Date]],9),""))))</f>
        <v/>
      </c>
      <c r="Q1176" s="74"/>
      <c r="R1176" s="74"/>
      <c r="S1176" s="72" t="s">
        <v>11</v>
      </c>
      <c r="T1176" s="80" t="s">
        <v>4</v>
      </c>
      <c r="U1176" s="72" t="s">
        <v>14</v>
      </c>
      <c r="V1176" s="72" t="s">
        <v>1918</v>
      </c>
      <c r="W1176" s="72" t="s">
        <v>4</v>
      </c>
      <c r="X1176" s="72" t="s">
        <v>2254</v>
      </c>
      <c r="Y1176" s="72" t="s">
        <v>4</v>
      </c>
      <c r="Z1176" s="72" t="s">
        <v>4</v>
      </c>
      <c r="AA1176" s="146" t="s">
        <v>4</v>
      </c>
    </row>
    <row r="1177" spans="1:27" ht="18.600000000000001" customHeight="1">
      <c r="A1177" s="139" t="str">
        <f>IF(priority(Main[[#This Row],[Comments]])&lt;&gt;0, priority(Main[[#This Row],[Comments]]),"")</f>
        <v/>
      </c>
      <c r="B1177" s="89" t="s">
        <v>3554</v>
      </c>
      <c r="C1177" s="72" t="s">
        <v>3542</v>
      </c>
      <c r="D1177" s="73" t="s">
        <v>3555</v>
      </c>
      <c r="E1177" s="74"/>
      <c r="F1177" s="74">
        <v>41026</v>
      </c>
      <c r="G1177" s="75" t="str">
        <f>IF(stdProdLT(Main[[#This Row],[Comments]])=0.1,"N/A",IF(stdProdLT(Main[[#This Row],[Comments]])=0,"",stdProdLT(Main[[#This Row],[Comments]])))</f>
        <v/>
      </c>
      <c r="H1177" s="76" t="str">
        <f>IF(AND(Main[[#This Row],[In Stock Date]]&lt;&gt;"",Main[[#This Row],[Revised Due Date]]&lt;&gt;""),Main[[#This Row],[In Stock Date]]-Main[[#This Row],[Revised Due Date]],"")</f>
        <v/>
      </c>
      <c r="I1177" s="72" t="s">
        <v>4</v>
      </c>
      <c r="J1177" s="72" t="s">
        <v>75</v>
      </c>
      <c r="K1177" s="72" t="s">
        <v>4</v>
      </c>
      <c r="L1177" s="74"/>
      <c r="M1177" s="77" t="str">
        <f>IF(Main[[#This Row],[Tech Start Date]]&lt;1/1/1990,"",IF(Main[[#This Row],[Class]]="C",WORKDAY(Main[[#This Row],[Tech Start Date]],9),IF(Main[[#This Row],[Class]]="B", WORKDAY(Main[[#This Row],[Tech Start Date]],6),IF(Main[[#This Row],[Class]]="A",WORKDAY(Main[[#This Row],[Tech Start Date]],2),""))))</f>
        <v/>
      </c>
      <c r="N1177" s="77" t="str">
        <f>IF(Main[[#This Row],[Tech Start Date]]&lt;1/1/1990,"",IF(Main[[#This Row],[Class]]="C",WORKDAY(Main[[#This Row],[Tech Start Date]],19),IF(Main[[#This Row],[Class]]="B", WORKDAY(Main[[#This Row],[Tech Start Date]],12),IF(Main[[#This Row],[Class]]="A",WORKDAY(Main[[#This Row],[Tech Start Date]],4),""))))</f>
        <v/>
      </c>
      <c r="O1177" s="77" t="str">
        <f>IF(Main[[#This Row],[Tech Start Date]]&lt;1/1/1990,"",IF(Main[[#This Row],[Class]]="C",WORKDAY(Main[[#This Row],[Tech Start Date]],23),IF(Main[[#This Row],[Class]]="B", WORKDAY(Main[[#This Row],[Tech Start Date]],15),IF(Main[[#This Row],[Class]]="A",WORKDAY(Main[[#This Row],[Tech Start Date]],5),""))))</f>
        <v/>
      </c>
      <c r="P1177" s="77" t="str">
        <f>IF(Main[[#This Row],[Tech Start Date]]&lt;1/1/1990,"",IF(Main[[#This Row],[Class]]="C",WORKDAY(Main[[#This Row],[Tech Start Date]],28),IF(Main[[#This Row],[Class]]="B", WORKDAY(Main[[#This Row],[Tech Start Date]],19),IF(Main[[#This Row],[Class]]="A",WORKDAY(Main[[#This Row],[Tech Start Date]],9),""))))</f>
        <v/>
      </c>
      <c r="Q1177" s="74">
        <v>40954</v>
      </c>
      <c r="R1177" s="74"/>
      <c r="S1177" s="72" t="s">
        <v>11</v>
      </c>
      <c r="T1177" s="80" t="s">
        <v>4</v>
      </c>
      <c r="U1177" s="72" t="s">
        <v>14</v>
      </c>
      <c r="V1177" s="72" t="s">
        <v>1927</v>
      </c>
      <c r="W1177" s="72" t="s">
        <v>1925</v>
      </c>
      <c r="X1177" s="72" t="s">
        <v>2835</v>
      </c>
      <c r="Y1177" s="72" t="s">
        <v>2957</v>
      </c>
      <c r="Z1177" s="72" t="s">
        <v>530</v>
      </c>
      <c r="AA1177" s="146" t="s">
        <v>2835</v>
      </c>
    </row>
    <row r="1178" spans="1:27" ht="18.600000000000001" customHeight="1">
      <c r="A1178" s="139" t="str">
        <f>IF(priority(Main[[#This Row],[Comments]])&lt;&gt;0, priority(Main[[#This Row],[Comments]]),"")</f>
        <v/>
      </c>
      <c r="B1178" s="89" t="s">
        <v>3556</v>
      </c>
      <c r="C1178" s="72" t="s">
        <v>4</v>
      </c>
      <c r="D1178" s="73" t="s">
        <v>3557</v>
      </c>
      <c r="E1178" s="74">
        <v>40949.904050925928</v>
      </c>
      <c r="F1178" s="74"/>
      <c r="G1178" s="75" t="str">
        <f>IF(stdProdLT(Main[[#This Row],[Comments]])=0.1,"N/A",IF(stdProdLT(Main[[#This Row],[Comments]])=0,"",stdProdLT(Main[[#This Row],[Comments]])))</f>
        <v/>
      </c>
      <c r="H1178" s="76" t="str">
        <f>IF(AND(Main[[#This Row],[In Stock Date]]&lt;&gt;"",Main[[#This Row],[Revised Due Date]]&lt;&gt;""),Main[[#This Row],[In Stock Date]]-Main[[#This Row],[Revised Due Date]],"")</f>
        <v/>
      </c>
      <c r="I1178" s="72" t="s">
        <v>530</v>
      </c>
      <c r="J1178" s="72" t="s">
        <v>28</v>
      </c>
      <c r="K1178" s="81" t="s">
        <v>1926</v>
      </c>
      <c r="L1178" s="74"/>
      <c r="M1178" s="77" t="str">
        <f>IF(Main[[#This Row],[Tech Start Date]]&lt;1/1/1990,"",IF(Main[[#This Row],[Class]]="C",WORKDAY(Main[[#This Row],[Tech Start Date]],9),IF(Main[[#This Row],[Class]]="B", WORKDAY(Main[[#This Row],[Tech Start Date]],6),IF(Main[[#This Row],[Class]]="A",WORKDAY(Main[[#This Row],[Tech Start Date]],2),""))))</f>
        <v/>
      </c>
      <c r="N1178" s="77" t="str">
        <f>IF(Main[[#This Row],[Tech Start Date]]&lt;1/1/1990,"",IF(Main[[#This Row],[Class]]="C",WORKDAY(Main[[#This Row],[Tech Start Date]],19),IF(Main[[#This Row],[Class]]="B", WORKDAY(Main[[#This Row],[Tech Start Date]],12),IF(Main[[#This Row],[Class]]="A",WORKDAY(Main[[#This Row],[Tech Start Date]],4),""))))</f>
        <v/>
      </c>
      <c r="O1178" s="77" t="str">
        <f>IF(Main[[#This Row],[Tech Start Date]]&lt;1/1/1990,"",IF(Main[[#This Row],[Class]]="C",WORKDAY(Main[[#This Row],[Tech Start Date]],23),IF(Main[[#This Row],[Class]]="B", WORKDAY(Main[[#This Row],[Tech Start Date]],15),IF(Main[[#This Row],[Class]]="A",WORKDAY(Main[[#This Row],[Tech Start Date]],5),""))))</f>
        <v/>
      </c>
      <c r="P1178" s="77" t="str">
        <f>IF(Main[[#This Row],[Tech Start Date]]&lt;1/1/1990,"",IF(Main[[#This Row],[Class]]="C",WORKDAY(Main[[#This Row],[Tech Start Date]],28),IF(Main[[#This Row],[Class]]="B", WORKDAY(Main[[#This Row],[Tech Start Date]],19),IF(Main[[#This Row],[Class]]="A",WORKDAY(Main[[#This Row],[Tech Start Date]],9),""))))</f>
        <v/>
      </c>
      <c r="Q1178" s="74">
        <v>40952</v>
      </c>
      <c r="R1178" s="74"/>
      <c r="S1178" s="72" t="s">
        <v>6</v>
      </c>
      <c r="T1178" s="80" t="s">
        <v>4</v>
      </c>
      <c r="U1178" s="72" t="s">
        <v>29</v>
      </c>
      <c r="V1178" s="72" t="s">
        <v>1920</v>
      </c>
      <c r="W1178" s="72" t="s">
        <v>1921</v>
      </c>
      <c r="X1178" s="72" t="s">
        <v>2901</v>
      </c>
      <c r="Y1178" s="72" t="s">
        <v>3066</v>
      </c>
      <c r="Z1178" s="72" t="s">
        <v>30</v>
      </c>
      <c r="AA1178" s="146" t="s">
        <v>2901</v>
      </c>
    </row>
    <row r="1179" spans="1:27" ht="18.600000000000001" customHeight="1">
      <c r="A1179" s="139" t="str">
        <f>IF(priority(Main[[#This Row],[Comments]])&lt;&gt;0, priority(Main[[#This Row],[Comments]]),"")</f>
        <v/>
      </c>
      <c r="B1179" s="89" t="s">
        <v>3690</v>
      </c>
      <c r="C1179" s="72" t="s">
        <v>3691</v>
      </c>
      <c r="D1179" s="73" t="s">
        <v>3692</v>
      </c>
      <c r="E1179" s="74">
        <v>40954.685243055559</v>
      </c>
      <c r="F1179" s="74"/>
      <c r="G1179" s="75" t="str">
        <f>IF(stdProdLT(Main[[#This Row],[Comments]])=0.1,"N/A",IF(stdProdLT(Main[[#This Row],[Comments]])=0,"",stdProdLT(Main[[#This Row],[Comments]])))</f>
        <v>N/A</v>
      </c>
      <c r="H1179" s="76" t="str">
        <f>IF(AND(Main[[#This Row],[In Stock Date]]&lt;&gt;"",Main[[#This Row],[Revised Due Date]]&lt;&gt;""),Main[[#This Row],[In Stock Date]]-Main[[#This Row],[Revised Due Date]],"")</f>
        <v/>
      </c>
      <c r="I1179" s="72" t="s">
        <v>2254</v>
      </c>
      <c r="J1179" s="72" t="s">
        <v>28</v>
      </c>
      <c r="K1179" s="72" t="s">
        <v>1926</v>
      </c>
      <c r="L1179" s="74"/>
      <c r="M1179" s="77" t="str">
        <f>IF(Main[[#This Row],[Tech Start Date]]&lt;1/1/1990,"",IF(Main[[#This Row],[Class]]="C",WORKDAY(Main[[#This Row],[Tech Start Date]],9),IF(Main[[#This Row],[Class]]="B", WORKDAY(Main[[#This Row],[Tech Start Date]],6),IF(Main[[#This Row],[Class]]="A",WORKDAY(Main[[#This Row],[Tech Start Date]],2),""))))</f>
        <v/>
      </c>
      <c r="N1179" s="77" t="str">
        <f>IF(Main[[#This Row],[Tech Start Date]]&lt;1/1/1990,"",IF(Main[[#This Row],[Class]]="C",WORKDAY(Main[[#This Row],[Tech Start Date]],19),IF(Main[[#This Row],[Class]]="B", WORKDAY(Main[[#This Row],[Tech Start Date]],12),IF(Main[[#This Row],[Class]]="A",WORKDAY(Main[[#This Row],[Tech Start Date]],4),""))))</f>
        <v/>
      </c>
      <c r="O1179" s="77" t="str">
        <f>IF(Main[[#This Row],[Tech Start Date]]&lt;1/1/1990,"",IF(Main[[#This Row],[Class]]="C",WORKDAY(Main[[#This Row],[Tech Start Date]],23),IF(Main[[#This Row],[Class]]="B", WORKDAY(Main[[#This Row],[Tech Start Date]],15),IF(Main[[#This Row],[Class]]="A",WORKDAY(Main[[#This Row],[Tech Start Date]],5),""))))</f>
        <v/>
      </c>
      <c r="P1179" s="77" t="str">
        <f>IF(Main[[#This Row],[Tech Start Date]]&lt;1/1/1990,"",IF(Main[[#This Row],[Class]]="C",WORKDAY(Main[[#This Row],[Tech Start Date]],28),IF(Main[[#This Row],[Class]]="B", WORKDAY(Main[[#This Row],[Tech Start Date]],19),IF(Main[[#This Row],[Class]]="A",WORKDAY(Main[[#This Row],[Tech Start Date]],9),""))))</f>
        <v/>
      </c>
      <c r="Q1179" s="74">
        <v>40961</v>
      </c>
      <c r="R1179" s="74"/>
      <c r="S1179" s="72" t="s">
        <v>6</v>
      </c>
      <c r="T1179" s="80" t="s">
        <v>3244</v>
      </c>
      <c r="U1179" s="72" t="s">
        <v>29</v>
      </c>
      <c r="V1179" s="72" t="s">
        <v>1918</v>
      </c>
      <c r="W1179" s="72" t="s">
        <v>1919</v>
      </c>
      <c r="X1179" s="72" t="s">
        <v>2822</v>
      </c>
      <c r="Y1179" s="72" t="s">
        <v>4</v>
      </c>
      <c r="Z1179" s="72" t="s">
        <v>2056</v>
      </c>
      <c r="AA1179" s="146" t="s">
        <v>2822</v>
      </c>
    </row>
    <row r="1180" spans="1:27" ht="18.600000000000001" customHeight="1">
      <c r="A1180" s="139" t="str">
        <f>IF(priority(Main[[#This Row],[Comments]])&lt;&gt;0, priority(Main[[#This Row],[Comments]]),"")</f>
        <v/>
      </c>
      <c r="B1180" s="89" t="s">
        <v>2371</v>
      </c>
      <c r="C1180" s="72" t="s">
        <v>4</v>
      </c>
      <c r="D1180" s="73" t="s">
        <v>3353</v>
      </c>
      <c r="E1180" s="74">
        <v>40842.639374999999</v>
      </c>
      <c r="F1180" s="74"/>
      <c r="G1180" s="75" t="str">
        <f>IF(stdProdLT(Main[[#This Row],[Comments]])=0.1,"N/A",IF(stdProdLT(Main[[#This Row],[Comments]])=0,"",stdProdLT(Main[[#This Row],[Comments]])))</f>
        <v/>
      </c>
      <c r="H1180" s="76" t="str">
        <f>IF(AND(Main[[#This Row],[In Stock Date]]&lt;&gt;"",Main[[#This Row],[Revised Due Date]]&lt;&gt;""),Main[[#This Row],[In Stock Date]]-Main[[#This Row],[Revised Due Date]],"")</f>
        <v/>
      </c>
      <c r="I1180" s="72" t="s">
        <v>69</v>
      </c>
      <c r="J1180" s="72" t="s">
        <v>70</v>
      </c>
      <c r="K1180" s="72" t="s">
        <v>1926</v>
      </c>
      <c r="L1180" s="74"/>
      <c r="M1180" s="77" t="str">
        <f>IF(Main[[#This Row],[Tech Start Date]]&lt;1/1/1990,"",IF(Main[[#This Row],[Class]]="C",WORKDAY(Main[[#This Row],[Tech Start Date]],9),IF(Main[[#This Row],[Class]]="B", WORKDAY(Main[[#This Row],[Tech Start Date]],6),IF(Main[[#This Row],[Class]]="A",WORKDAY(Main[[#This Row],[Tech Start Date]],2),""))))</f>
        <v/>
      </c>
      <c r="N1180" s="77" t="str">
        <f>IF(Main[[#This Row],[Tech Start Date]]&lt;1/1/1990,"",IF(Main[[#This Row],[Class]]="C",WORKDAY(Main[[#This Row],[Tech Start Date]],19),IF(Main[[#This Row],[Class]]="B", WORKDAY(Main[[#This Row],[Tech Start Date]],12),IF(Main[[#This Row],[Class]]="A",WORKDAY(Main[[#This Row],[Tech Start Date]],4),""))))</f>
        <v/>
      </c>
      <c r="O1180" s="77" t="str">
        <f>IF(Main[[#This Row],[Tech Start Date]]&lt;1/1/1990,"",IF(Main[[#This Row],[Class]]="C",WORKDAY(Main[[#This Row],[Tech Start Date]],23),IF(Main[[#This Row],[Class]]="B", WORKDAY(Main[[#This Row],[Tech Start Date]],15),IF(Main[[#This Row],[Class]]="A",WORKDAY(Main[[#This Row],[Tech Start Date]],5),""))))</f>
        <v/>
      </c>
      <c r="P1180" s="77" t="str">
        <f>IF(Main[[#This Row],[Tech Start Date]]&lt;1/1/1990,"",IF(Main[[#This Row],[Class]]="C",WORKDAY(Main[[#This Row],[Tech Start Date]],28),IF(Main[[#This Row],[Class]]="B", WORKDAY(Main[[#This Row],[Tech Start Date]],19),IF(Main[[#This Row],[Class]]="A",WORKDAY(Main[[#This Row],[Tech Start Date]],9),""))))</f>
        <v/>
      </c>
      <c r="Q1180" s="74">
        <v>40872</v>
      </c>
      <c r="R1180" s="74"/>
      <c r="S1180" s="72" t="s">
        <v>6</v>
      </c>
      <c r="T1180" s="80" t="s">
        <v>4</v>
      </c>
      <c r="U1180" s="72" t="s">
        <v>29</v>
      </c>
      <c r="V1180" s="72" t="s">
        <v>1920</v>
      </c>
      <c r="W1180" s="72" t="s">
        <v>1921</v>
      </c>
      <c r="X1180" s="72" t="s">
        <v>2825</v>
      </c>
      <c r="Y1180" s="72" t="s">
        <v>2938</v>
      </c>
      <c r="Z1180" s="72" t="s">
        <v>30</v>
      </c>
      <c r="AA1180" s="146" t="s">
        <v>2825</v>
      </c>
    </row>
    <row r="1181" spans="1:27" ht="18.600000000000001" customHeight="1">
      <c r="A1181" s="139" t="str">
        <f>IF(priority(Main[[#This Row],[Comments]])&lt;&gt;0, priority(Main[[#This Row],[Comments]]),"")</f>
        <v/>
      </c>
      <c r="B1181" s="89" t="s">
        <v>3354</v>
      </c>
      <c r="C1181" s="72" t="s">
        <v>4</v>
      </c>
      <c r="D1181" s="73" t="s">
        <v>3355</v>
      </c>
      <c r="E1181" s="74">
        <v>40939.631828703707</v>
      </c>
      <c r="F1181" s="74"/>
      <c r="G1181" s="75" t="str">
        <f>IF(stdProdLT(Main[[#This Row],[Comments]])=0.1,"N/A",IF(stdProdLT(Main[[#This Row],[Comments]])=0,"",stdProdLT(Main[[#This Row],[Comments]])))</f>
        <v/>
      </c>
      <c r="H1181" s="76" t="str">
        <f>IF(AND(Main[[#This Row],[In Stock Date]]&lt;&gt;"",Main[[#This Row],[Revised Due Date]]&lt;&gt;""),Main[[#This Row],[In Stock Date]]-Main[[#This Row],[Revised Due Date]],"")</f>
        <v/>
      </c>
      <c r="I1181" s="72" t="s">
        <v>4</v>
      </c>
      <c r="J1181" s="72" t="s">
        <v>4</v>
      </c>
      <c r="K1181" s="72" t="s">
        <v>4</v>
      </c>
      <c r="L1181" s="74"/>
      <c r="M1181" s="77" t="str">
        <f>IF(Main[[#This Row],[Tech Start Date]]&lt;1/1/1990,"",IF(Main[[#This Row],[Class]]="C",WORKDAY(Main[[#This Row],[Tech Start Date]],9),IF(Main[[#This Row],[Class]]="B", WORKDAY(Main[[#This Row],[Tech Start Date]],6),IF(Main[[#This Row],[Class]]="A",WORKDAY(Main[[#This Row],[Tech Start Date]],2),""))))</f>
        <v/>
      </c>
      <c r="N1181" s="77" t="str">
        <f>IF(Main[[#This Row],[Tech Start Date]]&lt;1/1/1990,"",IF(Main[[#This Row],[Class]]="C",WORKDAY(Main[[#This Row],[Tech Start Date]],19),IF(Main[[#This Row],[Class]]="B", WORKDAY(Main[[#This Row],[Tech Start Date]],12),IF(Main[[#This Row],[Class]]="A",WORKDAY(Main[[#This Row],[Tech Start Date]],4),""))))</f>
        <v/>
      </c>
      <c r="O1181" s="77" t="str">
        <f>IF(Main[[#This Row],[Tech Start Date]]&lt;1/1/1990,"",IF(Main[[#This Row],[Class]]="C",WORKDAY(Main[[#This Row],[Tech Start Date]],23),IF(Main[[#This Row],[Class]]="B", WORKDAY(Main[[#This Row],[Tech Start Date]],15),IF(Main[[#This Row],[Class]]="A",WORKDAY(Main[[#This Row],[Tech Start Date]],5),""))))</f>
        <v/>
      </c>
      <c r="P1181" s="77" t="str">
        <f>IF(Main[[#This Row],[Tech Start Date]]&lt;1/1/1990,"",IF(Main[[#This Row],[Class]]="C",WORKDAY(Main[[#This Row],[Tech Start Date]],28),IF(Main[[#This Row],[Class]]="B", WORKDAY(Main[[#This Row],[Tech Start Date]],19),IF(Main[[#This Row],[Class]]="A",WORKDAY(Main[[#This Row],[Tech Start Date]],9),""))))</f>
        <v/>
      </c>
      <c r="Q1181" s="74"/>
      <c r="R1181" s="154"/>
      <c r="S1181" s="72" t="s">
        <v>6</v>
      </c>
      <c r="T1181" s="80" t="s">
        <v>4</v>
      </c>
      <c r="U1181" s="72" t="s">
        <v>7</v>
      </c>
      <c r="V1181" s="72" t="s">
        <v>1917</v>
      </c>
      <c r="W1181" s="72" t="s">
        <v>1921</v>
      </c>
      <c r="X1181" s="72" t="s">
        <v>306</v>
      </c>
      <c r="Y1181" s="72" t="s">
        <v>4</v>
      </c>
      <c r="Z1181" s="72" t="s">
        <v>4</v>
      </c>
      <c r="AA1181" s="146" t="s">
        <v>4</v>
      </c>
    </row>
    <row r="1182" spans="1:27" ht="18.600000000000001" customHeight="1">
      <c r="A1182" s="139" t="str">
        <f>IF(priority(Main[[#This Row],[Comments]])&lt;&gt;0, priority(Main[[#This Row],[Comments]]),"")</f>
        <v/>
      </c>
      <c r="B1182" s="89" t="s">
        <v>1737</v>
      </c>
      <c r="C1182" s="72" t="s">
        <v>47</v>
      </c>
      <c r="D1182" s="73" t="s">
        <v>790</v>
      </c>
      <c r="E1182" s="74">
        <v>39937.598969907405</v>
      </c>
      <c r="F1182" s="74"/>
      <c r="G1182" s="75" t="str">
        <f>IF(stdProdLT(Main[[#This Row],[Comments]])=0.1,"N/A",IF(stdProdLT(Main[[#This Row],[Comments]])=0,"",stdProdLT(Main[[#This Row],[Comments]])))</f>
        <v/>
      </c>
      <c r="H1182" s="76" t="str">
        <f>IF(AND(Main[[#This Row],[In Stock Date]]&lt;&gt;"",Main[[#This Row],[Revised Due Date]]&lt;&gt;""),Main[[#This Row],[In Stock Date]]-Main[[#This Row],[Revised Due Date]],"")</f>
        <v/>
      </c>
      <c r="I1182" s="72" t="s">
        <v>4</v>
      </c>
      <c r="J1182" s="72" t="s">
        <v>4</v>
      </c>
      <c r="K1182" s="72" t="s">
        <v>4</v>
      </c>
      <c r="L1182" s="74"/>
      <c r="M1182" s="77" t="str">
        <f>IF(Main[[#This Row],[Tech Start Date]]&lt;1/1/1990,"",IF(Main[[#This Row],[Class]]="C",WORKDAY(Main[[#This Row],[Tech Start Date]],9),IF(Main[[#This Row],[Class]]="B", WORKDAY(Main[[#This Row],[Tech Start Date]],6),IF(Main[[#This Row],[Class]]="A",WORKDAY(Main[[#This Row],[Tech Start Date]],2),""))))</f>
        <v/>
      </c>
      <c r="N1182" s="77" t="str">
        <f>IF(Main[[#This Row],[Tech Start Date]]&lt;1/1/1990,"",IF(Main[[#This Row],[Class]]="C",WORKDAY(Main[[#This Row],[Tech Start Date]],19),IF(Main[[#This Row],[Class]]="B", WORKDAY(Main[[#This Row],[Tech Start Date]],12),IF(Main[[#This Row],[Class]]="A",WORKDAY(Main[[#This Row],[Tech Start Date]],4),""))))</f>
        <v/>
      </c>
      <c r="O1182" s="77" t="str">
        <f>IF(Main[[#This Row],[Tech Start Date]]&lt;1/1/1990,"",IF(Main[[#This Row],[Class]]="C",WORKDAY(Main[[#This Row],[Tech Start Date]],23),IF(Main[[#This Row],[Class]]="B", WORKDAY(Main[[#This Row],[Tech Start Date]],15),IF(Main[[#This Row],[Class]]="A",WORKDAY(Main[[#This Row],[Tech Start Date]],5),""))))</f>
        <v/>
      </c>
      <c r="P1182" s="77" t="str">
        <f>IF(Main[[#This Row],[Tech Start Date]]&lt;1/1/1990,"",IF(Main[[#This Row],[Class]]="C",WORKDAY(Main[[#This Row],[Tech Start Date]],28),IF(Main[[#This Row],[Class]]="B", WORKDAY(Main[[#This Row],[Tech Start Date]],19),IF(Main[[#This Row],[Class]]="A",WORKDAY(Main[[#This Row],[Tech Start Date]],9),""))))</f>
        <v/>
      </c>
      <c r="Q1182" s="74"/>
      <c r="R1182" s="74">
        <v>41172</v>
      </c>
      <c r="S1182" s="72" t="s">
        <v>17</v>
      </c>
      <c r="T1182" s="80" t="s">
        <v>4</v>
      </c>
      <c r="U1182" s="72" t="s">
        <v>29</v>
      </c>
      <c r="V1182" s="72" t="s">
        <v>1920</v>
      </c>
      <c r="W1182" s="72" t="s">
        <v>4</v>
      </c>
      <c r="X1182" s="72" t="s">
        <v>2833</v>
      </c>
      <c r="Y1182" s="72" t="s">
        <v>2954</v>
      </c>
      <c r="Z1182" s="72" t="s">
        <v>4</v>
      </c>
      <c r="AA1182" s="146" t="s">
        <v>2833</v>
      </c>
    </row>
    <row r="1183" spans="1:27" ht="18.600000000000001" customHeight="1">
      <c r="A1183" s="139" t="str">
        <f>IF(priority(Main[[#This Row],[Comments]])&lt;&gt;0, priority(Main[[#This Row],[Comments]]),"")</f>
        <v/>
      </c>
      <c r="B1183" s="89" t="s">
        <v>2508</v>
      </c>
      <c r="C1183" s="72" t="s">
        <v>2509</v>
      </c>
      <c r="D1183" s="73" t="s">
        <v>2668</v>
      </c>
      <c r="E1183" s="74">
        <v>40871.220509259256</v>
      </c>
      <c r="F1183" s="74"/>
      <c r="G1183" s="75" t="str">
        <f>IF(stdProdLT(Main[[#This Row],[Comments]])=0.1,"N/A",IF(stdProdLT(Main[[#This Row],[Comments]])=0,"",stdProdLT(Main[[#This Row],[Comments]])))</f>
        <v/>
      </c>
      <c r="H1183" s="76" t="str">
        <f>IF(AND(Main[[#This Row],[In Stock Date]]&lt;&gt;"",Main[[#This Row],[Revised Due Date]]&lt;&gt;""),Main[[#This Row],[In Stock Date]]-Main[[#This Row],[Revised Due Date]],"")</f>
        <v/>
      </c>
      <c r="I1183" s="72" t="s">
        <v>4</v>
      </c>
      <c r="J1183" s="72" t="s">
        <v>4</v>
      </c>
      <c r="K1183" s="72" t="s">
        <v>4</v>
      </c>
      <c r="L1183" s="74"/>
      <c r="M1183" s="77" t="str">
        <f>IF(Main[[#This Row],[Tech Start Date]]&lt;1/1/1990,"",IF(Main[[#This Row],[Class]]="C",WORKDAY(Main[[#This Row],[Tech Start Date]],9),IF(Main[[#This Row],[Class]]="B", WORKDAY(Main[[#This Row],[Tech Start Date]],6),IF(Main[[#This Row],[Class]]="A",WORKDAY(Main[[#This Row],[Tech Start Date]],2),""))))</f>
        <v/>
      </c>
      <c r="N1183" s="77" t="str">
        <f>IF(Main[[#This Row],[Tech Start Date]]&lt;1/1/1990,"",IF(Main[[#This Row],[Class]]="C",WORKDAY(Main[[#This Row],[Tech Start Date]],19),IF(Main[[#This Row],[Class]]="B", WORKDAY(Main[[#This Row],[Tech Start Date]],12),IF(Main[[#This Row],[Class]]="A",WORKDAY(Main[[#This Row],[Tech Start Date]],4),""))))</f>
        <v/>
      </c>
      <c r="O1183" s="77" t="str">
        <f>IF(Main[[#This Row],[Tech Start Date]]&lt;1/1/1990,"",IF(Main[[#This Row],[Class]]="C",WORKDAY(Main[[#This Row],[Tech Start Date]],23),IF(Main[[#This Row],[Class]]="B", WORKDAY(Main[[#This Row],[Tech Start Date]],15),IF(Main[[#This Row],[Class]]="A",WORKDAY(Main[[#This Row],[Tech Start Date]],5),""))))</f>
        <v/>
      </c>
      <c r="P1183" s="77" t="str">
        <f>IF(Main[[#This Row],[Tech Start Date]]&lt;1/1/1990,"",IF(Main[[#This Row],[Class]]="C",WORKDAY(Main[[#This Row],[Tech Start Date]],28),IF(Main[[#This Row],[Class]]="B", WORKDAY(Main[[#This Row],[Tech Start Date]],19),IF(Main[[#This Row],[Class]]="A",WORKDAY(Main[[#This Row],[Tech Start Date]],9),""))))</f>
        <v/>
      </c>
      <c r="Q1183" s="74">
        <v>40875</v>
      </c>
      <c r="R1183" s="74"/>
      <c r="S1183" s="72" t="s">
        <v>11</v>
      </c>
      <c r="T1183" s="80" t="s">
        <v>2669</v>
      </c>
      <c r="U1183" s="72" t="s">
        <v>696</v>
      </c>
      <c r="V1183" s="72" t="s">
        <v>1920</v>
      </c>
      <c r="W1183" s="72" t="s">
        <v>1925</v>
      </c>
      <c r="X1183" s="72" t="s">
        <v>2917</v>
      </c>
      <c r="Y1183" s="72" t="s">
        <v>3134</v>
      </c>
      <c r="Z1183" s="72" t="s">
        <v>4</v>
      </c>
      <c r="AA1183" s="146" t="s">
        <v>3473</v>
      </c>
    </row>
    <row r="1184" spans="1:27" ht="18.600000000000001" customHeight="1">
      <c r="A1184" s="139" t="str">
        <f>IF(priority(Main[[#This Row],[Comments]])&lt;&gt;0, priority(Main[[#This Row],[Comments]]),"")</f>
        <v/>
      </c>
      <c r="B1184" s="89" t="s">
        <v>1402</v>
      </c>
      <c r="C1184" s="72" t="s">
        <v>483</v>
      </c>
      <c r="D1184" s="73" t="s">
        <v>2537</v>
      </c>
      <c r="E1184" s="74"/>
      <c r="F1184" s="74">
        <v>40452</v>
      </c>
      <c r="G1184" s="75" t="str">
        <f>IF(stdProdLT(Main[[#This Row],[Comments]])=0.1,"N/A",IF(stdProdLT(Main[[#This Row],[Comments]])=0,"",stdProdLT(Main[[#This Row],[Comments]])))</f>
        <v/>
      </c>
      <c r="H1184" s="76" t="str">
        <f>IF(AND(Main[[#This Row],[In Stock Date]]&lt;&gt;"",Main[[#This Row],[Revised Due Date]]&lt;&gt;""),Main[[#This Row],[In Stock Date]]-Main[[#This Row],[Revised Due Date]],"")</f>
        <v/>
      </c>
      <c r="I1184" s="72" t="s">
        <v>4</v>
      </c>
      <c r="J1184" s="72" t="s">
        <v>4</v>
      </c>
      <c r="K1184" s="72" t="s">
        <v>4</v>
      </c>
      <c r="L1184" s="74"/>
      <c r="M1184" s="77" t="str">
        <f>IF(Main[[#This Row],[Tech Start Date]]&lt;1/1/1990,"",IF(Main[[#This Row],[Class]]="C",WORKDAY(Main[[#This Row],[Tech Start Date]],9),IF(Main[[#This Row],[Class]]="B", WORKDAY(Main[[#This Row],[Tech Start Date]],6),IF(Main[[#This Row],[Class]]="A",WORKDAY(Main[[#This Row],[Tech Start Date]],2),""))))</f>
        <v/>
      </c>
      <c r="N1184" s="77" t="str">
        <f>IF(Main[[#This Row],[Tech Start Date]]&lt;1/1/1990,"",IF(Main[[#This Row],[Class]]="C",WORKDAY(Main[[#This Row],[Tech Start Date]],19),IF(Main[[#This Row],[Class]]="B", WORKDAY(Main[[#This Row],[Tech Start Date]],12),IF(Main[[#This Row],[Class]]="A",WORKDAY(Main[[#This Row],[Tech Start Date]],4),""))))</f>
        <v/>
      </c>
      <c r="O1184" s="77" t="str">
        <f>IF(Main[[#This Row],[Tech Start Date]]&lt;1/1/1990,"",IF(Main[[#This Row],[Class]]="C",WORKDAY(Main[[#This Row],[Tech Start Date]],23),IF(Main[[#This Row],[Class]]="B", WORKDAY(Main[[#This Row],[Tech Start Date]],15),IF(Main[[#This Row],[Class]]="A",WORKDAY(Main[[#This Row],[Tech Start Date]],5),""))))</f>
        <v/>
      </c>
      <c r="P1184" s="77" t="str">
        <f>IF(Main[[#This Row],[Tech Start Date]]&lt;1/1/1990,"",IF(Main[[#This Row],[Class]]="C",WORKDAY(Main[[#This Row],[Tech Start Date]],28),IF(Main[[#This Row],[Class]]="B", WORKDAY(Main[[#This Row],[Tech Start Date]],19),IF(Main[[#This Row],[Class]]="A",WORKDAY(Main[[#This Row],[Tech Start Date]],9),""))))</f>
        <v/>
      </c>
      <c r="Q1184" s="74">
        <v>40391</v>
      </c>
      <c r="R1184" s="74"/>
      <c r="S1184" s="72" t="s">
        <v>6</v>
      </c>
      <c r="T1184" s="80" t="s">
        <v>4</v>
      </c>
      <c r="U1184" s="72" t="s">
        <v>14</v>
      </c>
      <c r="V1184" s="72" t="s">
        <v>1917</v>
      </c>
      <c r="W1184" s="72" t="s">
        <v>1922</v>
      </c>
      <c r="X1184" s="72" t="s">
        <v>2830</v>
      </c>
      <c r="Y1184" s="72" t="s">
        <v>2949</v>
      </c>
      <c r="Z1184" s="72" t="s">
        <v>4</v>
      </c>
      <c r="AA1184" s="146" t="s">
        <v>2830</v>
      </c>
    </row>
    <row r="1185" spans="1:27" ht="18.600000000000001" customHeight="1">
      <c r="A1185" s="139" t="str">
        <f>IF(priority(Main[[#This Row],[Comments]])&lt;&gt;0, priority(Main[[#This Row],[Comments]]),"")</f>
        <v/>
      </c>
      <c r="B1185" s="89" t="s">
        <v>2752</v>
      </c>
      <c r="C1185" s="72" t="s">
        <v>4</v>
      </c>
      <c r="D1185" s="73" t="s">
        <v>2753</v>
      </c>
      <c r="E1185" s="74">
        <v>40911.721898148149</v>
      </c>
      <c r="F1185" s="74"/>
      <c r="G1185" s="75" t="str">
        <f>IF(stdProdLT(Main[[#This Row],[Comments]])=0.1,"N/A",IF(stdProdLT(Main[[#This Row],[Comments]])=0,"",stdProdLT(Main[[#This Row],[Comments]])))</f>
        <v/>
      </c>
      <c r="H1185" s="76" t="str">
        <f>IF(AND(Main[[#This Row],[In Stock Date]]&lt;&gt;"",Main[[#This Row],[Revised Due Date]]&lt;&gt;""),Main[[#This Row],[In Stock Date]]-Main[[#This Row],[Revised Due Date]],"")</f>
        <v/>
      </c>
      <c r="I1185" s="72" t="s">
        <v>4</v>
      </c>
      <c r="J1185" s="72" t="s">
        <v>4</v>
      </c>
      <c r="K1185" s="72" t="s">
        <v>4</v>
      </c>
      <c r="L1185" s="74"/>
      <c r="M1185" s="77" t="str">
        <f>IF(Main[[#This Row],[Tech Start Date]]&lt;1/1/1990,"",IF(Main[[#This Row],[Class]]="C",WORKDAY(Main[[#This Row],[Tech Start Date]],9),IF(Main[[#This Row],[Class]]="B", WORKDAY(Main[[#This Row],[Tech Start Date]],6),IF(Main[[#This Row],[Class]]="A",WORKDAY(Main[[#This Row],[Tech Start Date]],2),""))))</f>
        <v/>
      </c>
      <c r="N1185" s="77" t="str">
        <f>IF(Main[[#This Row],[Tech Start Date]]&lt;1/1/1990,"",IF(Main[[#This Row],[Class]]="C",WORKDAY(Main[[#This Row],[Tech Start Date]],19),IF(Main[[#This Row],[Class]]="B", WORKDAY(Main[[#This Row],[Tech Start Date]],12),IF(Main[[#This Row],[Class]]="A",WORKDAY(Main[[#This Row],[Tech Start Date]],4),""))))</f>
        <v/>
      </c>
      <c r="O1185" s="77" t="str">
        <f>IF(Main[[#This Row],[Tech Start Date]]&lt;1/1/1990,"",IF(Main[[#This Row],[Class]]="C",WORKDAY(Main[[#This Row],[Tech Start Date]],23),IF(Main[[#This Row],[Class]]="B", WORKDAY(Main[[#This Row],[Tech Start Date]],15),IF(Main[[#This Row],[Class]]="A",WORKDAY(Main[[#This Row],[Tech Start Date]],5),""))))</f>
        <v/>
      </c>
      <c r="P1185" s="77" t="str">
        <f>IF(Main[[#This Row],[Tech Start Date]]&lt;1/1/1990,"",IF(Main[[#This Row],[Class]]="C",WORKDAY(Main[[#This Row],[Tech Start Date]],28),IF(Main[[#This Row],[Class]]="B", WORKDAY(Main[[#This Row],[Tech Start Date]],19),IF(Main[[#This Row],[Class]]="A",WORKDAY(Main[[#This Row],[Tech Start Date]],9),""))))</f>
        <v/>
      </c>
      <c r="Q1185" s="74">
        <v>41015</v>
      </c>
      <c r="R1185" s="74"/>
      <c r="S1185" s="72" t="s">
        <v>6</v>
      </c>
      <c r="T1185" s="80" t="s">
        <v>3693</v>
      </c>
      <c r="U1185" s="72" t="s">
        <v>7</v>
      </c>
      <c r="V1185" s="72" t="s">
        <v>1917</v>
      </c>
      <c r="W1185" s="72" t="s">
        <v>1921</v>
      </c>
      <c r="X1185" s="72" t="s">
        <v>879</v>
      </c>
      <c r="Y1185" s="72" t="s">
        <v>3015</v>
      </c>
      <c r="Z1185" s="72" t="s">
        <v>4</v>
      </c>
      <c r="AA1185" s="146" t="s">
        <v>879</v>
      </c>
    </row>
    <row r="1186" spans="1:27" ht="18.600000000000001" customHeight="1">
      <c r="A1186" s="139" t="str">
        <f>IF(priority(Main[[#This Row],[Comments]])&lt;&gt;0, priority(Main[[#This Row],[Comments]]),"")</f>
        <v/>
      </c>
      <c r="B1186" s="89" t="s">
        <v>2530</v>
      </c>
      <c r="C1186" s="72" t="s">
        <v>4</v>
      </c>
      <c r="D1186" s="73" t="s">
        <v>2531</v>
      </c>
      <c r="E1186" s="74"/>
      <c r="F1186" s="74"/>
      <c r="G1186" s="75" t="str">
        <f>IF(stdProdLT(Main[[#This Row],[Comments]])=0.1,"N/A",IF(stdProdLT(Main[[#This Row],[Comments]])=0,"",stdProdLT(Main[[#This Row],[Comments]])))</f>
        <v/>
      </c>
      <c r="H1186" s="76" t="str">
        <f>IF(AND(Main[[#This Row],[In Stock Date]]&lt;&gt;"",Main[[#This Row],[Revised Due Date]]&lt;&gt;""),Main[[#This Row],[In Stock Date]]-Main[[#This Row],[Revised Due Date]],"")</f>
        <v/>
      </c>
      <c r="I1186" s="72" t="s">
        <v>4</v>
      </c>
      <c r="J1186" s="72" t="s">
        <v>4</v>
      </c>
      <c r="K1186" s="72" t="s">
        <v>4</v>
      </c>
      <c r="L1186" s="74"/>
      <c r="M1186" s="77" t="str">
        <f>IF(Main[[#This Row],[Tech Start Date]]&lt;1/1/1990,"",IF(Main[[#This Row],[Class]]="C",WORKDAY(Main[[#This Row],[Tech Start Date]],9),IF(Main[[#This Row],[Class]]="B", WORKDAY(Main[[#This Row],[Tech Start Date]],6),IF(Main[[#This Row],[Class]]="A",WORKDAY(Main[[#This Row],[Tech Start Date]],2),""))))</f>
        <v/>
      </c>
      <c r="N1186" s="77" t="str">
        <f>IF(Main[[#This Row],[Tech Start Date]]&lt;1/1/1990,"",IF(Main[[#This Row],[Class]]="C",WORKDAY(Main[[#This Row],[Tech Start Date]],19),IF(Main[[#This Row],[Class]]="B", WORKDAY(Main[[#This Row],[Tech Start Date]],12),IF(Main[[#This Row],[Class]]="A",WORKDAY(Main[[#This Row],[Tech Start Date]],4),""))))</f>
        <v/>
      </c>
      <c r="O1186" s="77" t="str">
        <f>IF(Main[[#This Row],[Tech Start Date]]&lt;1/1/1990,"",IF(Main[[#This Row],[Class]]="C",WORKDAY(Main[[#This Row],[Tech Start Date]],23),IF(Main[[#This Row],[Class]]="B", WORKDAY(Main[[#This Row],[Tech Start Date]],15),IF(Main[[#This Row],[Class]]="A",WORKDAY(Main[[#This Row],[Tech Start Date]],5),""))))</f>
        <v/>
      </c>
      <c r="P1186" s="77" t="str">
        <f>IF(Main[[#This Row],[Tech Start Date]]&lt;1/1/1990,"",IF(Main[[#This Row],[Class]]="C",WORKDAY(Main[[#This Row],[Tech Start Date]],28),IF(Main[[#This Row],[Class]]="B", WORKDAY(Main[[#This Row],[Tech Start Date]],19),IF(Main[[#This Row],[Class]]="A",WORKDAY(Main[[#This Row],[Tech Start Date]],9),""))))</f>
        <v/>
      </c>
      <c r="Q1186" s="74"/>
      <c r="R1186" s="74"/>
      <c r="S1186" s="72" t="s">
        <v>23</v>
      </c>
      <c r="T1186" s="80" t="s">
        <v>4</v>
      </c>
      <c r="U1186" s="72" t="s">
        <v>14</v>
      </c>
      <c r="V1186" s="72" t="s">
        <v>1917</v>
      </c>
      <c r="W1186" s="72" t="s">
        <v>1923</v>
      </c>
      <c r="X1186" s="72" t="s">
        <v>399</v>
      </c>
      <c r="Y1186" s="72" t="s">
        <v>4</v>
      </c>
      <c r="Z1186" s="72" t="s">
        <v>4</v>
      </c>
      <c r="AA1186" s="146" t="s">
        <v>3435</v>
      </c>
    </row>
    <row r="1187" spans="1:27" ht="18.600000000000001" customHeight="1">
      <c r="A1187" s="139" t="str">
        <f>IF(priority(Main[[#This Row],[Comments]])&lt;&gt;0, priority(Main[[#This Row],[Comments]]),"")</f>
        <v/>
      </c>
      <c r="B1187" s="89" t="s">
        <v>2528</v>
      </c>
      <c r="C1187" s="72" t="s">
        <v>4</v>
      </c>
      <c r="D1187" s="73" t="s">
        <v>2529</v>
      </c>
      <c r="E1187" s="74"/>
      <c r="F1187" s="74"/>
      <c r="G1187" s="75" t="str">
        <f>IF(stdProdLT(Main[[#This Row],[Comments]])=0.1,"N/A",IF(stdProdLT(Main[[#This Row],[Comments]])=0,"",stdProdLT(Main[[#This Row],[Comments]])))</f>
        <v/>
      </c>
      <c r="H1187" s="76" t="str">
        <f>IF(AND(Main[[#This Row],[In Stock Date]]&lt;&gt;"",Main[[#This Row],[Revised Due Date]]&lt;&gt;""),Main[[#This Row],[In Stock Date]]-Main[[#This Row],[Revised Due Date]],"")</f>
        <v/>
      </c>
      <c r="I1187" s="72" t="s">
        <v>4</v>
      </c>
      <c r="J1187" s="72" t="s">
        <v>4</v>
      </c>
      <c r="K1187" s="72" t="s">
        <v>4</v>
      </c>
      <c r="L1187" s="74"/>
      <c r="M1187" s="77" t="str">
        <f>IF(Main[[#This Row],[Tech Start Date]]&lt;1/1/1990,"",IF(Main[[#This Row],[Class]]="C",WORKDAY(Main[[#This Row],[Tech Start Date]],9),IF(Main[[#This Row],[Class]]="B", WORKDAY(Main[[#This Row],[Tech Start Date]],6),IF(Main[[#This Row],[Class]]="A",WORKDAY(Main[[#This Row],[Tech Start Date]],2),""))))</f>
        <v/>
      </c>
      <c r="N1187" s="77" t="str">
        <f>IF(Main[[#This Row],[Tech Start Date]]&lt;1/1/1990,"",IF(Main[[#This Row],[Class]]="C",WORKDAY(Main[[#This Row],[Tech Start Date]],19),IF(Main[[#This Row],[Class]]="B", WORKDAY(Main[[#This Row],[Tech Start Date]],12),IF(Main[[#This Row],[Class]]="A",WORKDAY(Main[[#This Row],[Tech Start Date]],4),""))))</f>
        <v/>
      </c>
      <c r="O1187" s="77" t="str">
        <f>IF(Main[[#This Row],[Tech Start Date]]&lt;1/1/1990,"",IF(Main[[#This Row],[Class]]="C",WORKDAY(Main[[#This Row],[Tech Start Date]],23),IF(Main[[#This Row],[Class]]="B", WORKDAY(Main[[#This Row],[Tech Start Date]],15),IF(Main[[#This Row],[Class]]="A",WORKDAY(Main[[#This Row],[Tech Start Date]],5),""))))</f>
        <v/>
      </c>
      <c r="P1187" s="77" t="str">
        <f>IF(Main[[#This Row],[Tech Start Date]]&lt;1/1/1990,"",IF(Main[[#This Row],[Class]]="C",WORKDAY(Main[[#This Row],[Tech Start Date]],28),IF(Main[[#This Row],[Class]]="B", WORKDAY(Main[[#This Row],[Tech Start Date]],19),IF(Main[[#This Row],[Class]]="A",WORKDAY(Main[[#This Row],[Tech Start Date]],9),""))))</f>
        <v/>
      </c>
      <c r="Q1187" s="74">
        <v>40858</v>
      </c>
      <c r="R1187" s="74"/>
      <c r="S1187" s="72" t="s">
        <v>6</v>
      </c>
      <c r="T1187" s="80" t="s">
        <v>4</v>
      </c>
      <c r="U1187" s="72" t="s">
        <v>14</v>
      </c>
      <c r="V1187" s="72" t="s">
        <v>1920</v>
      </c>
      <c r="W1187" s="72" t="s">
        <v>4</v>
      </c>
      <c r="X1187" s="72" t="s">
        <v>2825</v>
      </c>
      <c r="Y1187" s="72" t="s">
        <v>2938</v>
      </c>
      <c r="Z1187" s="72" t="s">
        <v>4</v>
      </c>
      <c r="AA1187" s="146" t="s">
        <v>2825</v>
      </c>
    </row>
    <row r="1188" spans="1:27" ht="18.600000000000001" customHeight="1">
      <c r="A1188" s="139" t="str">
        <f>IF(priority(Main[[#This Row],[Comments]])&lt;&gt;0, priority(Main[[#This Row],[Comments]]),"")</f>
        <v/>
      </c>
      <c r="B1188" s="89" t="s">
        <v>3694</v>
      </c>
      <c r="C1188" s="72" t="s">
        <v>4</v>
      </c>
      <c r="D1188" s="73" t="s">
        <v>3695</v>
      </c>
      <c r="E1188" s="74">
        <v>40967.673217592594</v>
      </c>
      <c r="F1188" s="74"/>
      <c r="G1188" s="75" t="str">
        <f>IF(stdProdLT(Main[[#This Row],[Comments]])=0.1,"N/A",IF(stdProdLT(Main[[#This Row],[Comments]])=0,"",stdProdLT(Main[[#This Row],[Comments]])))</f>
        <v/>
      </c>
      <c r="H1188" s="76" t="str">
        <f>IF(AND(Main[[#This Row],[In Stock Date]]&lt;&gt;"",Main[[#This Row],[Revised Due Date]]&lt;&gt;""),Main[[#This Row],[In Stock Date]]-Main[[#This Row],[Revised Due Date]],"")</f>
        <v/>
      </c>
      <c r="I1188" s="72" t="s">
        <v>4</v>
      </c>
      <c r="J1188" s="72" t="s">
        <v>21</v>
      </c>
      <c r="K1188" s="72" t="s">
        <v>4</v>
      </c>
      <c r="L1188" s="74"/>
      <c r="M1188" s="77" t="str">
        <f>IF(Main[[#This Row],[Tech Start Date]]&lt;1/1/1990,"",IF(Main[[#This Row],[Class]]="C",WORKDAY(Main[[#This Row],[Tech Start Date]],9),IF(Main[[#This Row],[Class]]="B", WORKDAY(Main[[#This Row],[Tech Start Date]],6),IF(Main[[#This Row],[Class]]="A",WORKDAY(Main[[#This Row],[Tech Start Date]],2),""))))</f>
        <v/>
      </c>
      <c r="N1188" s="77" t="str">
        <f>IF(Main[[#This Row],[Tech Start Date]]&lt;1/1/1990,"",IF(Main[[#This Row],[Class]]="C",WORKDAY(Main[[#This Row],[Tech Start Date]],19),IF(Main[[#This Row],[Class]]="B", WORKDAY(Main[[#This Row],[Tech Start Date]],12),IF(Main[[#This Row],[Class]]="A",WORKDAY(Main[[#This Row],[Tech Start Date]],4),""))))</f>
        <v/>
      </c>
      <c r="O1188" s="77" t="str">
        <f>IF(Main[[#This Row],[Tech Start Date]]&lt;1/1/1990,"",IF(Main[[#This Row],[Class]]="C",WORKDAY(Main[[#This Row],[Tech Start Date]],23),IF(Main[[#This Row],[Class]]="B", WORKDAY(Main[[#This Row],[Tech Start Date]],15),IF(Main[[#This Row],[Class]]="A",WORKDAY(Main[[#This Row],[Tech Start Date]],5),""))))</f>
        <v/>
      </c>
      <c r="P1188" s="77" t="str">
        <f>IF(Main[[#This Row],[Tech Start Date]]&lt;1/1/1990,"",IF(Main[[#This Row],[Class]]="C",WORKDAY(Main[[#This Row],[Tech Start Date]],28),IF(Main[[#This Row],[Class]]="B", WORKDAY(Main[[#This Row],[Tech Start Date]],19),IF(Main[[#This Row],[Class]]="A",WORKDAY(Main[[#This Row],[Tech Start Date]],9),""))))</f>
        <v/>
      </c>
      <c r="Q1188" s="74">
        <v>40732</v>
      </c>
      <c r="R1188" s="74"/>
      <c r="S1188" s="72" t="s">
        <v>6</v>
      </c>
      <c r="T1188" s="80" t="s">
        <v>4</v>
      </c>
      <c r="U1188" s="72" t="s">
        <v>7</v>
      </c>
      <c r="V1188" s="72" t="s">
        <v>1917</v>
      </c>
      <c r="W1188" s="72" t="s">
        <v>1921</v>
      </c>
      <c r="X1188" s="72" t="s">
        <v>399</v>
      </c>
      <c r="Y1188" s="72" t="s">
        <v>3122</v>
      </c>
      <c r="Z1188" s="72" t="s">
        <v>879</v>
      </c>
      <c r="AA1188" s="146" t="s">
        <v>3402</v>
      </c>
    </row>
    <row r="1189" spans="1:27" ht="18.600000000000001" customHeight="1">
      <c r="A1189" s="139" t="str">
        <f>IF(priority(Main[[#This Row],[Comments]])&lt;&gt;0, priority(Main[[#This Row],[Comments]]),"")</f>
        <v/>
      </c>
      <c r="B1189" s="89" t="s">
        <v>3696</v>
      </c>
      <c r="C1189" s="72" t="s">
        <v>4</v>
      </c>
      <c r="D1189" s="73" t="s">
        <v>3697</v>
      </c>
      <c r="E1189" s="74">
        <v>40967.682060185187</v>
      </c>
      <c r="F1189" s="74"/>
      <c r="G1189" s="75" t="str">
        <f>IF(stdProdLT(Main[[#This Row],[Comments]])=0.1,"N/A",IF(stdProdLT(Main[[#This Row],[Comments]])=0,"",stdProdLT(Main[[#This Row],[Comments]])))</f>
        <v/>
      </c>
      <c r="H1189" s="76" t="str">
        <f>IF(AND(Main[[#This Row],[In Stock Date]]&lt;&gt;"",Main[[#This Row],[Revised Due Date]]&lt;&gt;""),Main[[#This Row],[In Stock Date]]-Main[[#This Row],[Revised Due Date]],"")</f>
        <v/>
      </c>
      <c r="I1189" s="72" t="s">
        <v>4</v>
      </c>
      <c r="J1189" s="72" t="s">
        <v>21</v>
      </c>
      <c r="K1189" s="72" t="s">
        <v>4</v>
      </c>
      <c r="L1189" s="74"/>
      <c r="M1189" s="77" t="str">
        <f>IF(Main[[#This Row],[Tech Start Date]]&lt;1/1/1990,"",IF(Main[[#This Row],[Class]]="C",WORKDAY(Main[[#This Row],[Tech Start Date]],9),IF(Main[[#This Row],[Class]]="B", WORKDAY(Main[[#This Row],[Tech Start Date]],6),IF(Main[[#This Row],[Class]]="A",WORKDAY(Main[[#This Row],[Tech Start Date]],2),""))))</f>
        <v/>
      </c>
      <c r="N1189" s="77" t="str">
        <f>IF(Main[[#This Row],[Tech Start Date]]&lt;1/1/1990,"",IF(Main[[#This Row],[Class]]="C",WORKDAY(Main[[#This Row],[Tech Start Date]],19),IF(Main[[#This Row],[Class]]="B", WORKDAY(Main[[#This Row],[Tech Start Date]],12),IF(Main[[#This Row],[Class]]="A",WORKDAY(Main[[#This Row],[Tech Start Date]],4),""))))</f>
        <v/>
      </c>
      <c r="O1189" s="77" t="str">
        <f>IF(Main[[#This Row],[Tech Start Date]]&lt;1/1/1990,"",IF(Main[[#This Row],[Class]]="C",WORKDAY(Main[[#This Row],[Tech Start Date]],23),IF(Main[[#This Row],[Class]]="B", WORKDAY(Main[[#This Row],[Tech Start Date]],15),IF(Main[[#This Row],[Class]]="A",WORKDAY(Main[[#This Row],[Tech Start Date]],5),""))))</f>
        <v/>
      </c>
      <c r="P1189" s="77" t="str">
        <f>IF(Main[[#This Row],[Tech Start Date]]&lt;1/1/1990,"",IF(Main[[#This Row],[Class]]="C",WORKDAY(Main[[#This Row],[Tech Start Date]],28),IF(Main[[#This Row],[Class]]="B", WORKDAY(Main[[#This Row],[Tech Start Date]],19),IF(Main[[#This Row],[Class]]="A",WORKDAY(Main[[#This Row],[Tech Start Date]],9),""))))</f>
        <v/>
      </c>
      <c r="Q1189" s="74">
        <v>40732</v>
      </c>
      <c r="R1189" s="74"/>
      <c r="S1189" s="72" t="s">
        <v>6</v>
      </c>
      <c r="T1189" s="80" t="s">
        <v>4</v>
      </c>
      <c r="U1189" s="72" t="s">
        <v>29</v>
      </c>
      <c r="V1189" s="72" t="s">
        <v>1918</v>
      </c>
      <c r="W1189" s="72" t="s">
        <v>1921</v>
      </c>
      <c r="X1189" s="72" t="s">
        <v>399</v>
      </c>
      <c r="Y1189" s="72" t="s">
        <v>3122</v>
      </c>
      <c r="Z1189" s="72" t="s">
        <v>2056</v>
      </c>
      <c r="AA1189" s="146" t="s">
        <v>3402</v>
      </c>
    </row>
    <row r="1190" spans="1:27" ht="18.600000000000001" customHeight="1">
      <c r="A1190" s="139" t="str">
        <f>IF(priority(Main[[#This Row],[Comments]])&lt;&gt;0, priority(Main[[#This Row],[Comments]]),"")</f>
        <v/>
      </c>
      <c r="B1190" s="89" t="s">
        <v>3558</v>
      </c>
      <c r="C1190" s="72" t="s">
        <v>4</v>
      </c>
      <c r="D1190" s="73" t="s">
        <v>3700</v>
      </c>
      <c r="E1190" s="74">
        <v>40949.264513888891</v>
      </c>
      <c r="F1190" s="74"/>
      <c r="G1190" s="75" t="str">
        <f>IF(stdProdLT(Main[[#This Row],[Comments]])=0.1,"N/A",IF(stdProdLT(Main[[#This Row],[Comments]])=0,"",stdProdLT(Main[[#This Row],[Comments]])))</f>
        <v/>
      </c>
      <c r="H1190" s="76" t="str">
        <f>IF(AND(Main[[#This Row],[In Stock Date]]&lt;&gt;"",Main[[#This Row],[Revised Due Date]]&lt;&gt;""),Main[[#This Row],[In Stock Date]]-Main[[#This Row],[Revised Due Date]],"")</f>
        <v/>
      </c>
      <c r="I1190" s="72" t="s">
        <v>69</v>
      </c>
      <c r="J1190" s="72" t="s">
        <v>70</v>
      </c>
      <c r="K1190" s="72" t="s">
        <v>1926</v>
      </c>
      <c r="L1190" s="74"/>
      <c r="M1190" s="77" t="str">
        <f>IF(Main[[#This Row],[Tech Start Date]]&lt;1/1/1990,"",IF(Main[[#This Row],[Class]]="C",WORKDAY(Main[[#This Row],[Tech Start Date]],9),IF(Main[[#This Row],[Class]]="B", WORKDAY(Main[[#This Row],[Tech Start Date]],6),IF(Main[[#This Row],[Class]]="A",WORKDAY(Main[[#This Row],[Tech Start Date]],2),""))))</f>
        <v/>
      </c>
      <c r="N1190" s="77" t="str">
        <f>IF(Main[[#This Row],[Tech Start Date]]&lt;1/1/1990,"",IF(Main[[#This Row],[Class]]="C",WORKDAY(Main[[#This Row],[Tech Start Date]],19),IF(Main[[#This Row],[Class]]="B", WORKDAY(Main[[#This Row],[Tech Start Date]],12),IF(Main[[#This Row],[Class]]="A",WORKDAY(Main[[#This Row],[Tech Start Date]],4),""))))</f>
        <v/>
      </c>
      <c r="O1190" s="77" t="str">
        <f>IF(Main[[#This Row],[Tech Start Date]]&lt;1/1/1990,"",IF(Main[[#This Row],[Class]]="C",WORKDAY(Main[[#This Row],[Tech Start Date]],23),IF(Main[[#This Row],[Class]]="B", WORKDAY(Main[[#This Row],[Tech Start Date]],15),IF(Main[[#This Row],[Class]]="A",WORKDAY(Main[[#This Row],[Tech Start Date]],5),""))))</f>
        <v/>
      </c>
      <c r="P1190" s="77" t="str">
        <f>IF(Main[[#This Row],[Tech Start Date]]&lt;1/1/1990,"",IF(Main[[#This Row],[Class]]="C",WORKDAY(Main[[#This Row],[Tech Start Date]],28),IF(Main[[#This Row],[Class]]="B", WORKDAY(Main[[#This Row],[Tech Start Date]],19),IF(Main[[#This Row],[Class]]="A",WORKDAY(Main[[#This Row],[Tech Start Date]],9),""))))</f>
        <v/>
      </c>
      <c r="Q1190" s="74">
        <v>40998</v>
      </c>
      <c r="R1190" s="74"/>
      <c r="S1190" s="72" t="s">
        <v>6</v>
      </c>
      <c r="T1190" s="80" t="s">
        <v>4</v>
      </c>
      <c r="U1190" s="72" t="s">
        <v>29</v>
      </c>
      <c r="V1190" s="72" t="s">
        <v>1920</v>
      </c>
      <c r="W1190" s="72" t="s">
        <v>1921</v>
      </c>
      <c r="X1190" s="72" t="s">
        <v>2828</v>
      </c>
      <c r="Y1190" s="72" t="s">
        <v>2944</v>
      </c>
      <c r="Z1190" s="72" t="s">
        <v>30</v>
      </c>
      <c r="AA1190" s="146" t="s">
        <v>2828</v>
      </c>
    </row>
    <row r="1191" spans="1:27" ht="18.600000000000001" customHeight="1">
      <c r="A1191" s="139" t="str">
        <f>IF(priority(Main[[#This Row],[Comments]])&lt;&gt;0, priority(Main[[#This Row],[Comments]]),"")</f>
        <v/>
      </c>
      <c r="B1191" s="89" t="s">
        <v>2058</v>
      </c>
      <c r="C1191" s="72" t="s">
        <v>4</v>
      </c>
      <c r="D1191" s="73" t="s">
        <v>2059</v>
      </c>
      <c r="E1191" s="74">
        <v>40757.464699074073</v>
      </c>
      <c r="F1191" s="74"/>
      <c r="G1191" s="75" t="str">
        <f>IF(stdProdLT(Main[[#This Row],[Comments]])=0.1,"N/A",IF(stdProdLT(Main[[#This Row],[Comments]])=0,"",stdProdLT(Main[[#This Row],[Comments]])))</f>
        <v/>
      </c>
      <c r="H1191" s="76" t="str">
        <f>IF(AND(Main[[#This Row],[In Stock Date]]&lt;&gt;"",Main[[#This Row],[Revised Due Date]]&lt;&gt;""),Main[[#This Row],[In Stock Date]]-Main[[#This Row],[Revised Due Date]],"")</f>
        <v/>
      </c>
      <c r="I1191" s="72" t="s">
        <v>4</v>
      </c>
      <c r="J1191" s="72" t="s">
        <v>4</v>
      </c>
      <c r="K1191" s="72" t="s">
        <v>4</v>
      </c>
      <c r="L1191" s="74"/>
      <c r="M1191" s="77" t="str">
        <f>IF(Main[[#This Row],[Tech Start Date]]&lt;1/1/1990,"",IF(Main[[#This Row],[Class]]="C",WORKDAY(Main[[#This Row],[Tech Start Date]],9),IF(Main[[#This Row],[Class]]="B", WORKDAY(Main[[#This Row],[Tech Start Date]],6),IF(Main[[#This Row],[Class]]="A",WORKDAY(Main[[#This Row],[Tech Start Date]],2),""))))</f>
        <v/>
      </c>
      <c r="N1191" s="77" t="str">
        <f>IF(Main[[#This Row],[Tech Start Date]]&lt;1/1/1990,"",IF(Main[[#This Row],[Class]]="C",WORKDAY(Main[[#This Row],[Tech Start Date]],19),IF(Main[[#This Row],[Class]]="B", WORKDAY(Main[[#This Row],[Tech Start Date]],12),IF(Main[[#This Row],[Class]]="A",WORKDAY(Main[[#This Row],[Tech Start Date]],4),""))))</f>
        <v/>
      </c>
      <c r="O1191" s="77" t="str">
        <f>IF(Main[[#This Row],[Tech Start Date]]&lt;1/1/1990,"",IF(Main[[#This Row],[Class]]="C",WORKDAY(Main[[#This Row],[Tech Start Date]],23),IF(Main[[#This Row],[Class]]="B", WORKDAY(Main[[#This Row],[Tech Start Date]],15),IF(Main[[#This Row],[Class]]="A",WORKDAY(Main[[#This Row],[Tech Start Date]],5),""))))</f>
        <v/>
      </c>
      <c r="P1191" s="77" t="str">
        <f>IF(Main[[#This Row],[Tech Start Date]]&lt;1/1/1990,"",IF(Main[[#This Row],[Class]]="C",WORKDAY(Main[[#This Row],[Tech Start Date]],28),IF(Main[[#This Row],[Class]]="B", WORKDAY(Main[[#This Row],[Tech Start Date]],19),IF(Main[[#This Row],[Class]]="A",WORKDAY(Main[[#This Row],[Tech Start Date]],9),""))))</f>
        <v/>
      </c>
      <c r="Q1191" s="74"/>
      <c r="R1191" s="74"/>
      <c r="S1191" s="72" t="s">
        <v>17</v>
      </c>
      <c r="T1191" s="80" t="s">
        <v>4</v>
      </c>
      <c r="U1191" s="72" t="s">
        <v>29</v>
      </c>
      <c r="V1191" s="72" t="s">
        <v>1920</v>
      </c>
      <c r="W1191" s="72" t="s">
        <v>4</v>
      </c>
      <c r="X1191" s="72" t="s">
        <v>654</v>
      </c>
      <c r="Y1191" s="72" t="s">
        <v>3132</v>
      </c>
      <c r="Z1191" s="72" t="s">
        <v>4</v>
      </c>
      <c r="AA1191" s="146" t="s">
        <v>654</v>
      </c>
    </row>
    <row r="1192" spans="1:27" ht="18.600000000000001" customHeight="1">
      <c r="A1192" s="139" t="str">
        <f>IF(priority(Main[[#This Row],[Comments]])&lt;&gt;0, priority(Main[[#This Row],[Comments]]),"")</f>
        <v/>
      </c>
      <c r="B1192" s="89" t="s">
        <v>2544</v>
      </c>
      <c r="C1192" s="72" t="s">
        <v>4</v>
      </c>
      <c r="D1192" s="73" t="s">
        <v>2545</v>
      </c>
      <c r="E1192" s="74"/>
      <c r="F1192" s="74"/>
      <c r="G1192" s="75" t="str">
        <f>IF(stdProdLT(Main[[#This Row],[Comments]])=0.1,"N/A",IF(stdProdLT(Main[[#This Row],[Comments]])=0,"",stdProdLT(Main[[#This Row],[Comments]])))</f>
        <v/>
      </c>
      <c r="H1192" s="76" t="str">
        <f>IF(AND(Main[[#This Row],[In Stock Date]]&lt;&gt;"",Main[[#This Row],[Revised Due Date]]&lt;&gt;""),Main[[#This Row],[In Stock Date]]-Main[[#This Row],[Revised Due Date]],"")</f>
        <v/>
      </c>
      <c r="I1192" s="72" t="s">
        <v>4</v>
      </c>
      <c r="J1192" s="72" t="s">
        <v>4</v>
      </c>
      <c r="K1192" s="72" t="s">
        <v>4</v>
      </c>
      <c r="L1192" s="74"/>
      <c r="M1192" s="77" t="str">
        <f>IF(Main[[#This Row],[Tech Start Date]]&lt;1/1/1990,"",IF(Main[[#This Row],[Class]]="C",WORKDAY(Main[[#This Row],[Tech Start Date]],9),IF(Main[[#This Row],[Class]]="B", WORKDAY(Main[[#This Row],[Tech Start Date]],6),IF(Main[[#This Row],[Class]]="A",WORKDAY(Main[[#This Row],[Tech Start Date]],2),""))))</f>
        <v/>
      </c>
      <c r="N1192" s="77" t="str">
        <f>IF(Main[[#This Row],[Tech Start Date]]&lt;1/1/1990,"",IF(Main[[#This Row],[Class]]="C",WORKDAY(Main[[#This Row],[Tech Start Date]],19),IF(Main[[#This Row],[Class]]="B", WORKDAY(Main[[#This Row],[Tech Start Date]],12),IF(Main[[#This Row],[Class]]="A",WORKDAY(Main[[#This Row],[Tech Start Date]],4),""))))</f>
        <v/>
      </c>
      <c r="O1192" s="77" t="str">
        <f>IF(Main[[#This Row],[Tech Start Date]]&lt;1/1/1990,"",IF(Main[[#This Row],[Class]]="C",WORKDAY(Main[[#This Row],[Tech Start Date]],23),IF(Main[[#This Row],[Class]]="B", WORKDAY(Main[[#This Row],[Tech Start Date]],15),IF(Main[[#This Row],[Class]]="A",WORKDAY(Main[[#This Row],[Tech Start Date]],5),""))))</f>
        <v/>
      </c>
      <c r="P1192" s="77" t="str">
        <f>IF(Main[[#This Row],[Tech Start Date]]&lt;1/1/1990,"",IF(Main[[#This Row],[Class]]="C",WORKDAY(Main[[#This Row],[Tech Start Date]],28),IF(Main[[#This Row],[Class]]="B", WORKDAY(Main[[#This Row],[Tech Start Date]],19),IF(Main[[#This Row],[Class]]="A",WORKDAY(Main[[#This Row],[Tech Start Date]],9),""))))</f>
        <v/>
      </c>
      <c r="Q1192" s="74"/>
      <c r="R1192" s="74"/>
      <c r="S1192" s="72" t="s">
        <v>6</v>
      </c>
      <c r="T1192" s="80" t="s">
        <v>4</v>
      </c>
      <c r="U1192" s="72" t="s">
        <v>14</v>
      </c>
      <c r="V1192" s="72" t="s">
        <v>1927</v>
      </c>
      <c r="W1192" s="72" t="s">
        <v>1921</v>
      </c>
      <c r="X1192" s="72" t="s">
        <v>102</v>
      </c>
      <c r="Y1192" s="72" t="s">
        <v>3135</v>
      </c>
      <c r="Z1192" s="72" t="s">
        <v>4</v>
      </c>
      <c r="AA1192" s="146" t="s">
        <v>3435</v>
      </c>
    </row>
    <row r="1193" spans="1:27" ht="18.600000000000001" customHeight="1">
      <c r="A1193" s="139" t="str">
        <f>IF(priority(Main[[#This Row],[Comments]])&lt;&gt;0, priority(Main[[#This Row],[Comments]]),"")</f>
        <v/>
      </c>
      <c r="B1193" s="89" t="s">
        <v>1738</v>
      </c>
      <c r="C1193" s="72" t="s">
        <v>4</v>
      </c>
      <c r="D1193" s="73" t="s">
        <v>3286</v>
      </c>
      <c r="E1193" s="74">
        <v>40540.606365740743</v>
      </c>
      <c r="F1193" s="74"/>
      <c r="G1193" s="75" t="str">
        <f>IF(stdProdLT(Main[[#This Row],[Comments]])=0.1,"N/A",IF(stdProdLT(Main[[#This Row],[Comments]])=0,"",stdProdLT(Main[[#This Row],[Comments]])))</f>
        <v/>
      </c>
      <c r="H1193" s="76" t="str">
        <f>IF(AND(Main[[#This Row],[In Stock Date]]&lt;&gt;"",Main[[#This Row],[Revised Due Date]]&lt;&gt;""),Main[[#This Row],[In Stock Date]]-Main[[#This Row],[Revised Due Date]],"")</f>
        <v/>
      </c>
      <c r="I1193" s="72" t="s">
        <v>1979</v>
      </c>
      <c r="J1193" s="72" t="s">
        <v>28</v>
      </c>
      <c r="K1193" s="72" t="s">
        <v>1929</v>
      </c>
      <c r="L1193" s="74"/>
      <c r="M1193" s="77" t="str">
        <f>IF(Main[[#This Row],[Tech Start Date]]&lt;1/1/1990,"",IF(Main[[#This Row],[Class]]="C",WORKDAY(Main[[#This Row],[Tech Start Date]],9),IF(Main[[#This Row],[Class]]="B", WORKDAY(Main[[#This Row],[Tech Start Date]],6),IF(Main[[#This Row],[Class]]="A",WORKDAY(Main[[#This Row],[Tech Start Date]],2),""))))</f>
        <v/>
      </c>
      <c r="N1193" s="77" t="str">
        <f>IF(Main[[#This Row],[Tech Start Date]]&lt;1/1/1990,"",IF(Main[[#This Row],[Class]]="C",WORKDAY(Main[[#This Row],[Tech Start Date]],19),IF(Main[[#This Row],[Class]]="B", WORKDAY(Main[[#This Row],[Tech Start Date]],12),IF(Main[[#This Row],[Class]]="A",WORKDAY(Main[[#This Row],[Tech Start Date]],4),""))))</f>
        <v/>
      </c>
      <c r="O1193" s="77" t="str">
        <f>IF(Main[[#This Row],[Tech Start Date]]&lt;1/1/1990,"",IF(Main[[#This Row],[Class]]="C",WORKDAY(Main[[#This Row],[Tech Start Date]],23),IF(Main[[#This Row],[Class]]="B", WORKDAY(Main[[#This Row],[Tech Start Date]],15),IF(Main[[#This Row],[Class]]="A",WORKDAY(Main[[#This Row],[Tech Start Date]],5),""))))</f>
        <v/>
      </c>
      <c r="P1193" s="77" t="str">
        <f>IF(Main[[#This Row],[Tech Start Date]]&lt;1/1/1990,"",IF(Main[[#This Row],[Class]]="C",WORKDAY(Main[[#This Row],[Tech Start Date]],28),IF(Main[[#This Row],[Class]]="B", WORKDAY(Main[[#This Row],[Tech Start Date]],19),IF(Main[[#This Row],[Class]]="A",WORKDAY(Main[[#This Row],[Tech Start Date]],9),""))))</f>
        <v/>
      </c>
      <c r="Q1193" s="74"/>
      <c r="R1193" s="74">
        <v>40875</v>
      </c>
      <c r="S1193" s="72" t="s">
        <v>17</v>
      </c>
      <c r="T1193" s="80" t="s">
        <v>4</v>
      </c>
      <c r="U1193" s="72" t="s">
        <v>29</v>
      </c>
      <c r="V1193" s="72" t="s">
        <v>1920</v>
      </c>
      <c r="W1193" s="72" t="s">
        <v>1922</v>
      </c>
      <c r="X1193" s="72" t="s">
        <v>554</v>
      </c>
      <c r="Y1193" s="72" t="s">
        <v>2958</v>
      </c>
      <c r="Z1193" s="72" t="s">
        <v>654</v>
      </c>
      <c r="AA1193" s="146" t="s">
        <v>554</v>
      </c>
    </row>
    <row r="1194" spans="1:27" ht="18.600000000000001" customHeight="1">
      <c r="A1194" s="139" t="str">
        <f>IF(priority(Main[[#This Row],[Comments]])&lt;&gt;0, priority(Main[[#This Row],[Comments]]),"")</f>
        <v/>
      </c>
      <c r="B1194" s="89" t="s">
        <v>1298</v>
      </c>
      <c r="C1194" s="72" t="s">
        <v>4</v>
      </c>
      <c r="D1194" s="73" t="s">
        <v>369</v>
      </c>
      <c r="E1194" s="74">
        <v>40610.689421296294</v>
      </c>
      <c r="F1194" s="74"/>
      <c r="G1194" s="75" t="str">
        <f>IF(stdProdLT(Main[[#This Row],[Comments]])=0.1,"N/A",IF(stdProdLT(Main[[#This Row],[Comments]])=0,"",stdProdLT(Main[[#This Row],[Comments]])))</f>
        <v/>
      </c>
      <c r="H1194" s="76" t="str">
        <f>IF(AND(Main[[#This Row],[In Stock Date]]&lt;&gt;"",Main[[#This Row],[Revised Due Date]]&lt;&gt;""),Main[[#This Row],[In Stock Date]]-Main[[#This Row],[Revised Due Date]],"")</f>
        <v/>
      </c>
      <c r="I1194" s="72" t="s">
        <v>239</v>
      </c>
      <c r="J1194" s="72" t="s">
        <v>28</v>
      </c>
      <c r="K1194" s="72" t="s">
        <v>1926</v>
      </c>
      <c r="L1194" s="74"/>
      <c r="M1194" s="77" t="str">
        <f>IF(Main[[#This Row],[Tech Start Date]]&lt;1/1/1990,"",IF(Main[[#This Row],[Class]]="C",WORKDAY(Main[[#This Row],[Tech Start Date]],9),IF(Main[[#This Row],[Class]]="B", WORKDAY(Main[[#This Row],[Tech Start Date]],6),IF(Main[[#This Row],[Class]]="A",WORKDAY(Main[[#This Row],[Tech Start Date]],2),""))))</f>
        <v/>
      </c>
      <c r="N1194" s="77" t="str">
        <f>IF(Main[[#This Row],[Tech Start Date]]&lt;1/1/1990,"",IF(Main[[#This Row],[Class]]="C",WORKDAY(Main[[#This Row],[Tech Start Date]],19),IF(Main[[#This Row],[Class]]="B", WORKDAY(Main[[#This Row],[Tech Start Date]],12),IF(Main[[#This Row],[Class]]="A",WORKDAY(Main[[#This Row],[Tech Start Date]],4),""))))</f>
        <v/>
      </c>
      <c r="O1194" s="77" t="str">
        <f>IF(Main[[#This Row],[Tech Start Date]]&lt;1/1/1990,"",IF(Main[[#This Row],[Class]]="C",WORKDAY(Main[[#This Row],[Tech Start Date]],23),IF(Main[[#This Row],[Class]]="B", WORKDAY(Main[[#This Row],[Tech Start Date]],15),IF(Main[[#This Row],[Class]]="A",WORKDAY(Main[[#This Row],[Tech Start Date]],5),""))))</f>
        <v/>
      </c>
      <c r="P1194" s="77" t="str">
        <f>IF(Main[[#This Row],[Tech Start Date]]&lt;1/1/1990,"",IF(Main[[#This Row],[Class]]="C",WORKDAY(Main[[#This Row],[Tech Start Date]],28),IF(Main[[#This Row],[Class]]="B", WORKDAY(Main[[#This Row],[Tech Start Date]],19),IF(Main[[#This Row],[Class]]="A",WORKDAY(Main[[#This Row],[Tech Start Date]],9),""))))</f>
        <v/>
      </c>
      <c r="Q1194" s="74">
        <v>40695</v>
      </c>
      <c r="R1194" s="74"/>
      <c r="S1194" s="72" t="s">
        <v>6</v>
      </c>
      <c r="T1194" s="80" t="s">
        <v>4</v>
      </c>
      <c r="U1194" s="72" t="s">
        <v>29</v>
      </c>
      <c r="V1194" s="72" t="s">
        <v>1920</v>
      </c>
      <c r="W1194" s="72" t="s">
        <v>1919</v>
      </c>
      <c r="X1194" s="72" t="s">
        <v>554</v>
      </c>
      <c r="Y1194" s="72" t="s">
        <v>2958</v>
      </c>
      <c r="Z1194" s="72" t="s">
        <v>306</v>
      </c>
      <c r="AA1194" s="146" t="s">
        <v>554</v>
      </c>
    </row>
    <row r="1195" spans="1:27" ht="18.600000000000001" customHeight="1">
      <c r="A1195" s="139" t="str">
        <f>IF(priority(Main[[#This Row],[Comments]])&lt;&gt;0, priority(Main[[#This Row],[Comments]]),"")</f>
        <v/>
      </c>
      <c r="B1195" s="89" t="s">
        <v>2551</v>
      </c>
      <c r="C1195" s="72" t="s">
        <v>2552</v>
      </c>
      <c r="D1195" s="73" t="s">
        <v>2553</v>
      </c>
      <c r="E1195" s="74"/>
      <c r="F1195" s="74"/>
      <c r="G1195" s="75" t="str">
        <f>IF(stdProdLT(Main[[#This Row],[Comments]])=0.1,"N/A",IF(stdProdLT(Main[[#This Row],[Comments]])=0,"",stdProdLT(Main[[#This Row],[Comments]])))</f>
        <v/>
      </c>
      <c r="H1195" s="76" t="str">
        <f>IF(AND(Main[[#This Row],[In Stock Date]]&lt;&gt;"",Main[[#This Row],[Revised Due Date]]&lt;&gt;""),Main[[#This Row],[In Stock Date]]-Main[[#This Row],[Revised Due Date]],"")</f>
        <v/>
      </c>
      <c r="I1195" s="72" t="s">
        <v>4</v>
      </c>
      <c r="J1195" s="72" t="s">
        <v>4</v>
      </c>
      <c r="K1195" s="72" t="s">
        <v>4</v>
      </c>
      <c r="L1195" s="74"/>
      <c r="M1195" s="77" t="str">
        <f>IF(Main[[#This Row],[Tech Start Date]]&lt;1/1/1990,"",IF(Main[[#This Row],[Class]]="C",WORKDAY(Main[[#This Row],[Tech Start Date]],9),IF(Main[[#This Row],[Class]]="B", WORKDAY(Main[[#This Row],[Tech Start Date]],6),IF(Main[[#This Row],[Class]]="A",WORKDAY(Main[[#This Row],[Tech Start Date]],2),""))))</f>
        <v/>
      </c>
      <c r="N1195" s="77" t="str">
        <f>IF(Main[[#This Row],[Tech Start Date]]&lt;1/1/1990,"",IF(Main[[#This Row],[Class]]="C",WORKDAY(Main[[#This Row],[Tech Start Date]],19),IF(Main[[#This Row],[Class]]="B", WORKDAY(Main[[#This Row],[Tech Start Date]],12),IF(Main[[#This Row],[Class]]="A",WORKDAY(Main[[#This Row],[Tech Start Date]],4),""))))</f>
        <v/>
      </c>
      <c r="O1195" s="77" t="str">
        <f>IF(Main[[#This Row],[Tech Start Date]]&lt;1/1/1990,"",IF(Main[[#This Row],[Class]]="C",WORKDAY(Main[[#This Row],[Tech Start Date]],23),IF(Main[[#This Row],[Class]]="B", WORKDAY(Main[[#This Row],[Tech Start Date]],15),IF(Main[[#This Row],[Class]]="A",WORKDAY(Main[[#This Row],[Tech Start Date]],5),""))))</f>
        <v/>
      </c>
      <c r="P1195" s="77" t="str">
        <f>IF(Main[[#This Row],[Tech Start Date]]&lt;1/1/1990,"",IF(Main[[#This Row],[Class]]="C",WORKDAY(Main[[#This Row],[Tech Start Date]],28),IF(Main[[#This Row],[Class]]="B", WORKDAY(Main[[#This Row],[Tech Start Date]],19),IF(Main[[#This Row],[Class]]="A",WORKDAY(Main[[#This Row],[Tech Start Date]],9),""))))</f>
        <v/>
      </c>
      <c r="Q1195" s="74"/>
      <c r="R1195" s="74"/>
      <c r="S1195" s="72" t="s">
        <v>11</v>
      </c>
      <c r="T1195" s="80" t="s">
        <v>4</v>
      </c>
      <c r="U1195" s="72" t="s">
        <v>14</v>
      </c>
      <c r="V1195" s="72" t="s">
        <v>1918</v>
      </c>
      <c r="W1195" s="72" t="s">
        <v>1919</v>
      </c>
      <c r="X1195" s="72" t="s">
        <v>2822</v>
      </c>
      <c r="Y1195" s="72" t="s">
        <v>2999</v>
      </c>
      <c r="Z1195" s="72" t="s">
        <v>4</v>
      </c>
      <c r="AA1195" s="146" t="s">
        <v>3474</v>
      </c>
    </row>
    <row r="1196" spans="1:27" ht="18.600000000000001" customHeight="1">
      <c r="A1196" s="139" t="str">
        <f>IF(priority(Main[[#This Row],[Comments]])&lt;&gt;0, priority(Main[[#This Row],[Comments]]),"")</f>
        <v/>
      </c>
      <c r="B1196" s="89" t="s">
        <v>1323</v>
      </c>
      <c r="C1196" s="72" t="s">
        <v>4</v>
      </c>
      <c r="D1196" s="73" t="s">
        <v>3701</v>
      </c>
      <c r="E1196" s="74">
        <v>40585.595960648148</v>
      </c>
      <c r="F1196" s="74"/>
      <c r="G1196" s="75" t="str">
        <f>IF(stdProdLT(Main[[#This Row],[Comments]])=0.1,"N/A",IF(stdProdLT(Main[[#This Row],[Comments]])=0,"",stdProdLT(Main[[#This Row],[Comments]])))</f>
        <v/>
      </c>
      <c r="H1196" s="76" t="str">
        <f>IF(AND(Main[[#This Row],[In Stock Date]]&lt;&gt;"",Main[[#This Row],[Revised Due Date]]&lt;&gt;""),Main[[#This Row],[In Stock Date]]-Main[[#This Row],[Revised Due Date]],"")</f>
        <v/>
      </c>
      <c r="I1196" s="72" t="s">
        <v>74</v>
      </c>
      <c r="J1196" s="72" t="s">
        <v>4</v>
      </c>
      <c r="K1196" s="72" t="s">
        <v>4</v>
      </c>
      <c r="L1196" s="74"/>
      <c r="M1196" s="77" t="str">
        <f>IF(Main[[#This Row],[Tech Start Date]]&lt;1/1/1990,"",IF(Main[[#This Row],[Class]]="C",WORKDAY(Main[[#This Row],[Tech Start Date]],9),IF(Main[[#This Row],[Class]]="B", WORKDAY(Main[[#This Row],[Tech Start Date]],6),IF(Main[[#This Row],[Class]]="A",WORKDAY(Main[[#This Row],[Tech Start Date]],2),""))))</f>
        <v/>
      </c>
      <c r="N1196" s="77" t="str">
        <f>IF(Main[[#This Row],[Tech Start Date]]&lt;1/1/1990,"",IF(Main[[#This Row],[Class]]="C",WORKDAY(Main[[#This Row],[Tech Start Date]],19),IF(Main[[#This Row],[Class]]="B", WORKDAY(Main[[#This Row],[Tech Start Date]],12),IF(Main[[#This Row],[Class]]="A",WORKDAY(Main[[#This Row],[Tech Start Date]],4),""))))</f>
        <v/>
      </c>
      <c r="O1196" s="77" t="str">
        <f>IF(Main[[#This Row],[Tech Start Date]]&lt;1/1/1990,"",IF(Main[[#This Row],[Class]]="C",WORKDAY(Main[[#This Row],[Tech Start Date]],23),IF(Main[[#This Row],[Class]]="B", WORKDAY(Main[[#This Row],[Tech Start Date]],15),IF(Main[[#This Row],[Class]]="A",WORKDAY(Main[[#This Row],[Tech Start Date]],5),""))))</f>
        <v/>
      </c>
      <c r="P1196" s="77" t="str">
        <f>IF(Main[[#This Row],[Tech Start Date]]&lt;1/1/1990,"",IF(Main[[#This Row],[Class]]="C",WORKDAY(Main[[#This Row],[Tech Start Date]],28),IF(Main[[#This Row],[Class]]="B", WORKDAY(Main[[#This Row],[Tech Start Date]],19),IF(Main[[#This Row],[Class]]="A",WORKDAY(Main[[#This Row],[Tech Start Date]],9),""))))</f>
        <v/>
      </c>
      <c r="Q1196" s="74">
        <v>40592</v>
      </c>
      <c r="R1196" s="74"/>
      <c r="S1196" s="72" t="s">
        <v>6</v>
      </c>
      <c r="T1196" s="80" t="s">
        <v>4</v>
      </c>
      <c r="U1196" s="72" t="s">
        <v>29</v>
      </c>
      <c r="V1196" s="72" t="s">
        <v>1920</v>
      </c>
      <c r="W1196" s="72" t="s">
        <v>1921</v>
      </c>
      <c r="X1196" s="72" t="s">
        <v>74</v>
      </c>
      <c r="Y1196" s="72" t="s">
        <v>3037</v>
      </c>
      <c r="Z1196" s="72" t="s">
        <v>415</v>
      </c>
      <c r="AA1196" s="146" t="s">
        <v>74</v>
      </c>
    </row>
    <row r="1197" spans="1:27" ht="18.600000000000001" customHeight="1">
      <c r="A1197" s="139" t="str">
        <f>IF(priority(Main[[#This Row],[Comments]])&lt;&gt;0, priority(Main[[#This Row],[Comments]]),"")</f>
        <v/>
      </c>
      <c r="B1197" s="89" t="s">
        <v>2338</v>
      </c>
      <c r="C1197" s="72" t="s">
        <v>4</v>
      </c>
      <c r="D1197" s="73" t="s">
        <v>2339</v>
      </c>
      <c r="E1197" s="74"/>
      <c r="F1197" s="74"/>
      <c r="G1197" s="75" t="str">
        <f>IF(stdProdLT(Main[[#This Row],[Comments]])=0.1,"N/A",IF(stdProdLT(Main[[#This Row],[Comments]])=0,"",stdProdLT(Main[[#This Row],[Comments]])))</f>
        <v/>
      </c>
      <c r="H1197" s="76" t="str">
        <f>IF(AND(Main[[#This Row],[In Stock Date]]&lt;&gt;"",Main[[#This Row],[Revised Due Date]]&lt;&gt;""),Main[[#This Row],[In Stock Date]]-Main[[#This Row],[Revised Due Date]],"")</f>
        <v/>
      </c>
      <c r="I1197" s="72" t="s">
        <v>4</v>
      </c>
      <c r="J1197" s="72" t="s">
        <v>4</v>
      </c>
      <c r="K1197" s="72" t="s">
        <v>4</v>
      </c>
      <c r="L1197" s="74"/>
      <c r="M1197" s="77" t="str">
        <f>IF(Main[[#This Row],[Tech Start Date]]&lt;1/1/1990,"",IF(Main[[#This Row],[Class]]="C",WORKDAY(Main[[#This Row],[Tech Start Date]],9),IF(Main[[#This Row],[Class]]="B", WORKDAY(Main[[#This Row],[Tech Start Date]],6),IF(Main[[#This Row],[Class]]="A",WORKDAY(Main[[#This Row],[Tech Start Date]],2),""))))</f>
        <v/>
      </c>
      <c r="N1197" s="77" t="str">
        <f>IF(Main[[#This Row],[Tech Start Date]]&lt;1/1/1990,"",IF(Main[[#This Row],[Class]]="C",WORKDAY(Main[[#This Row],[Tech Start Date]],19),IF(Main[[#This Row],[Class]]="B", WORKDAY(Main[[#This Row],[Tech Start Date]],12),IF(Main[[#This Row],[Class]]="A",WORKDAY(Main[[#This Row],[Tech Start Date]],4),""))))</f>
        <v/>
      </c>
      <c r="O1197" s="77" t="str">
        <f>IF(Main[[#This Row],[Tech Start Date]]&lt;1/1/1990,"",IF(Main[[#This Row],[Class]]="C",WORKDAY(Main[[#This Row],[Tech Start Date]],23),IF(Main[[#This Row],[Class]]="B", WORKDAY(Main[[#This Row],[Tech Start Date]],15),IF(Main[[#This Row],[Class]]="A",WORKDAY(Main[[#This Row],[Tech Start Date]],5),""))))</f>
        <v/>
      </c>
      <c r="P1197" s="77" t="str">
        <f>IF(Main[[#This Row],[Tech Start Date]]&lt;1/1/1990,"",IF(Main[[#This Row],[Class]]="C",WORKDAY(Main[[#This Row],[Tech Start Date]],28),IF(Main[[#This Row],[Class]]="B", WORKDAY(Main[[#This Row],[Tech Start Date]],19),IF(Main[[#This Row],[Class]]="A",WORKDAY(Main[[#This Row],[Tech Start Date]],9),""))))</f>
        <v/>
      </c>
      <c r="Q1197" s="74"/>
      <c r="R1197" s="74"/>
      <c r="S1197" s="72" t="s">
        <v>11</v>
      </c>
      <c r="T1197" s="80" t="s">
        <v>4</v>
      </c>
      <c r="U1197" s="72" t="s">
        <v>14</v>
      </c>
      <c r="V1197" s="72" t="s">
        <v>1917</v>
      </c>
      <c r="W1197" s="72" t="s">
        <v>1925</v>
      </c>
      <c r="X1197" s="72" t="s">
        <v>306</v>
      </c>
      <c r="Y1197" s="72" t="s">
        <v>2947</v>
      </c>
      <c r="Z1197" s="72" t="s">
        <v>4</v>
      </c>
      <c r="AA1197" s="146" t="s">
        <v>306</v>
      </c>
    </row>
    <row r="1198" spans="1:27" ht="18.600000000000001" customHeight="1">
      <c r="A1198" s="139" t="str">
        <f>IF(priority(Main[[#This Row],[Comments]])&lt;&gt;0, priority(Main[[#This Row],[Comments]]),"")</f>
        <v/>
      </c>
      <c r="B1198" s="89" t="s">
        <v>2554</v>
      </c>
      <c r="C1198" s="72" t="s">
        <v>4</v>
      </c>
      <c r="D1198" s="73" t="s">
        <v>2775</v>
      </c>
      <c r="E1198" s="74">
        <v>40870.465879629628</v>
      </c>
      <c r="F1198" s="74"/>
      <c r="G1198" s="75" t="str">
        <f>IF(stdProdLT(Main[[#This Row],[Comments]])=0.1,"N/A",IF(stdProdLT(Main[[#This Row],[Comments]])=0,"",stdProdLT(Main[[#This Row],[Comments]])))</f>
        <v/>
      </c>
      <c r="H1198" s="76" t="str">
        <f>IF(AND(Main[[#This Row],[In Stock Date]]&lt;&gt;"",Main[[#This Row],[Revised Due Date]]&lt;&gt;""),Main[[#This Row],[In Stock Date]]-Main[[#This Row],[Revised Due Date]],"")</f>
        <v/>
      </c>
      <c r="I1198" s="72" t="s">
        <v>429</v>
      </c>
      <c r="J1198" s="72" t="s">
        <v>28</v>
      </c>
      <c r="K1198" s="72" t="s">
        <v>1926</v>
      </c>
      <c r="L1198" s="74"/>
      <c r="M1198" s="77" t="str">
        <f>IF(Main[[#This Row],[Tech Start Date]]&lt;1/1/1990,"",IF(Main[[#This Row],[Class]]="C",WORKDAY(Main[[#This Row],[Tech Start Date]],9),IF(Main[[#This Row],[Class]]="B", WORKDAY(Main[[#This Row],[Tech Start Date]],6),IF(Main[[#This Row],[Class]]="A",WORKDAY(Main[[#This Row],[Tech Start Date]],2),""))))</f>
        <v/>
      </c>
      <c r="N1198" s="77" t="str">
        <f>IF(Main[[#This Row],[Tech Start Date]]&lt;1/1/1990,"",IF(Main[[#This Row],[Class]]="C",WORKDAY(Main[[#This Row],[Tech Start Date]],19),IF(Main[[#This Row],[Class]]="B", WORKDAY(Main[[#This Row],[Tech Start Date]],12),IF(Main[[#This Row],[Class]]="A",WORKDAY(Main[[#This Row],[Tech Start Date]],4),""))))</f>
        <v/>
      </c>
      <c r="O1198" s="77" t="str">
        <f>IF(Main[[#This Row],[Tech Start Date]]&lt;1/1/1990,"",IF(Main[[#This Row],[Class]]="C",WORKDAY(Main[[#This Row],[Tech Start Date]],23),IF(Main[[#This Row],[Class]]="B", WORKDAY(Main[[#This Row],[Tech Start Date]],15),IF(Main[[#This Row],[Class]]="A",WORKDAY(Main[[#This Row],[Tech Start Date]],5),""))))</f>
        <v/>
      </c>
      <c r="P1198" s="77" t="str">
        <f>IF(Main[[#This Row],[Tech Start Date]]&lt;1/1/1990,"",IF(Main[[#This Row],[Class]]="C",WORKDAY(Main[[#This Row],[Tech Start Date]],28),IF(Main[[#This Row],[Class]]="B", WORKDAY(Main[[#This Row],[Tech Start Date]],19),IF(Main[[#This Row],[Class]]="A",WORKDAY(Main[[#This Row],[Tech Start Date]],9),""))))</f>
        <v/>
      </c>
      <c r="Q1198" s="74">
        <v>40905</v>
      </c>
      <c r="R1198" s="74"/>
      <c r="S1198" s="72" t="s">
        <v>6</v>
      </c>
      <c r="T1198" s="80" t="s">
        <v>4</v>
      </c>
      <c r="U1198" s="72" t="s">
        <v>29</v>
      </c>
      <c r="V1198" s="72" t="s">
        <v>1920</v>
      </c>
      <c r="W1198" s="72" t="s">
        <v>1921</v>
      </c>
      <c r="X1198" s="72" t="s">
        <v>2054</v>
      </c>
      <c r="Y1198" s="72" t="s">
        <v>3066</v>
      </c>
      <c r="Z1198" s="72" t="s">
        <v>30</v>
      </c>
      <c r="AA1198" s="146" t="s">
        <v>2901</v>
      </c>
    </row>
    <row r="1199" spans="1:27" ht="18.600000000000001" customHeight="1">
      <c r="A1199" s="139" t="str">
        <f>IF(priority(Main[[#This Row],[Comments]])&lt;&gt;0, priority(Main[[#This Row],[Comments]]),"")</f>
        <v/>
      </c>
      <c r="B1199" s="89" t="s">
        <v>2520</v>
      </c>
      <c r="C1199" s="72" t="s">
        <v>4</v>
      </c>
      <c r="D1199" s="73" t="s">
        <v>2776</v>
      </c>
      <c r="E1199" s="74">
        <v>40870.466527777775</v>
      </c>
      <c r="F1199" s="74"/>
      <c r="G1199" s="75" t="str">
        <f>IF(stdProdLT(Main[[#This Row],[Comments]])=0.1,"N/A",IF(stdProdLT(Main[[#This Row],[Comments]])=0,"",stdProdLT(Main[[#This Row],[Comments]])))</f>
        <v/>
      </c>
      <c r="H1199" s="76" t="str">
        <f>IF(AND(Main[[#This Row],[In Stock Date]]&lt;&gt;"",Main[[#This Row],[Revised Due Date]]&lt;&gt;""),Main[[#This Row],[In Stock Date]]-Main[[#This Row],[Revised Due Date]],"")</f>
        <v/>
      </c>
      <c r="I1199" s="72" t="s">
        <v>429</v>
      </c>
      <c r="J1199" s="72" t="s">
        <v>28</v>
      </c>
      <c r="K1199" s="72" t="s">
        <v>1926</v>
      </c>
      <c r="L1199" s="74"/>
      <c r="M1199" s="77" t="str">
        <f>IF(Main[[#This Row],[Tech Start Date]]&lt;1/1/1990,"",IF(Main[[#This Row],[Class]]="C",WORKDAY(Main[[#This Row],[Tech Start Date]],9),IF(Main[[#This Row],[Class]]="B", WORKDAY(Main[[#This Row],[Tech Start Date]],6),IF(Main[[#This Row],[Class]]="A",WORKDAY(Main[[#This Row],[Tech Start Date]],2),""))))</f>
        <v/>
      </c>
      <c r="N1199" s="77" t="str">
        <f>IF(Main[[#This Row],[Tech Start Date]]&lt;1/1/1990,"",IF(Main[[#This Row],[Class]]="C",WORKDAY(Main[[#This Row],[Tech Start Date]],19),IF(Main[[#This Row],[Class]]="B", WORKDAY(Main[[#This Row],[Tech Start Date]],12),IF(Main[[#This Row],[Class]]="A",WORKDAY(Main[[#This Row],[Tech Start Date]],4),""))))</f>
        <v/>
      </c>
      <c r="O1199" s="77" t="str">
        <f>IF(Main[[#This Row],[Tech Start Date]]&lt;1/1/1990,"",IF(Main[[#This Row],[Class]]="C",WORKDAY(Main[[#This Row],[Tech Start Date]],23),IF(Main[[#This Row],[Class]]="B", WORKDAY(Main[[#This Row],[Tech Start Date]],15),IF(Main[[#This Row],[Class]]="A",WORKDAY(Main[[#This Row],[Tech Start Date]],5),""))))</f>
        <v/>
      </c>
      <c r="P1199" s="77" t="str">
        <f>IF(Main[[#This Row],[Tech Start Date]]&lt;1/1/1990,"",IF(Main[[#This Row],[Class]]="C",WORKDAY(Main[[#This Row],[Tech Start Date]],28),IF(Main[[#This Row],[Class]]="B", WORKDAY(Main[[#This Row],[Tech Start Date]],19),IF(Main[[#This Row],[Class]]="A",WORKDAY(Main[[#This Row],[Tech Start Date]],9),""))))</f>
        <v/>
      </c>
      <c r="Q1199" s="74">
        <v>40905</v>
      </c>
      <c r="R1199" s="74"/>
      <c r="S1199" s="72" t="s">
        <v>6</v>
      </c>
      <c r="T1199" s="80" t="s">
        <v>4</v>
      </c>
      <c r="U1199" s="72" t="s">
        <v>29</v>
      </c>
      <c r="V1199" s="72" t="s">
        <v>1920</v>
      </c>
      <c r="W1199" s="72" t="s">
        <v>1921</v>
      </c>
      <c r="X1199" s="72" t="s">
        <v>2054</v>
      </c>
      <c r="Y1199" s="72" t="s">
        <v>3066</v>
      </c>
      <c r="Z1199" s="72" t="s">
        <v>30</v>
      </c>
      <c r="AA1199" s="146" t="s">
        <v>2901</v>
      </c>
    </row>
    <row r="1200" spans="1:27" ht="18.600000000000001" customHeight="1">
      <c r="A1200" s="139" t="str">
        <f>IF(priority(Main[[#This Row],[Comments]])&lt;&gt;0, priority(Main[[#This Row],[Comments]]),"")</f>
        <v/>
      </c>
      <c r="B1200" s="89" t="s">
        <v>3702</v>
      </c>
      <c r="C1200" s="72" t="s">
        <v>4</v>
      </c>
      <c r="D1200" s="73" t="s">
        <v>3703</v>
      </c>
      <c r="E1200" s="74">
        <v>40962.337222222224</v>
      </c>
      <c r="F1200" s="74"/>
      <c r="G1200" s="75" t="str">
        <f>IF(stdProdLT(Main[[#This Row],[Comments]])=0.1,"N/A",IF(stdProdLT(Main[[#This Row],[Comments]])=0,"",stdProdLT(Main[[#This Row],[Comments]])))</f>
        <v/>
      </c>
      <c r="H1200" s="76" t="str">
        <f>IF(AND(Main[[#This Row],[In Stock Date]]&lt;&gt;"",Main[[#This Row],[Revised Due Date]]&lt;&gt;""),Main[[#This Row],[In Stock Date]]-Main[[#This Row],[Revised Due Date]],"")</f>
        <v/>
      </c>
      <c r="I1200" s="72" t="s">
        <v>4</v>
      </c>
      <c r="J1200" s="72" t="s">
        <v>4</v>
      </c>
      <c r="K1200" s="72" t="s">
        <v>4</v>
      </c>
      <c r="L1200" s="74"/>
      <c r="M1200" s="77" t="str">
        <f>IF(Main[[#This Row],[Tech Start Date]]&lt;1/1/1990,"",IF(Main[[#This Row],[Class]]="C",WORKDAY(Main[[#This Row],[Tech Start Date]],9),IF(Main[[#This Row],[Class]]="B", WORKDAY(Main[[#This Row],[Tech Start Date]],6),IF(Main[[#This Row],[Class]]="A",WORKDAY(Main[[#This Row],[Tech Start Date]],2),""))))</f>
        <v/>
      </c>
      <c r="N1200" s="77" t="str">
        <f>IF(Main[[#This Row],[Tech Start Date]]&lt;1/1/1990,"",IF(Main[[#This Row],[Class]]="C",WORKDAY(Main[[#This Row],[Tech Start Date]],19),IF(Main[[#This Row],[Class]]="B", WORKDAY(Main[[#This Row],[Tech Start Date]],12),IF(Main[[#This Row],[Class]]="A",WORKDAY(Main[[#This Row],[Tech Start Date]],4),""))))</f>
        <v/>
      </c>
      <c r="O1200" s="77" t="str">
        <f>IF(Main[[#This Row],[Tech Start Date]]&lt;1/1/1990,"",IF(Main[[#This Row],[Class]]="C",WORKDAY(Main[[#This Row],[Tech Start Date]],23),IF(Main[[#This Row],[Class]]="B", WORKDAY(Main[[#This Row],[Tech Start Date]],15),IF(Main[[#This Row],[Class]]="A",WORKDAY(Main[[#This Row],[Tech Start Date]],5),""))))</f>
        <v/>
      </c>
      <c r="P1200" s="77" t="str">
        <f>IF(Main[[#This Row],[Tech Start Date]]&lt;1/1/1990,"",IF(Main[[#This Row],[Class]]="C",WORKDAY(Main[[#This Row],[Tech Start Date]],28),IF(Main[[#This Row],[Class]]="B", WORKDAY(Main[[#This Row],[Tech Start Date]],19),IF(Main[[#This Row],[Class]]="A",WORKDAY(Main[[#This Row],[Tech Start Date]],9),""))))</f>
        <v/>
      </c>
      <c r="Q1200" s="74">
        <v>40991</v>
      </c>
      <c r="R1200" s="74"/>
      <c r="S1200" s="72" t="s">
        <v>6</v>
      </c>
      <c r="T1200" s="80" t="s">
        <v>4</v>
      </c>
      <c r="U1200" s="72" t="s">
        <v>7</v>
      </c>
      <c r="V1200" s="72" t="s">
        <v>1917</v>
      </c>
      <c r="W1200" s="72" t="s">
        <v>4</v>
      </c>
      <c r="X1200" s="72" t="s">
        <v>2828</v>
      </c>
      <c r="Y1200" s="72" t="s">
        <v>2944</v>
      </c>
      <c r="Z1200" s="72" t="s">
        <v>4</v>
      </c>
      <c r="AA1200" s="146" t="s">
        <v>2828</v>
      </c>
    </row>
    <row r="1201" spans="1:27" ht="18.600000000000001" customHeight="1">
      <c r="A1201" s="139" t="str">
        <f>IF(priority(Main[[#This Row],[Comments]])&lt;&gt;0, priority(Main[[#This Row],[Comments]]),"")</f>
        <v/>
      </c>
      <c r="B1201" s="89" t="s">
        <v>3704</v>
      </c>
      <c r="C1201" s="72" t="s">
        <v>4</v>
      </c>
      <c r="D1201" s="73" t="s">
        <v>3705</v>
      </c>
      <c r="E1201" s="74">
        <v>40963.259918981479</v>
      </c>
      <c r="F1201" s="74"/>
      <c r="G1201" s="75" t="str">
        <f>IF(stdProdLT(Main[[#This Row],[Comments]])=0.1,"N/A",IF(stdProdLT(Main[[#This Row],[Comments]])=0,"",stdProdLT(Main[[#This Row],[Comments]])))</f>
        <v/>
      </c>
      <c r="H1201" s="76" t="str">
        <f>IF(AND(Main[[#This Row],[In Stock Date]]&lt;&gt;"",Main[[#This Row],[Revised Due Date]]&lt;&gt;""),Main[[#This Row],[In Stock Date]]-Main[[#This Row],[Revised Due Date]],"")</f>
        <v/>
      </c>
      <c r="I1201" s="72" t="s">
        <v>4</v>
      </c>
      <c r="J1201" s="72" t="s">
        <v>4</v>
      </c>
      <c r="K1201" s="72" t="s">
        <v>4</v>
      </c>
      <c r="L1201" s="74"/>
      <c r="M1201" s="77" t="str">
        <f>IF(Main[[#This Row],[Tech Start Date]]&lt;1/1/1990,"",IF(Main[[#This Row],[Class]]="C",WORKDAY(Main[[#This Row],[Tech Start Date]],9),IF(Main[[#This Row],[Class]]="B", WORKDAY(Main[[#This Row],[Tech Start Date]],6),IF(Main[[#This Row],[Class]]="A",WORKDAY(Main[[#This Row],[Tech Start Date]],2),""))))</f>
        <v/>
      </c>
      <c r="N1201" s="77" t="str">
        <f>IF(Main[[#This Row],[Tech Start Date]]&lt;1/1/1990,"",IF(Main[[#This Row],[Class]]="C",WORKDAY(Main[[#This Row],[Tech Start Date]],19),IF(Main[[#This Row],[Class]]="B", WORKDAY(Main[[#This Row],[Tech Start Date]],12),IF(Main[[#This Row],[Class]]="A",WORKDAY(Main[[#This Row],[Tech Start Date]],4),""))))</f>
        <v/>
      </c>
      <c r="O1201" s="77" t="str">
        <f>IF(Main[[#This Row],[Tech Start Date]]&lt;1/1/1990,"",IF(Main[[#This Row],[Class]]="C",WORKDAY(Main[[#This Row],[Tech Start Date]],23),IF(Main[[#This Row],[Class]]="B", WORKDAY(Main[[#This Row],[Tech Start Date]],15),IF(Main[[#This Row],[Class]]="A",WORKDAY(Main[[#This Row],[Tech Start Date]],5),""))))</f>
        <v/>
      </c>
      <c r="P1201" s="77" t="str">
        <f>IF(Main[[#This Row],[Tech Start Date]]&lt;1/1/1990,"",IF(Main[[#This Row],[Class]]="C",WORKDAY(Main[[#This Row],[Tech Start Date]],28),IF(Main[[#This Row],[Class]]="B", WORKDAY(Main[[#This Row],[Tech Start Date]],19),IF(Main[[#This Row],[Class]]="A",WORKDAY(Main[[#This Row],[Tech Start Date]],9),""))))</f>
        <v/>
      </c>
      <c r="Q1201" s="74">
        <v>40977</v>
      </c>
      <c r="R1201" s="74"/>
      <c r="S1201" s="72" t="s">
        <v>6</v>
      </c>
      <c r="T1201" s="80" t="s">
        <v>4</v>
      </c>
      <c r="U1201" s="72" t="s">
        <v>7</v>
      </c>
      <c r="V1201" s="72" t="s">
        <v>1917</v>
      </c>
      <c r="W1201" s="72" t="s">
        <v>4</v>
      </c>
      <c r="X1201" s="72" t="s">
        <v>2857</v>
      </c>
      <c r="Y1201" s="72" t="s">
        <v>2992</v>
      </c>
      <c r="Z1201" s="72" t="s">
        <v>4</v>
      </c>
      <c r="AA1201" s="146" t="s">
        <v>2857</v>
      </c>
    </row>
    <row r="1202" spans="1:27" ht="18.600000000000001" customHeight="1">
      <c r="A1202" s="139" t="str">
        <f>IF(priority(Main[[#This Row],[Comments]])&lt;&gt;0, priority(Main[[#This Row],[Comments]]),"")</f>
        <v/>
      </c>
      <c r="B1202" s="89" t="s">
        <v>1184</v>
      </c>
      <c r="C1202" s="72" t="s">
        <v>42</v>
      </c>
      <c r="D1202" s="73" t="s">
        <v>242</v>
      </c>
      <c r="E1202" s="74">
        <v>39937.598217592589</v>
      </c>
      <c r="F1202" s="74"/>
      <c r="G1202" s="75" t="str">
        <f>IF(stdProdLT(Main[[#This Row],[Comments]])=0.1,"N/A",IF(stdProdLT(Main[[#This Row],[Comments]])=0,"",stdProdLT(Main[[#This Row],[Comments]])))</f>
        <v/>
      </c>
      <c r="H1202" s="76" t="str">
        <f>IF(AND(Main[[#This Row],[In Stock Date]]&lt;&gt;"",Main[[#This Row],[Revised Due Date]]&lt;&gt;""),Main[[#This Row],[In Stock Date]]-Main[[#This Row],[Revised Due Date]],"")</f>
        <v/>
      </c>
      <c r="I1202" s="72" t="s">
        <v>4</v>
      </c>
      <c r="J1202" s="72" t="s">
        <v>4</v>
      </c>
      <c r="K1202" s="72" t="s">
        <v>4</v>
      </c>
      <c r="L1202" s="74"/>
      <c r="M1202" s="77" t="str">
        <f>IF(Main[[#This Row],[Tech Start Date]]&lt;1/1/1990,"",IF(Main[[#This Row],[Class]]="C",WORKDAY(Main[[#This Row],[Tech Start Date]],9),IF(Main[[#This Row],[Class]]="B", WORKDAY(Main[[#This Row],[Tech Start Date]],6),IF(Main[[#This Row],[Class]]="A",WORKDAY(Main[[#This Row],[Tech Start Date]],2),""))))</f>
        <v/>
      </c>
      <c r="N1202" s="77" t="str">
        <f>IF(Main[[#This Row],[Tech Start Date]]&lt;1/1/1990,"",IF(Main[[#This Row],[Class]]="C",WORKDAY(Main[[#This Row],[Tech Start Date]],19),IF(Main[[#This Row],[Class]]="B", WORKDAY(Main[[#This Row],[Tech Start Date]],12),IF(Main[[#This Row],[Class]]="A",WORKDAY(Main[[#This Row],[Tech Start Date]],4),""))))</f>
        <v/>
      </c>
      <c r="O1202" s="77" t="str">
        <f>IF(Main[[#This Row],[Tech Start Date]]&lt;1/1/1990,"",IF(Main[[#This Row],[Class]]="C",WORKDAY(Main[[#This Row],[Tech Start Date]],23),IF(Main[[#This Row],[Class]]="B", WORKDAY(Main[[#This Row],[Tech Start Date]],15),IF(Main[[#This Row],[Class]]="A",WORKDAY(Main[[#This Row],[Tech Start Date]],5),""))))</f>
        <v/>
      </c>
      <c r="P1202" s="77" t="str">
        <f>IF(Main[[#This Row],[Tech Start Date]]&lt;1/1/1990,"",IF(Main[[#This Row],[Class]]="C",WORKDAY(Main[[#This Row],[Tech Start Date]],28),IF(Main[[#This Row],[Class]]="B", WORKDAY(Main[[#This Row],[Tech Start Date]],19),IF(Main[[#This Row],[Class]]="A",WORKDAY(Main[[#This Row],[Tech Start Date]],9),""))))</f>
        <v/>
      </c>
      <c r="Q1202" s="74"/>
      <c r="R1202" s="74">
        <v>41289</v>
      </c>
      <c r="S1202" s="72" t="s">
        <v>17</v>
      </c>
      <c r="T1202" s="80" t="s">
        <v>4</v>
      </c>
      <c r="U1202" s="72" t="s">
        <v>29</v>
      </c>
      <c r="V1202" s="72" t="s">
        <v>1920</v>
      </c>
      <c r="W1202" s="72" t="s">
        <v>4</v>
      </c>
      <c r="X1202" s="72" t="s">
        <v>399</v>
      </c>
      <c r="Y1202" s="72" t="s">
        <v>4</v>
      </c>
      <c r="Z1202" s="72" t="s">
        <v>654</v>
      </c>
      <c r="AA1202" s="146" t="s">
        <v>4</v>
      </c>
    </row>
    <row r="1203" spans="1:27" ht="18.600000000000001" customHeight="1">
      <c r="A1203" s="139" t="str">
        <f>IF(priority(Main[[#This Row],[Comments]])&lt;&gt;0, priority(Main[[#This Row],[Comments]]),"")</f>
        <v/>
      </c>
      <c r="B1203" s="89" t="s">
        <v>3706</v>
      </c>
      <c r="C1203" s="72" t="s">
        <v>4</v>
      </c>
      <c r="D1203" s="73" t="s">
        <v>3707</v>
      </c>
      <c r="E1203" s="74">
        <v>40966.715914351851</v>
      </c>
      <c r="F1203" s="74"/>
      <c r="G1203" s="75" t="str">
        <f>IF(stdProdLT(Main[[#This Row],[Comments]])=0.1,"N/A",IF(stdProdLT(Main[[#This Row],[Comments]])=0,"",stdProdLT(Main[[#This Row],[Comments]])))</f>
        <v/>
      </c>
      <c r="H1203" s="76" t="str">
        <f>IF(AND(Main[[#This Row],[In Stock Date]]&lt;&gt;"",Main[[#This Row],[Revised Due Date]]&lt;&gt;""),Main[[#This Row],[In Stock Date]]-Main[[#This Row],[Revised Due Date]],"")</f>
        <v/>
      </c>
      <c r="I1203" s="72" t="s">
        <v>4</v>
      </c>
      <c r="J1203" s="72" t="s">
        <v>4</v>
      </c>
      <c r="K1203" s="81" t="s">
        <v>4</v>
      </c>
      <c r="L1203" s="74"/>
      <c r="M1203" s="77" t="str">
        <f>IF(Main[[#This Row],[Tech Start Date]]&lt;1/1/1990,"",IF(Main[[#This Row],[Class]]="C",WORKDAY(Main[[#This Row],[Tech Start Date]],9),IF(Main[[#This Row],[Class]]="B", WORKDAY(Main[[#This Row],[Tech Start Date]],6),IF(Main[[#This Row],[Class]]="A",WORKDAY(Main[[#This Row],[Tech Start Date]],2),""))))</f>
        <v/>
      </c>
      <c r="N1203" s="77" t="str">
        <f>IF(Main[[#This Row],[Tech Start Date]]&lt;1/1/1990,"",IF(Main[[#This Row],[Class]]="C",WORKDAY(Main[[#This Row],[Tech Start Date]],19),IF(Main[[#This Row],[Class]]="B", WORKDAY(Main[[#This Row],[Tech Start Date]],12),IF(Main[[#This Row],[Class]]="A",WORKDAY(Main[[#This Row],[Tech Start Date]],4),""))))</f>
        <v/>
      </c>
      <c r="O1203" s="77" t="str">
        <f>IF(Main[[#This Row],[Tech Start Date]]&lt;1/1/1990,"",IF(Main[[#This Row],[Class]]="C",WORKDAY(Main[[#This Row],[Tech Start Date]],23),IF(Main[[#This Row],[Class]]="B", WORKDAY(Main[[#This Row],[Tech Start Date]],15),IF(Main[[#This Row],[Class]]="A",WORKDAY(Main[[#This Row],[Tech Start Date]],5),""))))</f>
        <v/>
      </c>
      <c r="P1203" s="77" t="str">
        <f>IF(Main[[#This Row],[Tech Start Date]]&lt;1/1/1990,"",IF(Main[[#This Row],[Class]]="C",WORKDAY(Main[[#This Row],[Tech Start Date]],28),IF(Main[[#This Row],[Class]]="B", WORKDAY(Main[[#This Row],[Tech Start Date]],19),IF(Main[[#This Row],[Class]]="A",WORKDAY(Main[[#This Row],[Tech Start Date]],9),""))))</f>
        <v/>
      </c>
      <c r="Q1203" s="74"/>
      <c r="R1203" s="74"/>
      <c r="S1203" s="72" t="s">
        <v>6</v>
      </c>
      <c r="T1203" s="80" t="s">
        <v>4</v>
      </c>
      <c r="U1203" s="72" t="s">
        <v>29</v>
      </c>
      <c r="V1203" s="72" t="s">
        <v>1920</v>
      </c>
      <c r="W1203" s="72" t="s">
        <v>1921</v>
      </c>
      <c r="X1203" s="72" t="s">
        <v>415</v>
      </c>
      <c r="Y1203" s="72" t="s">
        <v>2981</v>
      </c>
      <c r="Z1203" s="72" t="s">
        <v>4</v>
      </c>
      <c r="AA1203" s="146" t="s">
        <v>415</v>
      </c>
    </row>
    <row r="1204" spans="1:27" ht="18.600000000000001" customHeight="1">
      <c r="A1204" s="139" t="str">
        <f>IF(priority(Main[[#This Row],[Comments]])&lt;&gt;0, priority(Main[[#This Row],[Comments]]),"")</f>
        <v/>
      </c>
      <c r="B1204" s="89" t="s">
        <v>2170</v>
      </c>
      <c r="C1204" s="72" t="s">
        <v>2163</v>
      </c>
      <c r="D1204" s="73" t="s">
        <v>2164</v>
      </c>
      <c r="E1204" s="74">
        <v>40781.399756944447</v>
      </c>
      <c r="F1204" s="74"/>
      <c r="G1204" s="75" t="str">
        <f>IF(stdProdLT(Main[[#This Row],[Comments]])=0.1,"N/A",IF(stdProdLT(Main[[#This Row],[Comments]])=0,"",stdProdLT(Main[[#This Row],[Comments]])))</f>
        <v/>
      </c>
      <c r="H1204" s="76" t="str">
        <f>IF(AND(Main[[#This Row],[In Stock Date]]&lt;&gt;"",Main[[#This Row],[Revised Due Date]]&lt;&gt;""),Main[[#This Row],[In Stock Date]]-Main[[#This Row],[Revised Due Date]],"")</f>
        <v/>
      </c>
      <c r="I1204" s="72" t="s">
        <v>530</v>
      </c>
      <c r="J1204" s="72" t="s">
        <v>21</v>
      </c>
      <c r="K1204" s="72" t="s">
        <v>1926</v>
      </c>
      <c r="L1204" s="74"/>
      <c r="M1204" s="77" t="str">
        <f>IF(Main[[#This Row],[Tech Start Date]]&lt;1/1/1990,"",IF(Main[[#This Row],[Class]]="C",WORKDAY(Main[[#This Row],[Tech Start Date]],9),IF(Main[[#This Row],[Class]]="B", WORKDAY(Main[[#This Row],[Tech Start Date]],6),IF(Main[[#This Row],[Class]]="A",WORKDAY(Main[[#This Row],[Tech Start Date]],2),""))))</f>
        <v/>
      </c>
      <c r="N1204" s="77" t="str">
        <f>IF(Main[[#This Row],[Tech Start Date]]&lt;1/1/1990,"",IF(Main[[#This Row],[Class]]="C",WORKDAY(Main[[#This Row],[Tech Start Date]],19),IF(Main[[#This Row],[Class]]="B", WORKDAY(Main[[#This Row],[Tech Start Date]],12),IF(Main[[#This Row],[Class]]="A",WORKDAY(Main[[#This Row],[Tech Start Date]],4),""))))</f>
        <v/>
      </c>
      <c r="O1204" s="77" t="str">
        <f>IF(Main[[#This Row],[Tech Start Date]]&lt;1/1/1990,"",IF(Main[[#This Row],[Class]]="C",WORKDAY(Main[[#This Row],[Tech Start Date]],23),IF(Main[[#This Row],[Class]]="B", WORKDAY(Main[[#This Row],[Tech Start Date]],15),IF(Main[[#This Row],[Class]]="A",WORKDAY(Main[[#This Row],[Tech Start Date]],5),""))))</f>
        <v/>
      </c>
      <c r="P1204" s="77" t="str">
        <f>IF(Main[[#This Row],[Tech Start Date]]&lt;1/1/1990,"",IF(Main[[#This Row],[Class]]="C",WORKDAY(Main[[#This Row],[Tech Start Date]],28),IF(Main[[#This Row],[Class]]="B", WORKDAY(Main[[#This Row],[Tech Start Date]],19),IF(Main[[#This Row],[Class]]="A",WORKDAY(Main[[#This Row],[Tech Start Date]],9),""))))</f>
        <v/>
      </c>
      <c r="Q1204" s="74">
        <v>40836</v>
      </c>
      <c r="R1204" s="74"/>
      <c r="S1204" s="72" t="s">
        <v>6</v>
      </c>
      <c r="T1204" s="80" t="s">
        <v>4</v>
      </c>
      <c r="U1204" s="72" t="s">
        <v>29</v>
      </c>
      <c r="V1204" s="72" t="s">
        <v>1920</v>
      </c>
      <c r="W1204" s="72" t="s">
        <v>1921</v>
      </c>
      <c r="X1204" s="72" t="s">
        <v>2842</v>
      </c>
      <c r="Y1204" s="72" t="s">
        <v>2971</v>
      </c>
      <c r="Z1204" s="72" t="s">
        <v>30</v>
      </c>
      <c r="AA1204" s="146" t="s">
        <v>2842</v>
      </c>
    </row>
    <row r="1205" spans="1:27" ht="18.600000000000001" customHeight="1">
      <c r="A1205" s="139" t="str">
        <f>IF(priority(Main[[#This Row],[Comments]])&lt;&gt;0, priority(Main[[#This Row],[Comments]]),"")</f>
        <v/>
      </c>
      <c r="B1205" s="89" t="s">
        <v>3717</v>
      </c>
      <c r="C1205" s="72" t="s">
        <v>4</v>
      </c>
      <c r="D1205" s="73" t="s">
        <v>3718</v>
      </c>
      <c r="E1205" s="74">
        <v>40966.546724537038</v>
      </c>
      <c r="F1205" s="74"/>
      <c r="G1205" s="75" t="str">
        <f>IF(stdProdLT(Main[[#This Row],[Comments]])=0.1,"N/A",IF(stdProdLT(Main[[#This Row],[Comments]])=0,"",stdProdLT(Main[[#This Row],[Comments]])))</f>
        <v/>
      </c>
      <c r="H1205" s="76" t="str">
        <f>IF(AND(Main[[#This Row],[In Stock Date]]&lt;&gt;"",Main[[#This Row],[Revised Due Date]]&lt;&gt;""),Main[[#This Row],[In Stock Date]]-Main[[#This Row],[Revised Due Date]],"")</f>
        <v/>
      </c>
      <c r="I1205" s="72" t="s">
        <v>4</v>
      </c>
      <c r="J1205" s="72" t="s">
        <v>4</v>
      </c>
      <c r="K1205" s="72" t="s">
        <v>4</v>
      </c>
      <c r="L1205" s="74"/>
      <c r="M1205" s="77" t="str">
        <f>IF(Main[[#This Row],[Tech Start Date]]&lt;1/1/1990,"",IF(Main[[#This Row],[Class]]="C",WORKDAY(Main[[#This Row],[Tech Start Date]],9),IF(Main[[#This Row],[Class]]="B", WORKDAY(Main[[#This Row],[Tech Start Date]],6),IF(Main[[#This Row],[Class]]="A",WORKDAY(Main[[#This Row],[Tech Start Date]],2),""))))</f>
        <v/>
      </c>
      <c r="N1205" s="77" t="str">
        <f>IF(Main[[#This Row],[Tech Start Date]]&lt;1/1/1990,"",IF(Main[[#This Row],[Class]]="C",WORKDAY(Main[[#This Row],[Tech Start Date]],19),IF(Main[[#This Row],[Class]]="B", WORKDAY(Main[[#This Row],[Tech Start Date]],12),IF(Main[[#This Row],[Class]]="A",WORKDAY(Main[[#This Row],[Tech Start Date]],4),""))))</f>
        <v/>
      </c>
      <c r="O1205" s="77" t="str">
        <f>IF(Main[[#This Row],[Tech Start Date]]&lt;1/1/1990,"",IF(Main[[#This Row],[Class]]="C",WORKDAY(Main[[#This Row],[Tech Start Date]],23),IF(Main[[#This Row],[Class]]="B", WORKDAY(Main[[#This Row],[Tech Start Date]],15),IF(Main[[#This Row],[Class]]="A",WORKDAY(Main[[#This Row],[Tech Start Date]],5),""))))</f>
        <v/>
      </c>
      <c r="P1205" s="77" t="str">
        <f>IF(Main[[#This Row],[Tech Start Date]]&lt;1/1/1990,"",IF(Main[[#This Row],[Class]]="C",WORKDAY(Main[[#This Row],[Tech Start Date]],28),IF(Main[[#This Row],[Class]]="B", WORKDAY(Main[[#This Row],[Tech Start Date]],19),IF(Main[[#This Row],[Class]]="A",WORKDAY(Main[[#This Row],[Tech Start Date]],9),""))))</f>
        <v/>
      </c>
      <c r="Q1205" s="74"/>
      <c r="R1205" s="74"/>
      <c r="S1205" s="72" t="s">
        <v>6</v>
      </c>
      <c r="T1205" s="80" t="s">
        <v>4</v>
      </c>
      <c r="U1205" s="72" t="s">
        <v>29</v>
      </c>
      <c r="V1205" s="72" t="s">
        <v>1920</v>
      </c>
      <c r="W1205" s="72" t="s">
        <v>1921</v>
      </c>
      <c r="X1205" s="72" t="s">
        <v>102</v>
      </c>
      <c r="Y1205" s="72" t="s">
        <v>3719</v>
      </c>
      <c r="Z1205" s="72" t="s">
        <v>4</v>
      </c>
      <c r="AA1205" s="146" t="s">
        <v>81</v>
      </c>
    </row>
    <row r="1206" spans="1:27" ht="18.600000000000001" customHeight="1">
      <c r="A1206" s="139" t="str">
        <f>IF(priority(Main[[#This Row],[Comments]])&lt;&gt;0, priority(Main[[#This Row],[Comments]]),"")</f>
        <v/>
      </c>
      <c r="B1206" s="89" t="s">
        <v>3519</v>
      </c>
      <c r="C1206" s="72" t="s">
        <v>4</v>
      </c>
      <c r="D1206" s="73" t="s">
        <v>3520</v>
      </c>
      <c r="E1206" s="74">
        <v>40942.135775462964</v>
      </c>
      <c r="F1206" s="74"/>
      <c r="G1206" s="75" t="str">
        <f>IF(stdProdLT(Main[[#This Row],[Comments]])=0.1,"N/A",IF(stdProdLT(Main[[#This Row],[Comments]])=0,"",stdProdLT(Main[[#This Row],[Comments]])))</f>
        <v/>
      </c>
      <c r="H1206" s="76" t="str">
        <f>IF(AND(Main[[#This Row],[In Stock Date]]&lt;&gt;"",Main[[#This Row],[Revised Due Date]]&lt;&gt;""),Main[[#This Row],[In Stock Date]]-Main[[#This Row],[Revised Due Date]],"")</f>
        <v/>
      </c>
      <c r="I1206" s="72" t="s">
        <v>4</v>
      </c>
      <c r="J1206" s="72" t="s">
        <v>4</v>
      </c>
      <c r="K1206" s="72" t="s">
        <v>4</v>
      </c>
      <c r="L1206" s="74"/>
      <c r="M1206" s="77" t="str">
        <f>IF(Main[[#This Row],[Tech Start Date]]&lt;1/1/1990,"",IF(Main[[#This Row],[Class]]="C",WORKDAY(Main[[#This Row],[Tech Start Date]],9),IF(Main[[#This Row],[Class]]="B", WORKDAY(Main[[#This Row],[Tech Start Date]],6),IF(Main[[#This Row],[Class]]="A",WORKDAY(Main[[#This Row],[Tech Start Date]],2),""))))</f>
        <v/>
      </c>
      <c r="N1206" s="77" t="str">
        <f>IF(Main[[#This Row],[Tech Start Date]]&lt;1/1/1990,"",IF(Main[[#This Row],[Class]]="C",WORKDAY(Main[[#This Row],[Tech Start Date]],19),IF(Main[[#This Row],[Class]]="B", WORKDAY(Main[[#This Row],[Tech Start Date]],12),IF(Main[[#This Row],[Class]]="A",WORKDAY(Main[[#This Row],[Tech Start Date]],4),""))))</f>
        <v/>
      </c>
      <c r="O1206" s="77" t="str">
        <f>IF(Main[[#This Row],[Tech Start Date]]&lt;1/1/1990,"",IF(Main[[#This Row],[Class]]="C",WORKDAY(Main[[#This Row],[Tech Start Date]],23),IF(Main[[#This Row],[Class]]="B", WORKDAY(Main[[#This Row],[Tech Start Date]],15),IF(Main[[#This Row],[Class]]="A",WORKDAY(Main[[#This Row],[Tech Start Date]],5),""))))</f>
        <v/>
      </c>
      <c r="P1206" s="77" t="str">
        <f>IF(Main[[#This Row],[Tech Start Date]]&lt;1/1/1990,"",IF(Main[[#This Row],[Class]]="C",WORKDAY(Main[[#This Row],[Tech Start Date]],28),IF(Main[[#This Row],[Class]]="B", WORKDAY(Main[[#This Row],[Tech Start Date]],19),IF(Main[[#This Row],[Class]]="A",WORKDAY(Main[[#This Row],[Tech Start Date]],9),""))))</f>
        <v/>
      </c>
      <c r="Q1206" s="74">
        <v>41001</v>
      </c>
      <c r="R1206" s="74"/>
      <c r="S1206" s="72" t="s">
        <v>6</v>
      </c>
      <c r="T1206" s="80" t="s">
        <v>4</v>
      </c>
      <c r="U1206" s="72" t="s">
        <v>29</v>
      </c>
      <c r="V1206" s="72" t="s">
        <v>1920</v>
      </c>
      <c r="W1206" s="72" t="s">
        <v>4</v>
      </c>
      <c r="X1206" s="72" t="s">
        <v>2828</v>
      </c>
      <c r="Y1206" s="72" t="s">
        <v>2944</v>
      </c>
      <c r="Z1206" s="72" t="s">
        <v>4</v>
      </c>
      <c r="AA1206" s="146" t="s">
        <v>2828</v>
      </c>
    </row>
    <row r="1207" spans="1:27" ht="18.600000000000001" customHeight="1">
      <c r="A1207" s="139" t="str">
        <f>IF(priority(Main[[#This Row],[Comments]])&lt;&gt;0, priority(Main[[#This Row],[Comments]]),"")</f>
        <v/>
      </c>
      <c r="B1207" s="89" t="s">
        <v>2765</v>
      </c>
      <c r="C1207" s="72" t="s">
        <v>4</v>
      </c>
      <c r="D1207" s="73" t="s">
        <v>3720</v>
      </c>
      <c r="E1207" s="74">
        <v>40907.447002314817</v>
      </c>
      <c r="F1207" s="74"/>
      <c r="G1207" s="75" t="str">
        <f>IF(stdProdLT(Main[[#This Row],[Comments]])=0.1,"N/A",IF(stdProdLT(Main[[#This Row],[Comments]])=0,"",stdProdLT(Main[[#This Row],[Comments]])))</f>
        <v/>
      </c>
      <c r="H1207" s="76" t="str">
        <f>IF(AND(Main[[#This Row],[In Stock Date]]&lt;&gt;"",Main[[#This Row],[Revised Due Date]]&lt;&gt;""),Main[[#This Row],[In Stock Date]]-Main[[#This Row],[Revised Due Date]],"")</f>
        <v/>
      </c>
      <c r="I1207" s="72" t="s">
        <v>530</v>
      </c>
      <c r="J1207" s="72" t="s">
        <v>70</v>
      </c>
      <c r="K1207" s="72" t="s">
        <v>1926</v>
      </c>
      <c r="L1207" s="74"/>
      <c r="M1207" s="77" t="str">
        <f>IF(Main[[#This Row],[Tech Start Date]]&lt;1/1/1990,"",IF(Main[[#This Row],[Class]]="C",WORKDAY(Main[[#This Row],[Tech Start Date]],9),IF(Main[[#This Row],[Class]]="B", WORKDAY(Main[[#This Row],[Tech Start Date]],6),IF(Main[[#This Row],[Class]]="A",WORKDAY(Main[[#This Row],[Tech Start Date]],2),""))))</f>
        <v/>
      </c>
      <c r="N1207" s="77" t="str">
        <f>IF(Main[[#This Row],[Tech Start Date]]&lt;1/1/1990,"",IF(Main[[#This Row],[Class]]="C",WORKDAY(Main[[#This Row],[Tech Start Date]],19),IF(Main[[#This Row],[Class]]="B", WORKDAY(Main[[#This Row],[Tech Start Date]],12),IF(Main[[#This Row],[Class]]="A",WORKDAY(Main[[#This Row],[Tech Start Date]],4),""))))</f>
        <v/>
      </c>
      <c r="O1207" s="77" t="str">
        <f>IF(Main[[#This Row],[Tech Start Date]]&lt;1/1/1990,"",IF(Main[[#This Row],[Class]]="C",WORKDAY(Main[[#This Row],[Tech Start Date]],23),IF(Main[[#This Row],[Class]]="B", WORKDAY(Main[[#This Row],[Tech Start Date]],15),IF(Main[[#This Row],[Class]]="A",WORKDAY(Main[[#This Row],[Tech Start Date]],5),""))))</f>
        <v/>
      </c>
      <c r="P1207" s="77" t="str">
        <f>IF(Main[[#This Row],[Tech Start Date]]&lt;1/1/1990,"",IF(Main[[#This Row],[Class]]="C",WORKDAY(Main[[#This Row],[Tech Start Date]],28),IF(Main[[#This Row],[Class]]="B", WORKDAY(Main[[#This Row],[Tech Start Date]],19),IF(Main[[#This Row],[Class]]="A",WORKDAY(Main[[#This Row],[Tech Start Date]],9),""))))</f>
        <v/>
      </c>
      <c r="Q1207" s="74">
        <v>40921</v>
      </c>
      <c r="R1207" s="74"/>
      <c r="S1207" s="72" t="s">
        <v>6</v>
      </c>
      <c r="T1207" s="80" t="s">
        <v>4</v>
      </c>
      <c r="U1207" s="72" t="s">
        <v>29</v>
      </c>
      <c r="V1207" s="72" t="s">
        <v>1920</v>
      </c>
      <c r="W1207" s="72" t="s">
        <v>1925</v>
      </c>
      <c r="X1207" s="72" t="s">
        <v>2891</v>
      </c>
      <c r="Y1207" s="72" t="s">
        <v>3047</v>
      </c>
      <c r="Z1207" s="72" t="s">
        <v>30</v>
      </c>
      <c r="AA1207" s="146" t="s">
        <v>2891</v>
      </c>
    </row>
    <row r="1208" spans="1:27" ht="18.600000000000001" customHeight="1">
      <c r="A1208" s="139" t="str">
        <f>IF(priority(Main[[#This Row],[Comments]])&lt;&gt;0, priority(Main[[#This Row],[Comments]]),"")</f>
        <v/>
      </c>
      <c r="B1208" s="89" t="s">
        <v>2797</v>
      </c>
      <c r="C1208" s="72" t="s">
        <v>4</v>
      </c>
      <c r="D1208" s="73" t="s">
        <v>2798</v>
      </c>
      <c r="E1208" s="74">
        <v>40913.314733796295</v>
      </c>
      <c r="F1208" s="74"/>
      <c r="G1208" s="75" t="str">
        <f>IF(stdProdLT(Main[[#This Row],[Comments]])=0.1,"N/A",IF(stdProdLT(Main[[#This Row],[Comments]])=0,"",stdProdLT(Main[[#This Row],[Comments]])))</f>
        <v/>
      </c>
      <c r="H1208" s="76" t="str">
        <f>IF(AND(Main[[#This Row],[In Stock Date]]&lt;&gt;"",Main[[#This Row],[Revised Due Date]]&lt;&gt;""),Main[[#This Row],[In Stock Date]]-Main[[#This Row],[Revised Due Date]],"")</f>
        <v/>
      </c>
      <c r="I1208" s="72" t="s">
        <v>69</v>
      </c>
      <c r="J1208" s="72" t="s">
        <v>70</v>
      </c>
      <c r="K1208" s="72" t="s">
        <v>1926</v>
      </c>
      <c r="L1208" s="74"/>
      <c r="M1208" s="77" t="str">
        <f>IF(Main[[#This Row],[Tech Start Date]]&lt;1/1/1990,"",IF(Main[[#This Row],[Class]]="C",WORKDAY(Main[[#This Row],[Tech Start Date]],9),IF(Main[[#This Row],[Class]]="B", WORKDAY(Main[[#This Row],[Tech Start Date]],6),IF(Main[[#This Row],[Class]]="A",WORKDAY(Main[[#This Row],[Tech Start Date]],2),""))))</f>
        <v/>
      </c>
      <c r="N1208" s="77" t="str">
        <f>IF(Main[[#This Row],[Tech Start Date]]&lt;1/1/1990,"",IF(Main[[#This Row],[Class]]="C",WORKDAY(Main[[#This Row],[Tech Start Date]],19),IF(Main[[#This Row],[Class]]="B", WORKDAY(Main[[#This Row],[Tech Start Date]],12),IF(Main[[#This Row],[Class]]="A",WORKDAY(Main[[#This Row],[Tech Start Date]],4),""))))</f>
        <v/>
      </c>
      <c r="O1208" s="77" t="str">
        <f>IF(Main[[#This Row],[Tech Start Date]]&lt;1/1/1990,"",IF(Main[[#This Row],[Class]]="C",WORKDAY(Main[[#This Row],[Tech Start Date]],23),IF(Main[[#This Row],[Class]]="B", WORKDAY(Main[[#This Row],[Tech Start Date]],15),IF(Main[[#This Row],[Class]]="A",WORKDAY(Main[[#This Row],[Tech Start Date]],5),""))))</f>
        <v/>
      </c>
      <c r="P1208" s="77" t="str">
        <f>IF(Main[[#This Row],[Tech Start Date]]&lt;1/1/1990,"",IF(Main[[#This Row],[Class]]="C",WORKDAY(Main[[#This Row],[Tech Start Date]],28),IF(Main[[#This Row],[Class]]="B", WORKDAY(Main[[#This Row],[Tech Start Date]],19),IF(Main[[#This Row],[Class]]="A",WORKDAY(Main[[#This Row],[Tech Start Date]],9),""))))</f>
        <v/>
      </c>
      <c r="Q1208" s="74">
        <v>40945</v>
      </c>
      <c r="R1208" s="74"/>
      <c r="S1208" s="72" t="s">
        <v>6</v>
      </c>
      <c r="T1208" s="80" t="s">
        <v>4</v>
      </c>
      <c r="U1208" s="72" t="s">
        <v>29</v>
      </c>
      <c r="V1208" s="72" t="s">
        <v>1920</v>
      </c>
      <c r="W1208" s="72" t="s">
        <v>1921</v>
      </c>
      <c r="X1208" s="72" t="s">
        <v>2828</v>
      </c>
      <c r="Y1208" s="72" t="s">
        <v>2944</v>
      </c>
      <c r="Z1208" s="72" t="s">
        <v>30</v>
      </c>
      <c r="AA1208" s="146" t="s">
        <v>2828</v>
      </c>
    </row>
    <row r="1209" spans="1:27" ht="18.600000000000001" customHeight="1">
      <c r="A1209" s="139" t="str">
        <f>IF(priority(Main[[#This Row],[Comments]])&lt;&gt;0, priority(Main[[#This Row],[Comments]]),"")</f>
        <v/>
      </c>
      <c r="B1209" s="89" t="s">
        <v>2777</v>
      </c>
      <c r="C1209" s="72" t="s">
        <v>4</v>
      </c>
      <c r="D1209" s="73" t="s">
        <v>2778</v>
      </c>
      <c r="E1209" s="74">
        <v>40914.408773148149</v>
      </c>
      <c r="F1209" s="74"/>
      <c r="G1209" s="75" t="str">
        <f>IF(stdProdLT(Main[[#This Row],[Comments]])=0.1,"N/A",IF(stdProdLT(Main[[#This Row],[Comments]])=0,"",stdProdLT(Main[[#This Row],[Comments]])))</f>
        <v/>
      </c>
      <c r="H1209" s="76" t="str">
        <f>IF(AND(Main[[#This Row],[In Stock Date]]&lt;&gt;"",Main[[#This Row],[Revised Due Date]]&lt;&gt;""),Main[[#This Row],[In Stock Date]]-Main[[#This Row],[Revised Due Date]],"")</f>
        <v/>
      </c>
      <c r="I1209" s="72" t="s">
        <v>4</v>
      </c>
      <c r="J1209" s="72" t="s">
        <v>4</v>
      </c>
      <c r="K1209" s="72" t="s">
        <v>4</v>
      </c>
      <c r="L1209" s="74"/>
      <c r="M1209" s="77" t="str">
        <f>IF(Main[[#This Row],[Tech Start Date]]&lt;1/1/1990,"",IF(Main[[#This Row],[Class]]="C",WORKDAY(Main[[#This Row],[Tech Start Date]],9),IF(Main[[#This Row],[Class]]="B", WORKDAY(Main[[#This Row],[Tech Start Date]],6),IF(Main[[#This Row],[Class]]="A",WORKDAY(Main[[#This Row],[Tech Start Date]],2),""))))</f>
        <v/>
      </c>
      <c r="N1209" s="77" t="str">
        <f>IF(Main[[#This Row],[Tech Start Date]]&lt;1/1/1990,"",IF(Main[[#This Row],[Class]]="C",WORKDAY(Main[[#This Row],[Tech Start Date]],19),IF(Main[[#This Row],[Class]]="B", WORKDAY(Main[[#This Row],[Tech Start Date]],12),IF(Main[[#This Row],[Class]]="A",WORKDAY(Main[[#This Row],[Tech Start Date]],4),""))))</f>
        <v/>
      </c>
      <c r="O1209" s="77" t="str">
        <f>IF(Main[[#This Row],[Tech Start Date]]&lt;1/1/1990,"",IF(Main[[#This Row],[Class]]="C",WORKDAY(Main[[#This Row],[Tech Start Date]],23),IF(Main[[#This Row],[Class]]="B", WORKDAY(Main[[#This Row],[Tech Start Date]],15),IF(Main[[#This Row],[Class]]="A",WORKDAY(Main[[#This Row],[Tech Start Date]],5),""))))</f>
        <v/>
      </c>
      <c r="P1209" s="77" t="str">
        <f>IF(Main[[#This Row],[Tech Start Date]]&lt;1/1/1990,"",IF(Main[[#This Row],[Class]]="C",WORKDAY(Main[[#This Row],[Tech Start Date]],28),IF(Main[[#This Row],[Class]]="B", WORKDAY(Main[[#This Row],[Tech Start Date]],19),IF(Main[[#This Row],[Class]]="A",WORKDAY(Main[[#This Row],[Tech Start Date]],9),""))))</f>
        <v/>
      </c>
      <c r="Q1209" s="74"/>
      <c r="R1209" s="74"/>
      <c r="S1209" s="72" t="s">
        <v>6</v>
      </c>
      <c r="T1209" s="80" t="s">
        <v>4</v>
      </c>
      <c r="U1209" s="72" t="s">
        <v>29</v>
      </c>
      <c r="V1209" s="72" t="s">
        <v>1917</v>
      </c>
      <c r="W1209" s="72" t="s">
        <v>1921</v>
      </c>
      <c r="X1209" s="72" t="s">
        <v>939</v>
      </c>
      <c r="Y1209" s="72" t="s">
        <v>2990</v>
      </c>
      <c r="Z1209" s="72" t="s">
        <v>4</v>
      </c>
      <c r="AA1209" s="146" t="s">
        <v>939</v>
      </c>
    </row>
    <row r="1210" spans="1:27" ht="18.600000000000001" customHeight="1">
      <c r="A1210" s="139" t="str">
        <f>IF(priority(Main[[#This Row],[Comments]])&lt;&gt;0, priority(Main[[#This Row],[Comments]]),"")</f>
        <v/>
      </c>
      <c r="B1210" s="89" t="s">
        <v>3365</v>
      </c>
      <c r="C1210" s="72" t="s">
        <v>4</v>
      </c>
      <c r="D1210" s="73" t="s">
        <v>3366</v>
      </c>
      <c r="E1210" s="74"/>
      <c r="F1210" s="74"/>
      <c r="G1210" s="75" t="str">
        <f>IF(stdProdLT(Main[[#This Row],[Comments]])=0.1,"N/A",IF(stdProdLT(Main[[#This Row],[Comments]])=0,"",stdProdLT(Main[[#This Row],[Comments]])))</f>
        <v/>
      </c>
      <c r="H1210" s="76" t="str">
        <f>IF(AND(Main[[#This Row],[In Stock Date]]&lt;&gt;"",Main[[#This Row],[Revised Due Date]]&lt;&gt;""),Main[[#This Row],[In Stock Date]]-Main[[#This Row],[Revised Due Date]],"")</f>
        <v/>
      </c>
      <c r="I1210" s="72" t="s">
        <v>4</v>
      </c>
      <c r="J1210" s="72" t="s">
        <v>4</v>
      </c>
      <c r="K1210" s="72" t="s">
        <v>4</v>
      </c>
      <c r="L1210" s="74"/>
      <c r="M1210" s="77" t="str">
        <f>IF(Main[[#This Row],[Tech Start Date]]&lt;1/1/1990,"",IF(Main[[#This Row],[Class]]="C",WORKDAY(Main[[#This Row],[Tech Start Date]],9),IF(Main[[#This Row],[Class]]="B", WORKDAY(Main[[#This Row],[Tech Start Date]],6),IF(Main[[#This Row],[Class]]="A",WORKDAY(Main[[#This Row],[Tech Start Date]],2),""))))</f>
        <v/>
      </c>
      <c r="N1210" s="77" t="str">
        <f>IF(Main[[#This Row],[Tech Start Date]]&lt;1/1/1990,"",IF(Main[[#This Row],[Class]]="C",WORKDAY(Main[[#This Row],[Tech Start Date]],19),IF(Main[[#This Row],[Class]]="B", WORKDAY(Main[[#This Row],[Tech Start Date]],12),IF(Main[[#This Row],[Class]]="A",WORKDAY(Main[[#This Row],[Tech Start Date]],4),""))))</f>
        <v/>
      </c>
      <c r="O1210" s="77" t="str">
        <f>IF(Main[[#This Row],[Tech Start Date]]&lt;1/1/1990,"",IF(Main[[#This Row],[Class]]="C",WORKDAY(Main[[#This Row],[Tech Start Date]],23),IF(Main[[#This Row],[Class]]="B", WORKDAY(Main[[#This Row],[Tech Start Date]],15),IF(Main[[#This Row],[Class]]="A",WORKDAY(Main[[#This Row],[Tech Start Date]],5),""))))</f>
        <v/>
      </c>
      <c r="P1210" s="77" t="str">
        <f>IF(Main[[#This Row],[Tech Start Date]]&lt;1/1/1990,"",IF(Main[[#This Row],[Class]]="C",WORKDAY(Main[[#This Row],[Tech Start Date]],28),IF(Main[[#This Row],[Class]]="B", WORKDAY(Main[[#This Row],[Tech Start Date]],19),IF(Main[[#This Row],[Class]]="A",WORKDAY(Main[[#This Row],[Tech Start Date]],9),""))))</f>
        <v/>
      </c>
      <c r="Q1210" s="74"/>
      <c r="R1210" s="74"/>
      <c r="S1210" s="72" t="s">
        <v>11</v>
      </c>
      <c r="T1210" s="80" t="s">
        <v>4</v>
      </c>
      <c r="U1210" s="72" t="s">
        <v>14</v>
      </c>
      <c r="V1210" s="72" t="s">
        <v>1932</v>
      </c>
      <c r="W1210" s="72" t="s">
        <v>1921</v>
      </c>
      <c r="X1210" s="72" t="s">
        <v>924</v>
      </c>
      <c r="Y1210" s="72" t="s">
        <v>2988</v>
      </c>
      <c r="Z1210" s="72" t="s">
        <v>4</v>
      </c>
      <c r="AA1210" s="146" t="s">
        <v>924</v>
      </c>
    </row>
    <row r="1211" spans="1:27" ht="18.600000000000001" customHeight="1">
      <c r="A1211" s="139" t="str">
        <f>IF(priority(Main[[#This Row],[Comments]])&lt;&gt;0, priority(Main[[#This Row],[Comments]]),"")</f>
        <v/>
      </c>
      <c r="B1211" s="89" t="s">
        <v>3721</v>
      </c>
      <c r="C1211" s="72" t="s">
        <v>4</v>
      </c>
      <c r="D1211" s="73" t="s">
        <v>3722</v>
      </c>
      <c r="E1211" s="74">
        <v>40952.960995370369</v>
      </c>
      <c r="F1211" s="74"/>
      <c r="G1211" s="75" t="str">
        <f>IF(stdProdLT(Main[[#This Row],[Comments]])=0.1,"N/A",IF(stdProdLT(Main[[#This Row],[Comments]])=0,"",stdProdLT(Main[[#This Row],[Comments]])))</f>
        <v/>
      </c>
      <c r="H1211" s="76" t="str">
        <f>IF(AND(Main[[#This Row],[In Stock Date]]&lt;&gt;"",Main[[#This Row],[Revised Due Date]]&lt;&gt;""),Main[[#This Row],[In Stock Date]]-Main[[#This Row],[Revised Due Date]],"")</f>
        <v/>
      </c>
      <c r="I1211" s="72" t="s">
        <v>2054</v>
      </c>
      <c r="J1211" s="72" t="s">
        <v>28</v>
      </c>
      <c r="K1211" s="81" t="s">
        <v>4</v>
      </c>
      <c r="L1211" s="74"/>
      <c r="M1211" s="77" t="str">
        <f>IF(Main[[#This Row],[Tech Start Date]]&lt;1/1/1990,"",IF(Main[[#This Row],[Class]]="C",WORKDAY(Main[[#This Row],[Tech Start Date]],9),IF(Main[[#This Row],[Class]]="B", WORKDAY(Main[[#This Row],[Tech Start Date]],6),IF(Main[[#This Row],[Class]]="A",WORKDAY(Main[[#This Row],[Tech Start Date]],2),""))))</f>
        <v/>
      </c>
      <c r="N1211" s="77" t="str">
        <f>IF(Main[[#This Row],[Tech Start Date]]&lt;1/1/1990,"",IF(Main[[#This Row],[Class]]="C",WORKDAY(Main[[#This Row],[Tech Start Date]],19),IF(Main[[#This Row],[Class]]="B", WORKDAY(Main[[#This Row],[Tech Start Date]],12),IF(Main[[#This Row],[Class]]="A",WORKDAY(Main[[#This Row],[Tech Start Date]],4),""))))</f>
        <v/>
      </c>
      <c r="O1211" s="77" t="str">
        <f>IF(Main[[#This Row],[Tech Start Date]]&lt;1/1/1990,"",IF(Main[[#This Row],[Class]]="C",WORKDAY(Main[[#This Row],[Tech Start Date]],23),IF(Main[[#This Row],[Class]]="B", WORKDAY(Main[[#This Row],[Tech Start Date]],15),IF(Main[[#This Row],[Class]]="A",WORKDAY(Main[[#This Row],[Tech Start Date]],5),""))))</f>
        <v/>
      </c>
      <c r="P1211" s="77" t="str">
        <f>IF(Main[[#This Row],[Tech Start Date]]&lt;1/1/1990,"",IF(Main[[#This Row],[Class]]="C",WORKDAY(Main[[#This Row],[Tech Start Date]],28),IF(Main[[#This Row],[Class]]="B", WORKDAY(Main[[#This Row],[Tech Start Date]],19),IF(Main[[#This Row],[Class]]="A",WORKDAY(Main[[#This Row],[Tech Start Date]],9),""))))</f>
        <v/>
      </c>
      <c r="Q1211" s="74">
        <v>40953</v>
      </c>
      <c r="R1211" s="74"/>
      <c r="S1211" s="72" t="s">
        <v>6</v>
      </c>
      <c r="T1211" s="80" t="s">
        <v>4</v>
      </c>
      <c r="U1211" s="72" t="s">
        <v>29</v>
      </c>
      <c r="V1211" s="72" t="s">
        <v>1920</v>
      </c>
      <c r="W1211" s="72" t="s">
        <v>1921</v>
      </c>
      <c r="X1211" s="72" t="s">
        <v>2901</v>
      </c>
      <c r="Y1211" s="72" t="s">
        <v>3066</v>
      </c>
      <c r="Z1211" s="72" t="s">
        <v>30</v>
      </c>
      <c r="AA1211" s="146" t="s">
        <v>2901</v>
      </c>
    </row>
    <row r="1212" spans="1:27" ht="18.600000000000001" customHeight="1">
      <c r="A1212" s="139" t="str">
        <f>IF(priority(Main[[#This Row],[Comments]])&lt;&gt;0, priority(Main[[#This Row],[Comments]]),"")</f>
        <v/>
      </c>
      <c r="B1212" s="89" t="s">
        <v>3367</v>
      </c>
      <c r="C1212" s="72" t="s">
        <v>47</v>
      </c>
      <c r="D1212" s="73" t="s">
        <v>3368</v>
      </c>
      <c r="E1212" s="74"/>
      <c r="F1212" s="74"/>
      <c r="G1212" s="75" t="str">
        <f>IF(stdProdLT(Main[[#This Row],[Comments]])=0.1,"N/A",IF(stdProdLT(Main[[#This Row],[Comments]])=0,"",stdProdLT(Main[[#This Row],[Comments]])))</f>
        <v/>
      </c>
      <c r="H1212" s="76" t="str">
        <f>IF(AND(Main[[#This Row],[In Stock Date]]&lt;&gt;"",Main[[#This Row],[Revised Due Date]]&lt;&gt;""),Main[[#This Row],[In Stock Date]]-Main[[#This Row],[Revised Due Date]],"")</f>
        <v/>
      </c>
      <c r="I1212" s="72" t="s">
        <v>4</v>
      </c>
      <c r="J1212" s="72" t="s">
        <v>4</v>
      </c>
      <c r="K1212" s="72" t="s">
        <v>4</v>
      </c>
      <c r="L1212" s="74"/>
      <c r="M1212" s="77" t="str">
        <f>IF(Main[[#This Row],[Tech Start Date]]&lt;1/1/1990,"",IF(Main[[#This Row],[Class]]="C",WORKDAY(Main[[#This Row],[Tech Start Date]],9),IF(Main[[#This Row],[Class]]="B", WORKDAY(Main[[#This Row],[Tech Start Date]],6),IF(Main[[#This Row],[Class]]="A",WORKDAY(Main[[#This Row],[Tech Start Date]],2),""))))</f>
        <v/>
      </c>
      <c r="N1212" s="77" t="str">
        <f>IF(Main[[#This Row],[Tech Start Date]]&lt;1/1/1990,"",IF(Main[[#This Row],[Class]]="C",WORKDAY(Main[[#This Row],[Tech Start Date]],19),IF(Main[[#This Row],[Class]]="B", WORKDAY(Main[[#This Row],[Tech Start Date]],12),IF(Main[[#This Row],[Class]]="A",WORKDAY(Main[[#This Row],[Tech Start Date]],4),""))))</f>
        <v/>
      </c>
      <c r="O1212" s="77" t="str">
        <f>IF(Main[[#This Row],[Tech Start Date]]&lt;1/1/1990,"",IF(Main[[#This Row],[Class]]="C",WORKDAY(Main[[#This Row],[Tech Start Date]],23),IF(Main[[#This Row],[Class]]="B", WORKDAY(Main[[#This Row],[Tech Start Date]],15),IF(Main[[#This Row],[Class]]="A",WORKDAY(Main[[#This Row],[Tech Start Date]],5),""))))</f>
        <v/>
      </c>
      <c r="P1212" s="77" t="str">
        <f>IF(Main[[#This Row],[Tech Start Date]]&lt;1/1/1990,"",IF(Main[[#This Row],[Class]]="C",WORKDAY(Main[[#This Row],[Tech Start Date]],28),IF(Main[[#This Row],[Class]]="B", WORKDAY(Main[[#This Row],[Tech Start Date]],19),IF(Main[[#This Row],[Class]]="A",WORKDAY(Main[[#This Row],[Tech Start Date]],9),""))))</f>
        <v/>
      </c>
      <c r="Q1212" s="74">
        <v>40964</v>
      </c>
      <c r="R1212" s="74"/>
      <c r="S1212" s="72" t="s">
        <v>6</v>
      </c>
      <c r="T1212" s="80" t="s">
        <v>4</v>
      </c>
      <c r="U1212" s="72" t="s">
        <v>12</v>
      </c>
      <c r="V1212" s="72" t="s">
        <v>2288</v>
      </c>
      <c r="W1212" s="72" t="s">
        <v>4</v>
      </c>
      <c r="X1212" s="72" t="s">
        <v>2871</v>
      </c>
      <c r="Y1212" s="72" t="s">
        <v>4</v>
      </c>
      <c r="Z1212" s="72" t="s">
        <v>4</v>
      </c>
      <c r="AA1212" s="146" t="s">
        <v>2871</v>
      </c>
    </row>
    <row r="1213" spans="1:27" ht="18.600000000000001" customHeight="1">
      <c r="A1213" s="139" t="str">
        <f>IF(priority(Main[[#This Row],[Comments]])&lt;&gt;0, priority(Main[[#This Row],[Comments]]),"")</f>
        <v/>
      </c>
      <c r="B1213" s="89" t="s">
        <v>3288</v>
      </c>
      <c r="C1213" s="72" t="s">
        <v>3289</v>
      </c>
      <c r="D1213" s="73" t="s">
        <v>3290</v>
      </c>
      <c r="E1213" s="74"/>
      <c r="F1213" s="74">
        <v>41117</v>
      </c>
      <c r="G1213" s="75" t="str">
        <f>IF(stdProdLT(Main[[#This Row],[Comments]])=0.1,"N/A",IF(stdProdLT(Main[[#This Row],[Comments]])=0,"",stdProdLT(Main[[#This Row],[Comments]])))</f>
        <v/>
      </c>
      <c r="H1213" s="76" t="str">
        <f>IF(AND(Main[[#This Row],[In Stock Date]]&lt;&gt;"",Main[[#This Row],[Revised Due Date]]&lt;&gt;""),Main[[#This Row],[In Stock Date]]-Main[[#This Row],[Revised Due Date]],"")</f>
        <v/>
      </c>
      <c r="I1213" s="72" t="s">
        <v>4</v>
      </c>
      <c r="J1213" s="72" t="s">
        <v>4</v>
      </c>
      <c r="K1213" s="72" t="s">
        <v>4</v>
      </c>
      <c r="L1213" s="74"/>
      <c r="M1213" s="77" t="str">
        <f>IF(Main[[#This Row],[Tech Start Date]]&lt;1/1/1990,"",IF(Main[[#This Row],[Class]]="C",WORKDAY(Main[[#This Row],[Tech Start Date]],9),IF(Main[[#This Row],[Class]]="B", WORKDAY(Main[[#This Row],[Tech Start Date]],6),IF(Main[[#This Row],[Class]]="A",WORKDAY(Main[[#This Row],[Tech Start Date]],2),""))))</f>
        <v/>
      </c>
      <c r="N1213" s="77" t="str">
        <f>IF(Main[[#This Row],[Tech Start Date]]&lt;1/1/1990,"",IF(Main[[#This Row],[Class]]="C",WORKDAY(Main[[#This Row],[Tech Start Date]],19),IF(Main[[#This Row],[Class]]="B", WORKDAY(Main[[#This Row],[Tech Start Date]],12),IF(Main[[#This Row],[Class]]="A",WORKDAY(Main[[#This Row],[Tech Start Date]],4),""))))</f>
        <v/>
      </c>
      <c r="O1213" s="77" t="str">
        <f>IF(Main[[#This Row],[Tech Start Date]]&lt;1/1/1990,"",IF(Main[[#This Row],[Class]]="C",WORKDAY(Main[[#This Row],[Tech Start Date]],23),IF(Main[[#This Row],[Class]]="B", WORKDAY(Main[[#This Row],[Tech Start Date]],15),IF(Main[[#This Row],[Class]]="A",WORKDAY(Main[[#This Row],[Tech Start Date]],5),""))))</f>
        <v/>
      </c>
      <c r="P1213" s="77" t="str">
        <f>IF(Main[[#This Row],[Tech Start Date]]&lt;1/1/1990,"",IF(Main[[#This Row],[Class]]="C",WORKDAY(Main[[#This Row],[Tech Start Date]],28),IF(Main[[#This Row],[Class]]="B", WORKDAY(Main[[#This Row],[Tech Start Date]],19),IF(Main[[#This Row],[Class]]="A",WORKDAY(Main[[#This Row],[Tech Start Date]],9),""))))</f>
        <v/>
      </c>
      <c r="Q1213" s="74">
        <v>40935</v>
      </c>
      <c r="R1213" s="74"/>
      <c r="S1213" s="72" t="s">
        <v>11</v>
      </c>
      <c r="T1213" s="80" t="s">
        <v>3291</v>
      </c>
      <c r="U1213" s="72" t="s">
        <v>14</v>
      </c>
      <c r="V1213" s="72" t="s">
        <v>1917</v>
      </c>
      <c r="W1213" s="72" t="s">
        <v>1925</v>
      </c>
      <c r="X1213" s="72" t="s">
        <v>2912</v>
      </c>
      <c r="Y1213" s="72" t="s">
        <v>3102</v>
      </c>
      <c r="Z1213" s="72" t="s">
        <v>4</v>
      </c>
      <c r="AA1213" s="146" t="s">
        <v>2912</v>
      </c>
    </row>
    <row r="1214" spans="1:27" ht="18.600000000000001" customHeight="1">
      <c r="A1214" s="139" t="str">
        <f>IF(priority(Main[[#This Row],[Comments]])&lt;&gt;0, priority(Main[[#This Row],[Comments]]),"")</f>
        <v/>
      </c>
      <c r="B1214" s="89" t="s">
        <v>2731</v>
      </c>
      <c r="C1214" s="72" t="s">
        <v>4</v>
      </c>
      <c r="D1214" s="73" t="s">
        <v>2732</v>
      </c>
      <c r="E1214" s="74">
        <v>40884.635914351849</v>
      </c>
      <c r="F1214" s="74"/>
      <c r="G1214" s="75" t="str">
        <f>IF(stdProdLT(Main[[#This Row],[Comments]])=0.1,"N/A",IF(stdProdLT(Main[[#This Row],[Comments]])=0,"",stdProdLT(Main[[#This Row],[Comments]])))</f>
        <v/>
      </c>
      <c r="H1214" s="76" t="str">
        <f>IF(AND(Main[[#This Row],[In Stock Date]]&lt;&gt;"",Main[[#This Row],[Revised Due Date]]&lt;&gt;""),Main[[#This Row],[In Stock Date]]-Main[[#This Row],[Revised Due Date]],"")</f>
        <v/>
      </c>
      <c r="I1214" s="72" t="s">
        <v>4</v>
      </c>
      <c r="J1214" s="72" t="s">
        <v>4</v>
      </c>
      <c r="K1214" s="72" t="s">
        <v>4</v>
      </c>
      <c r="L1214" s="74"/>
      <c r="M1214" s="77" t="str">
        <f>IF(Main[[#This Row],[Tech Start Date]]&lt;1/1/1990,"",IF(Main[[#This Row],[Class]]="C",WORKDAY(Main[[#This Row],[Tech Start Date]],9),IF(Main[[#This Row],[Class]]="B", WORKDAY(Main[[#This Row],[Tech Start Date]],6),IF(Main[[#This Row],[Class]]="A",WORKDAY(Main[[#This Row],[Tech Start Date]],2),""))))</f>
        <v/>
      </c>
      <c r="N1214" s="77" t="str">
        <f>IF(Main[[#This Row],[Tech Start Date]]&lt;1/1/1990,"",IF(Main[[#This Row],[Class]]="C",WORKDAY(Main[[#This Row],[Tech Start Date]],19),IF(Main[[#This Row],[Class]]="B", WORKDAY(Main[[#This Row],[Tech Start Date]],12),IF(Main[[#This Row],[Class]]="A",WORKDAY(Main[[#This Row],[Tech Start Date]],4),""))))</f>
        <v/>
      </c>
      <c r="O1214" s="77" t="str">
        <f>IF(Main[[#This Row],[Tech Start Date]]&lt;1/1/1990,"",IF(Main[[#This Row],[Class]]="C",WORKDAY(Main[[#This Row],[Tech Start Date]],23),IF(Main[[#This Row],[Class]]="B", WORKDAY(Main[[#This Row],[Tech Start Date]],15),IF(Main[[#This Row],[Class]]="A",WORKDAY(Main[[#This Row],[Tech Start Date]],5),""))))</f>
        <v/>
      </c>
      <c r="P1214" s="77" t="str">
        <f>IF(Main[[#This Row],[Tech Start Date]]&lt;1/1/1990,"",IF(Main[[#This Row],[Class]]="C",WORKDAY(Main[[#This Row],[Tech Start Date]],28),IF(Main[[#This Row],[Class]]="B", WORKDAY(Main[[#This Row],[Tech Start Date]],19),IF(Main[[#This Row],[Class]]="A",WORKDAY(Main[[#This Row],[Tech Start Date]],9),""))))</f>
        <v/>
      </c>
      <c r="Q1214" s="74">
        <v>41000</v>
      </c>
      <c r="R1214" s="74"/>
      <c r="S1214" s="72" t="s">
        <v>11</v>
      </c>
      <c r="T1214" s="80" t="s">
        <v>4</v>
      </c>
      <c r="U1214" s="72" t="s">
        <v>7</v>
      </c>
      <c r="V1214" s="72" t="s">
        <v>1932</v>
      </c>
      <c r="W1214" s="72" t="s">
        <v>1922</v>
      </c>
      <c r="X1214" s="72" t="s">
        <v>924</v>
      </c>
      <c r="Y1214" s="72" t="s">
        <v>3078</v>
      </c>
      <c r="Z1214" s="72" t="s">
        <v>4</v>
      </c>
      <c r="AA1214" s="146" t="s">
        <v>909</v>
      </c>
    </row>
    <row r="1215" spans="1:27" ht="18.600000000000001" customHeight="1">
      <c r="A1215" s="139" t="str">
        <f>IF(priority(Main[[#This Row],[Comments]])&lt;&gt;0, priority(Main[[#This Row],[Comments]]),"")</f>
        <v/>
      </c>
      <c r="B1215" s="89" t="s">
        <v>2560</v>
      </c>
      <c r="C1215" s="72" t="s">
        <v>4</v>
      </c>
      <c r="D1215" s="73" t="s">
        <v>2559</v>
      </c>
      <c r="E1215" s="74"/>
      <c r="F1215" s="74"/>
      <c r="G1215" s="75" t="str">
        <f>IF(stdProdLT(Main[[#This Row],[Comments]])=0.1,"N/A",IF(stdProdLT(Main[[#This Row],[Comments]])=0,"",stdProdLT(Main[[#This Row],[Comments]])))</f>
        <v/>
      </c>
      <c r="H1215" s="76" t="str">
        <f>IF(AND(Main[[#This Row],[In Stock Date]]&lt;&gt;"",Main[[#This Row],[Revised Due Date]]&lt;&gt;""),Main[[#This Row],[In Stock Date]]-Main[[#This Row],[Revised Due Date]],"")</f>
        <v/>
      </c>
      <c r="I1215" s="72" t="s">
        <v>4</v>
      </c>
      <c r="J1215" s="72" t="s">
        <v>4</v>
      </c>
      <c r="K1215" s="81" t="s">
        <v>4</v>
      </c>
      <c r="L1215" s="74"/>
      <c r="M1215" s="77" t="str">
        <f>IF(Main[[#This Row],[Tech Start Date]]&lt;1/1/1990,"",IF(Main[[#This Row],[Class]]="C",WORKDAY(Main[[#This Row],[Tech Start Date]],9),IF(Main[[#This Row],[Class]]="B", WORKDAY(Main[[#This Row],[Tech Start Date]],6),IF(Main[[#This Row],[Class]]="A",WORKDAY(Main[[#This Row],[Tech Start Date]],2),""))))</f>
        <v/>
      </c>
      <c r="N1215" s="77" t="str">
        <f>IF(Main[[#This Row],[Tech Start Date]]&lt;1/1/1990,"",IF(Main[[#This Row],[Class]]="C",WORKDAY(Main[[#This Row],[Tech Start Date]],19),IF(Main[[#This Row],[Class]]="B", WORKDAY(Main[[#This Row],[Tech Start Date]],12),IF(Main[[#This Row],[Class]]="A",WORKDAY(Main[[#This Row],[Tech Start Date]],4),""))))</f>
        <v/>
      </c>
      <c r="O1215" s="77" t="str">
        <f>IF(Main[[#This Row],[Tech Start Date]]&lt;1/1/1990,"",IF(Main[[#This Row],[Class]]="C",WORKDAY(Main[[#This Row],[Tech Start Date]],23),IF(Main[[#This Row],[Class]]="B", WORKDAY(Main[[#This Row],[Tech Start Date]],15),IF(Main[[#This Row],[Class]]="A",WORKDAY(Main[[#This Row],[Tech Start Date]],5),""))))</f>
        <v/>
      </c>
      <c r="P1215" s="77" t="str">
        <f>IF(Main[[#This Row],[Tech Start Date]]&lt;1/1/1990,"",IF(Main[[#This Row],[Class]]="C",WORKDAY(Main[[#This Row],[Tech Start Date]],28),IF(Main[[#This Row],[Class]]="B", WORKDAY(Main[[#This Row],[Tech Start Date]],19),IF(Main[[#This Row],[Class]]="A",WORKDAY(Main[[#This Row],[Tech Start Date]],9),""))))</f>
        <v/>
      </c>
      <c r="Q1215" s="74">
        <v>40891</v>
      </c>
      <c r="R1215" s="74"/>
      <c r="S1215" s="72" t="s">
        <v>6</v>
      </c>
      <c r="T1215" s="80" t="s">
        <v>4</v>
      </c>
      <c r="U1215" s="72" t="s">
        <v>12</v>
      </c>
      <c r="V1215" s="72" t="s">
        <v>1920</v>
      </c>
      <c r="W1215" s="72" t="s">
        <v>4</v>
      </c>
      <c r="X1215" s="72" t="s">
        <v>2828</v>
      </c>
      <c r="Y1215" s="72" t="s">
        <v>2944</v>
      </c>
      <c r="Z1215" s="72" t="s">
        <v>4</v>
      </c>
      <c r="AA1215" s="146" t="s">
        <v>2828</v>
      </c>
    </row>
    <row r="1216" spans="1:27" ht="18.600000000000001" customHeight="1">
      <c r="A1216" s="139" t="str">
        <f>IF(priority(Main[[#This Row],[Comments]])&lt;&gt;0, priority(Main[[#This Row],[Comments]]),"")</f>
        <v/>
      </c>
      <c r="B1216" s="89" t="s">
        <v>2189</v>
      </c>
      <c r="C1216" s="72" t="s">
        <v>4</v>
      </c>
      <c r="D1216" s="73" t="s">
        <v>2190</v>
      </c>
      <c r="E1216" s="74">
        <v>40792.385717592595</v>
      </c>
      <c r="F1216" s="74"/>
      <c r="G1216" s="75" t="str">
        <f>IF(stdProdLT(Main[[#This Row],[Comments]])=0.1,"N/A",IF(stdProdLT(Main[[#This Row],[Comments]])=0,"",stdProdLT(Main[[#This Row],[Comments]])))</f>
        <v/>
      </c>
      <c r="H1216" s="76" t="str">
        <f>IF(AND(Main[[#This Row],[In Stock Date]]&lt;&gt;"",Main[[#This Row],[Revised Due Date]]&lt;&gt;""),Main[[#This Row],[In Stock Date]]-Main[[#This Row],[Revised Due Date]],"")</f>
        <v/>
      </c>
      <c r="I1216" s="72" t="s">
        <v>81</v>
      </c>
      <c r="J1216" s="72" t="s">
        <v>70</v>
      </c>
      <c r="K1216" s="72" t="s">
        <v>1926</v>
      </c>
      <c r="L1216" s="74"/>
      <c r="M1216" s="77" t="str">
        <f>IF(Main[[#This Row],[Tech Start Date]]&lt;1/1/1990,"",IF(Main[[#This Row],[Class]]="C",WORKDAY(Main[[#This Row],[Tech Start Date]],9),IF(Main[[#This Row],[Class]]="B", WORKDAY(Main[[#This Row],[Tech Start Date]],6),IF(Main[[#This Row],[Class]]="A",WORKDAY(Main[[#This Row],[Tech Start Date]],2),""))))</f>
        <v/>
      </c>
      <c r="N1216" s="77" t="str">
        <f>IF(Main[[#This Row],[Tech Start Date]]&lt;1/1/1990,"",IF(Main[[#This Row],[Class]]="C",WORKDAY(Main[[#This Row],[Tech Start Date]],19),IF(Main[[#This Row],[Class]]="B", WORKDAY(Main[[#This Row],[Tech Start Date]],12),IF(Main[[#This Row],[Class]]="A",WORKDAY(Main[[#This Row],[Tech Start Date]],4),""))))</f>
        <v/>
      </c>
      <c r="O1216" s="77" t="str">
        <f>IF(Main[[#This Row],[Tech Start Date]]&lt;1/1/1990,"",IF(Main[[#This Row],[Class]]="C",WORKDAY(Main[[#This Row],[Tech Start Date]],23),IF(Main[[#This Row],[Class]]="B", WORKDAY(Main[[#This Row],[Tech Start Date]],15),IF(Main[[#This Row],[Class]]="A",WORKDAY(Main[[#This Row],[Tech Start Date]],5),""))))</f>
        <v/>
      </c>
      <c r="P1216" s="77" t="str">
        <f>IF(Main[[#This Row],[Tech Start Date]]&lt;1/1/1990,"",IF(Main[[#This Row],[Class]]="C",WORKDAY(Main[[#This Row],[Tech Start Date]],28),IF(Main[[#This Row],[Class]]="B", WORKDAY(Main[[#This Row],[Tech Start Date]],19),IF(Main[[#This Row],[Class]]="A",WORKDAY(Main[[#This Row],[Tech Start Date]],9),""))))</f>
        <v/>
      </c>
      <c r="Q1216" s="74">
        <v>40823</v>
      </c>
      <c r="R1216" s="74"/>
      <c r="S1216" s="72" t="s">
        <v>6</v>
      </c>
      <c r="T1216" s="80" t="s">
        <v>4</v>
      </c>
      <c r="U1216" s="72" t="s">
        <v>29</v>
      </c>
      <c r="V1216" s="72" t="s">
        <v>1920</v>
      </c>
      <c r="W1216" s="72" t="s">
        <v>1921</v>
      </c>
      <c r="X1216" s="72" t="s">
        <v>2824</v>
      </c>
      <c r="Y1216" s="72" t="s">
        <v>2935</v>
      </c>
      <c r="Z1216" s="72" t="s">
        <v>30</v>
      </c>
      <c r="AA1216" s="146" t="s">
        <v>2824</v>
      </c>
    </row>
    <row r="1217" spans="1:27" ht="18.600000000000001" customHeight="1">
      <c r="A1217" s="139" t="str">
        <f>IF(priority(Main[[#This Row],[Comments]])&lt;&gt;0, priority(Main[[#This Row],[Comments]]),"")</f>
        <v/>
      </c>
      <c r="B1217" s="89" t="s">
        <v>3723</v>
      </c>
      <c r="C1217" s="72" t="s">
        <v>4</v>
      </c>
      <c r="D1217" s="73" t="s">
        <v>3724</v>
      </c>
      <c r="E1217" s="74">
        <v>40953.329780092594</v>
      </c>
      <c r="F1217" s="74"/>
      <c r="G1217" s="75" t="str">
        <f>IF(stdProdLT(Main[[#This Row],[Comments]])=0.1,"N/A",IF(stdProdLT(Main[[#This Row],[Comments]])=0,"",stdProdLT(Main[[#This Row],[Comments]])))</f>
        <v/>
      </c>
      <c r="H1217" s="76" t="str">
        <f>IF(AND(Main[[#This Row],[In Stock Date]]&lt;&gt;"",Main[[#This Row],[Revised Due Date]]&lt;&gt;""),Main[[#This Row],[In Stock Date]]-Main[[#This Row],[Revised Due Date]],"")</f>
        <v/>
      </c>
      <c r="I1217" s="72" t="s">
        <v>530</v>
      </c>
      <c r="J1217" s="72" t="s">
        <v>28</v>
      </c>
      <c r="K1217" s="72" t="s">
        <v>1926</v>
      </c>
      <c r="L1217" s="74"/>
      <c r="M1217" s="77" t="str">
        <f>IF(Main[[#This Row],[Tech Start Date]]&lt;1/1/1990,"",IF(Main[[#This Row],[Class]]="C",WORKDAY(Main[[#This Row],[Tech Start Date]],9),IF(Main[[#This Row],[Class]]="B", WORKDAY(Main[[#This Row],[Tech Start Date]],6),IF(Main[[#This Row],[Class]]="A",WORKDAY(Main[[#This Row],[Tech Start Date]],2),""))))</f>
        <v/>
      </c>
      <c r="N1217" s="77" t="str">
        <f>IF(Main[[#This Row],[Tech Start Date]]&lt;1/1/1990,"",IF(Main[[#This Row],[Class]]="C",WORKDAY(Main[[#This Row],[Tech Start Date]],19),IF(Main[[#This Row],[Class]]="B", WORKDAY(Main[[#This Row],[Tech Start Date]],12),IF(Main[[#This Row],[Class]]="A",WORKDAY(Main[[#This Row],[Tech Start Date]],4),""))))</f>
        <v/>
      </c>
      <c r="O1217" s="77" t="str">
        <f>IF(Main[[#This Row],[Tech Start Date]]&lt;1/1/1990,"",IF(Main[[#This Row],[Class]]="C",WORKDAY(Main[[#This Row],[Tech Start Date]],23),IF(Main[[#This Row],[Class]]="B", WORKDAY(Main[[#This Row],[Tech Start Date]],15),IF(Main[[#This Row],[Class]]="A",WORKDAY(Main[[#This Row],[Tech Start Date]],5),""))))</f>
        <v/>
      </c>
      <c r="P1217" s="77" t="str">
        <f>IF(Main[[#This Row],[Tech Start Date]]&lt;1/1/1990,"",IF(Main[[#This Row],[Class]]="C",WORKDAY(Main[[#This Row],[Tech Start Date]],28),IF(Main[[#This Row],[Class]]="B", WORKDAY(Main[[#This Row],[Tech Start Date]],19),IF(Main[[#This Row],[Class]]="A",WORKDAY(Main[[#This Row],[Tech Start Date]],9),""))))</f>
        <v/>
      </c>
      <c r="Q1217" s="74">
        <v>40984</v>
      </c>
      <c r="R1217" s="74"/>
      <c r="S1217" s="72" t="s">
        <v>6</v>
      </c>
      <c r="T1217" s="80" t="s">
        <v>4</v>
      </c>
      <c r="U1217" s="72" t="s">
        <v>29</v>
      </c>
      <c r="V1217" s="72" t="s">
        <v>1920</v>
      </c>
      <c r="W1217" s="72" t="s">
        <v>1921</v>
      </c>
      <c r="X1217" s="72" t="s">
        <v>2824</v>
      </c>
      <c r="Y1217" s="72" t="s">
        <v>2935</v>
      </c>
      <c r="Z1217" s="72" t="s">
        <v>30</v>
      </c>
      <c r="AA1217" s="146" t="s">
        <v>2824</v>
      </c>
    </row>
    <row r="1218" spans="1:27" ht="18.600000000000001" customHeight="1">
      <c r="A1218" s="139" t="str">
        <f>IF(priority(Main[[#This Row],[Comments]])&lt;&gt;0, priority(Main[[#This Row],[Comments]]),"")</f>
        <v/>
      </c>
      <c r="B1218" s="89" t="s">
        <v>2666</v>
      </c>
      <c r="C1218" s="72" t="s">
        <v>4</v>
      </c>
      <c r="D1218" s="73" t="s">
        <v>2667</v>
      </c>
      <c r="E1218" s="74"/>
      <c r="F1218" s="74"/>
      <c r="G1218" s="75" t="str">
        <f>IF(stdProdLT(Main[[#This Row],[Comments]])=0.1,"N/A",IF(stdProdLT(Main[[#This Row],[Comments]])=0,"",stdProdLT(Main[[#This Row],[Comments]])))</f>
        <v/>
      </c>
      <c r="H1218" s="76" t="str">
        <f>IF(AND(Main[[#This Row],[In Stock Date]]&lt;&gt;"",Main[[#This Row],[Revised Due Date]]&lt;&gt;""),Main[[#This Row],[In Stock Date]]-Main[[#This Row],[Revised Due Date]],"")</f>
        <v/>
      </c>
      <c r="I1218" s="72" t="s">
        <v>4</v>
      </c>
      <c r="J1218" s="72" t="s">
        <v>4</v>
      </c>
      <c r="K1218" s="81" t="s">
        <v>4</v>
      </c>
      <c r="L1218" s="74"/>
      <c r="M1218" s="77" t="str">
        <f>IF(Main[[#This Row],[Tech Start Date]]&lt;1/1/1990,"",IF(Main[[#This Row],[Class]]="C",WORKDAY(Main[[#This Row],[Tech Start Date]],9),IF(Main[[#This Row],[Class]]="B", WORKDAY(Main[[#This Row],[Tech Start Date]],6),IF(Main[[#This Row],[Class]]="A",WORKDAY(Main[[#This Row],[Tech Start Date]],2),""))))</f>
        <v/>
      </c>
      <c r="N1218" s="77" t="str">
        <f>IF(Main[[#This Row],[Tech Start Date]]&lt;1/1/1990,"",IF(Main[[#This Row],[Class]]="C",WORKDAY(Main[[#This Row],[Tech Start Date]],19),IF(Main[[#This Row],[Class]]="B", WORKDAY(Main[[#This Row],[Tech Start Date]],12),IF(Main[[#This Row],[Class]]="A",WORKDAY(Main[[#This Row],[Tech Start Date]],4),""))))</f>
        <v/>
      </c>
      <c r="O1218" s="77" t="str">
        <f>IF(Main[[#This Row],[Tech Start Date]]&lt;1/1/1990,"",IF(Main[[#This Row],[Class]]="C",WORKDAY(Main[[#This Row],[Tech Start Date]],23),IF(Main[[#This Row],[Class]]="B", WORKDAY(Main[[#This Row],[Tech Start Date]],15),IF(Main[[#This Row],[Class]]="A",WORKDAY(Main[[#This Row],[Tech Start Date]],5),""))))</f>
        <v/>
      </c>
      <c r="P1218" s="77" t="str">
        <f>IF(Main[[#This Row],[Tech Start Date]]&lt;1/1/1990,"",IF(Main[[#This Row],[Class]]="C",WORKDAY(Main[[#This Row],[Tech Start Date]],28),IF(Main[[#This Row],[Class]]="B", WORKDAY(Main[[#This Row],[Tech Start Date]],19),IF(Main[[#This Row],[Class]]="A",WORKDAY(Main[[#This Row],[Tech Start Date]],9),""))))</f>
        <v/>
      </c>
      <c r="Q1218" s="74">
        <v>40884</v>
      </c>
      <c r="R1218" s="74"/>
      <c r="S1218" s="72" t="s">
        <v>4</v>
      </c>
      <c r="T1218" s="80" t="s">
        <v>4</v>
      </c>
      <c r="U1218" s="72" t="s">
        <v>14</v>
      </c>
      <c r="V1218" s="72" t="s">
        <v>1927</v>
      </c>
      <c r="W1218" s="72" t="s">
        <v>1925</v>
      </c>
      <c r="X1218" s="72" t="s">
        <v>2863</v>
      </c>
      <c r="Y1218" s="72" t="s">
        <v>3004</v>
      </c>
      <c r="Z1218" s="72" t="s">
        <v>4</v>
      </c>
      <c r="AA1218" s="146" t="s">
        <v>2863</v>
      </c>
    </row>
    <row r="1219" spans="1:27" ht="18.600000000000001" customHeight="1">
      <c r="A1219" s="139" t="str">
        <f>IF(priority(Main[[#This Row],[Comments]])&lt;&gt;0, priority(Main[[#This Row],[Comments]]),"")</f>
        <v/>
      </c>
      <c r="B1219" s="89" t="s">
        <v>1203</v>
      </c>
      <c r="C1219" s="72" t="s">
        <v>4</v>
      </c>
      <c r="D1219" s="73" t="s">
        <v>3727</v>
      </c>
      <c r="E1219" s="74">
        <v>40667.612881944442</v>
      </c>
      <c r="F1219" s="74"/>
      <c r="G1219" s="75" t="str">
        <f>IF(stdProdLT(Main[[#This Row],[Comments]])=0.1,"N/A",IF(stdProdLT(Main[[#This Row],[Comments]])=0,"",stdProdLT(Main[[#This Row],[Comments]])))</f>
        <v/>
      </c>
      <c r="H1219" s="76" t="str">
        <f>IF(AND(Main[[#This Row],[In Stock Date]]&lt;&gt;"",Main[[#This Row],[Revised Due Date]]&lt;&gt;""),Main[[#This Row],[In Stock Date]]-Main[[#This Row],[Revised Due Date]],"")</f>
        <v/>
      </c>
      <c r="I1219" s="72" t="s">
        <v>4</v>
      </c>
      <c r="J1219" s="72" t="s">
        <v>4</v>
      </c>
      <c r="K1219" s="81" t="s">
        <v>4</v>
      </c>
      <c r="L1219" s="74"/>
      <c r="M1219" s="77" t="str">
        <f>IF(Main[[#This Row],[Tech Start Date]]&lt;1/1/1990,"",IF(Main[[#This Row],[Class]]="C",WORKDAY(Main[[#This Row],[Tech Start Date]],9),IF(Main[[#This Row],[Class]]="B", WORKDAY(Main[[#This Row],[Tech Start Date]],6),IF(Main[[#This Row],[Class]]="A",WORKDAY(Main[[#This Row],[Tech Start Date]],2),""))))</f>
        <v/>
      </c>
      <c r="N1219" s="77" t="str">
        <f>IF(Main[[#This Row],[Tech Start Date]]&lt;1/1/1990,"",IF(Main[[#This Row],[Class]]="C",WORKDAY(Main[[#This Row],[Tech Start Date]],19),IF(Main[[#This Row],[Class]]="B", WORKDAY(Main[[#This Row],[Tech Start Date]],12),IF(Main[[#This Row],[Class]]="A",WORKDAY(Main[[#This Row],[Tech Start Date]],4),""))))</f>
        <v/>
      </c>
      <c r="O1219" s="77" t="str">
        <f>IF(Main[[#This Row],[Tech Start Date]]&lt;1/1/1990,"",IF(Main[[#This Row],[Class]]="C",WORKDAY(Main[[#This Row],[Tech Start Date]],23),IF(Main[[#This Row],[Class]]="B", WORKDAY(Main[[#This Row],[Tech Start Date]],15),IF(Main[[#This Row],[Class]]="A",WORKDAY(Main[[#This Row],[Tech Start Date]],5),""))))</f>
        <v/>
      </c>
      <c r="P1219" s="77" t="str">
        <f>IF(Main[[#This Row],[Tech Start Date]]&lt;1/1/1990,"",IF(Main[[#This Row],[Class]]="C",WORKDAY(Main[[#This Row],[Tech Start Date]],28),IF(Main[[#This Row],[Class]]="B", WORKDAY(Main[[#This Row],[Tech Start Date]],19),IF(Main[[#This Row],[Class]]="A",WORKDAY(Main[[#This Row],[Tech Start Date]],9),""))))</f>
        <v/>
      </c>
      <c r="Q1219" s="74">
        <v>40858</v>
      </c>
      <c r="R1219" s="74"/>
      <c r="S1219" s="72" t="s">
        <v>17</v>
      </c>
      <c r="T1219" s="80" t="s">
        <v>4</v>
      </c>
      <c r="U1219" s="72" t="s">
        <v>7</v>
      </c>
      <c r="V1219" s="72" t="s">
        <v>1917</v>
      </c>
      <c r="W1219" s="72" t="s">
        <v>1922</v>
      </c>
      <c r="X1219" s="72" t="s">
        <v>50</v>
      </c>
      <c r="Y1219" s="72" t="s">
        <v>2965</v>
      </c>
      <c r="Z1219" s="72" t="s">
        <v>4</v>
      </c>
      <c r="AA1219" s="146" t="s">
        <v>2834</v>
      </c>
    </row>
    <row r="1220" spans="1:27" ht="18.600000000000001" customHeight="1">
      <c r="A1220" s="139" t="str">
        <f>IF(priority(Main[[#This Row],[Comments]])&lt;&gt;0, priority(Main[[#This Row],[Comments]]),"")</f>
        <v/>
      </c>
      <c r="B1220" s="89" t="s">
        <v>3728</v>
      </c>
      <c r="C1220" s="72" t="s">
        <v>4</v>
      </c>
      <c r="D1220" s="73" t="s">
        <v>3729</v>
      </c>
      <c r="E1220" s="74">
        <v>40960.145115740743</v>
      </c>
      <c r="F1220" s="74"/>
      <c r="G1220" s="75" t="str">
        <f>IF(stdProdLT(Main[[#This Row],[Comments]])=0.1,"N/A",IF(stdProdLT(Main[[#This Row],[Comments]])=0,"",stdProdLT(Main[[#This Row],[Comments]])))</f>
        <v/>
      </c>
      <c r="H1220" s="76" t="str">
        <f>IF(AND(Main[[#This Row],[In Stock Date]]&lt;&gt;"",Main[[#This Row],[Revised Due Date]]&lt;&gt;""),Main[[#This Row],[In Stock Date]]-Main[[#This Row],[Revised Due Date]],"")</f>
        <v/>
      </c>
      <c r="I1220" s="72" t="s">
        <v>914</v>
      </c>
      <c r="J1220" s="72" t="s">
        <v>52</v>
      </c>
      <c r="K1220" s="81" t="s">
        <v>4</v>
      </c>
      <c r="L1220" s="74"/>
      <c r="M1220" s="77" t="str">
        <f>IF(Main[[#This Row],[Tech Start Date]]&lt;1/1/1990,"",IF(Main[[#This Row],[Class]]="C",WORKDAY(Main[[#This Row],[Tech Start Date]],9),IF(Main[[#This Row],[Class]]="B", WORKDAY(Main[[#This Row],[Tech Start Date]],6),IF(Main[[#This Row],[Class]]="A",WORKDAY(Main[[#This Row],[Tech Start Date]],2),""))))</f>
        <v/>
      </c>
      <c r="N1220" s="77" t="str">
        <f>IF(Main[[#This Row],[Tech Start Date]]&lt;1/1/1990,"",IF(Main[[#This Row],[Class]]="C",WORKDAY(Main[[#This Row],[Tech Start Date]],19),IF(Main[[#This Row],[Class]]="B", WORKDAY(Main[[#This Row],[Tech Start Date]],12),IF(Main[[#This Row],[Class]]="A",WORKDAY(Main[[#This Row],[Tech Start Date]],4),""))))</f>
        <v/>
      </c>
      <c r="O1220" s="77" t="str">
        <f>IF(Main[[#This Row],[Tech Start Date]]&lt;1/1/1990,"",IF(Main[[#This Row],[Class]]="C",WORKDAY(Main[[#This Row],[Tech Start Date]],23),IF(Main[[#This Row],[Class]]="B", WORKDAY(Main[[#This Row],[Tech Start Date]],15),IF(Main[[#This Row],[Class]]="A",WORKDAY(Main[[#This Row],[Tech Start Date]],5),""))))</f>
        <v/>
      </c>
      <c r="P1220" s="77" t="str">
        <f>IF(Main[[#This Row],[Tech Start Date]]&lt;1/1/1990,"",IF(Main[[#This Row],[Class]]="C",WORKDAY(Main[[#This Row],[Tech Start Date]],28),IF(Main[[#This Row],[Class]]="B", WORKDAY(Main[[#This Row],[Tech Start Date]],19),IF(Main[[#This Row],[Class]]="A",WORKDAY(Main[[#This Row],[Tech Start Date]],9),""))))</f>
        <v/>
      </c>
      <c r="Q1220" s="74">
        <v>40989</v>
      </c>
      <c r="R1220" s="74"/>
      <c r="S1220" s="72" t="s">
        <v>6</v>
      </c>
      <c r="T1220" s="80" t="s">
        <v>4</v>
      </c>
      <c r="U1220" s="72" t="s">
        <v>29</v>
      </c>
      <c r="V1220" s="72" t="s">
        <v>1917</v>
      </c>
      <c r="W1220" s="72" t="s">
        <v>4</v>
      </c>
      <c r="X1220" s="72" t="s">
        <v>2828</v>
      </c>
      <c r="Y1220" s="72" t="s">
        <v>2944</v>
      </c>
      <c r="Z1220" s="72" t="s">
        <v>129</v>
      </c>
      <c r="AA1220" s="146" t="s">
        <v>2828</v>
      </c>
    </row>
    <row r="1221" spans="1:27" ht="18.600000000000001" customHeight="1">
      <c r="A1221" s="139" t="str">
        <f>IF(priority(Main[[#This Row],[Comments]])&lt;&gt;0, priority(Main[[#This Row],[Comments]]),"")</f>
        <v/>
      </c>
      <c r="B1221" s="89" t="s">
        <v>2740</v>
      </c>
      <c r="C1221" s="72" t="s">
        <v>4</v>
      </c>
      <c r="D1221" s="73" t="s">
        <v>3364</v>
      </c>
      <c r="E1221" s="74">
        <v>40891.136469907404</v>
      </c>
      <c r="F1221" s="74"/>
      <c r="G1221" s="75" t="str">
        <f>IF(stdProdLT(Main[[#This Row],[Comments]])=0.1,"N/A",IF(stdProdLT(Main[[#This Row],[Comments]])=0,"",stdProdLT(Main[[#This Row],[Comments]])))</f>
        <v/>
      </c>
      <c r="H1221" s="76" t="str">
        <f>IF(AND(Main[[#This Row],[In Stock Date]]&lt;&gt;"",Main[[#This Row],[Revised Due Date]]&lt;&gt;""),Main[[#This Row],[In Stock Date]]-Main[[#This Row],[Revised Due Date]],"")</f>
        <v/>
      </c>
      <c r="I1221" s="72" t="s">
        <v>69</v>
      </c>
      <c r="J1221" s="72" t="s">
        <v>70</v>
      </c>
      <c r="K1221" s="72" t="s">
        <v>1926</v>
      </c>
      <c r="L1221" s="74"/>
      <c r="M1221" s="77" t="str">
        <f>IF(Main[[#This Row],[Tech Start Date]]&lt;1/1/1990,"",IF(Main[[#This Row],[Class]]="C",WORKDAY(Main[[#This Row],[Tech Start Date]],9),IF(Main[[#This Row],[Class]]="B", WORKDAY(Main[[#This Row],[Tech Start Date]],6),IF(Main[[#This Row],[Class]]="A",WORKDAY(Main[[#This Row],[Tech Start Date]],2),""))))</f>
        <v/>
      </c>
      <c r="N1221" s="77" t="str">
        <f>IF(Main[[#This Row],[Tech Start Date]]&lt;1/1/1990,"",IF(Main[[#This Row],[Class]]="C",WORKDAY(Main[[#This Row],[Tech Start Date]],19),IF(Main[[#This Row],[Class]]="B", WORKDAY(Main[[#This Row],[Tech Start Date]],12),IF(Main[[#This Row],[Class]]="A",WORKDAY(Main[[#This Row],[Tech Start Date]],4),""))))</f>
        <v/>
      </c>
      <c r="O1221" s="77" t="str">
        <f>IF(Main[[#This Row],[Tech Start Date]]&lt;1/1/1990,"",IF(Main[[#This Row],[Class]]="C",WORKDAY(Main[[#This Row],[Tech Start Date]],23),IF(Main[[#This Row],[Class]]="B", WORKDAY(Main[[#This Row],[Tech Start Date]],15),IF(Main[[#This Row],[Class]]="A",WORKDAY(Main[[#This Row],[Tech Start Date]],5),""))))</f>
        <v/>
      </c>
      <c r="P1221" s="77" t="str">
        <f>IF(Main[[#This Row],[Tech Start Date]]&lt;1/1/1990,"",IF(Main[[#This Row],[Class]]="C",WORKDAY(Main[[#This Row],[Tech Start Date]],28),IF(Main[[#This Row],[Class]]="B", WORKDAY(Main[[#This Row],[Tech Start Date]],19),IF(Main[[#This Row],[Class]]="A",WORKDAY(Main[[#This Row],[Tech Start Date]],9),""))))</f>
        <v/>
      </c>
      <c r="Q1221" s="74">
        <v>40914</v>
      </c>
      <c r="R1221" s="74"/>
      <c r="S1221" s="72" t="s">
        <v>6</v>
      </c>
      <c r="T1221" s="80" t="s">
        <v>4</v>
      </c>
      <c r="U1221" s="72" t="s">
        <v>29</v>
      </c>
      <c r="V1221" s="72" t="s">
        <v>1920</v>
      </c>
      <c r="W1221" s="72" t="s">
        <v>1921</v>
      </c>
      <c r="X1221" s="72" t="s">
        <v>2857</v>
      </c>
      <c r="Y1221" s="72" t="s">
        <v>2992</v>
      </c>
      <c r="Z1221" s="72" t="s">
        <v>30</v>
      </c>
      <c r="AA1221" s="146" t="s">
        <v>2857</v>
      </c>
    </row>
    <row r="1222" spans="1:27" ht="18.600000000000001" customHeight="1">
      <c r="A1222" s="139" t="str">
        <f>IF(priority(Main[[#This Row],[Comments]])&lt;&gt;0, priority(Main[[#This Row],[Comments]]),"")</f>
        <v/>
      </c>
      <c r="B1222" s="89" t="s">
        <v>2564</v>
      </c>
      <c r="C1222" s="72" t="s">
        <v>4</v>
      </c>
      <c r="D1222" s="73" t="s">
        <v>2565</v>
      </c>
      <c r="E1222" s="74">
        <v>40835.766481481478</v>
      </c>
      <c r="F1222" s="74"/>
      <c r="G1222" s="75" t="str">
        <f>IF(stdProdLT(Main[[#This Row],[Comments]])=0.1,"N/A",IF(stdProdLT(Main[[#This Row],[Comments]])=0,"",stdProdLT(Main[[#This Row],[Comments]])))</f>
        <v/>
      </c>
      <c r="H1222" s="76" t="str">
        <f>IF(AND(Main[[#This Row],[In Stock Date]]&lt;&gt;"",Main[[#This Row],[Revised Due Date]]&lt;&gt;""),Main[[#This Row],[In Stock Date]]-Main[[#This Row],[Revised Due Date]],"")</f>
        <v/>
      </c>
      <c r="I1222" s="72" t="s">
        <v>4</v>
      </c>
      <c r="J1222" s="72" t="s">
        <v>4</v>
      </c>
      <c r="K1222" s="81" t="s">
        <v>4</v>
      </c>
      <c r="L1222" s="74"/>
      <c r="M1222" s="77" t="str">
        <f>IF(Main[[#This Row],[Tech Start Date]]&lt;1/1/1990,"",IF(Main[[#This Row],[Class]]="C",WORKDAY(Main[[#This Row],[Tech Start Date]],9),IF(Main[[#This Row],[Class]]="B", WORKDAY(Main[[#This Row],[Tech Start Date]],6),IF(Main[[#This Row],[Class]]="A",WORKDAY(Main[[#This Row],[Tech Start Date]],2),""))))</f>
        <v/>
      </c>
      <c r="N1222" s="77" t="str">
        <f>IF(Main[[#This Row],[Tech Start Date]]&lt;1/1/1990,"",IF(Main[[#This Row],[Class]]="C",WORKDAY(Main[[#This Row],[Tech Start Date]],19),IF(Main[[#This Row],[Class]]="B", WORKDAY(Main[[#This Row],[Tech Start Date]],12),IF(Main[[#This Row],[Class]]="A",WORKDAY(Main[[#This Row],[Tech Start Date]],4),""))))</f>
        <v/>
      </c>
      <c r="O1222" s="77" t="str">
        <f>IF(Main[[#This Row],[Tech Start Date]]&lt;1/1/1990,"",IF(Main[[#This Row],[Class]]="C",WORKDAY(Main[[#This Row],[Tech Start Date]],23),IF(Main[[#This Row],[Class]]="B", WORKDAY(Main[[#This Row],[Tech Start Date]],15),IF(Main[[#This Row],[Class]]="A",WORKDAY(Main[[#This Row],[Tech Start Date]],5),""))))</f>
        <v/>
      </c>
      <c r="P1222" s="77" t="str">
        <f>IF(Main[[#This Row],[Tech Start Date]]&lt;1/1/1990,"",IF(Main[[#This Row],[Class]]="C",WORKDAY(Main[[#This Row],[Tech Start Date]],28),IF(Main[[#This Row],[Class]]="B", WORKDAY(Main[[#This Row],[Tech Start Date]],19),IF(Main[[#This Row],[Class]]="A",WORKDAY(Main[[#This Row],[Tech Start Date]],9),""))))</f>
        <v/>
      </c>
      <c r="Q1222" s="74">
        <v>40858</v>
      </c>
      <c r="R1222" s="74"/>
      <c r="S1222" s="72" t="s">
        <v>6</v>
      </c>
      <c r="T1222" s="80" t="s">
        <v>4</v>
      </c>
      <c r="U1222" s="72" t="s">
        <v>7</v>
      </c>
      <c r="V1222" s="72" t="s">
        <v>1920</v>
      </c>
      <c r="W1222" s="72" t="s">
        <v>4</v>
      </c>
      <c r="X1222" s="72" t="s">
        <v>2825</v>
      </c>
      <c r="Y1222" s="72" t="s">
        <v>2938</v>
      </c>
      <c r="Z1222" s="72" t="s">
        <v>4</v>
      </c>
      <c r="AA1222" s="146" t="s">
        <v>2825</v>
      </c>
    </row>
    <row r="1223" spans="1:27" ht="18.600000000000001" customHeight="1">
      <c r="A1223" s="139" t="str">
        <f>IF(priority(Main[[#This Row],[Comments]])&lt;&gt;0, priority(Main[[#This Row],[Comments]]),"")</f>
        <v/>
      </c>
      <c r="B1223" s="89" t="s">
        <v>2566</v>
      </c>
      <c r="C1223" s="72" t="s">
        <v>4</v>
      </c>
      <c r="D1223" s="73" t="s">
        <v>2567</v>
      </c>
      <c r="E1223" s="74"/>
      <c r="F1223" s="74"/>
      <c r="G1223" s="75" t="str">
        <f>IF(stdProdLT(Main[[#This Row],[Comments]])=0.1,"N/A",IF(stdProdLT(Main[[#This Row],[Comments]])=0,"",stdProdLT(Main[[#This Row],[Comments]])))</f>
        <v/>
      </c>
      <c r="H1223" s="76" t="str">
        <f>IF(AND(Main[[#This Row],[In Stock Date]]&lt;&gt;"",Main[[#This Row],[Revised Due Date]]&lt;&gt;""),Main[[#This Row],[In Stock Date]]-Main[[#This Row],[Revised Due Date]],"")</f>
        <v/>
      </c>
      <c r="I1223" s="72" t="s">
        <v>4</v>
      </c>
      <c r="J1223" s="72" t="s">
        <v>4</v>
      </c>
      <c r="K1223" s="72" t="s">
        <v>4</v>
      </c>
      <c r="L1223" s="74"/>
      <c r="M1223" s="77" t="str">
        <f>IF(Main[[#This Row],[Tech Start Date]]&lt;1/1/1990,"",IF(Main[[#This Row],[Class]]="C",WORKDAY(Main[[#This Row],[Tech Start Date]],9),IF(Main[[#This Row],[Class]]="B", WORKDAY(Main[[#This Row],[Tech Start Date]],6),IF(Main[[#This Row],[Class]]="A",WORKDAY(Main[[#This Row],[Tech Start Date]],2),""))))</f>
        <v/>
      </c>
      <c r="N1223" s="77" t="str">
        <f>IF(Main[[#This Row],[Tech Start Date]]&lt;1/1/1990,"",IF(Main[[#This Row],[Class]]="C",WORKDAY(Main[[#This Row],[Tech Start Date]],19),IF(Main[[#This Row],[Class]]="B", WORKDAY(Main[[#This Row],[Tech Start Date]],12),IF(Main[[#This Row],[Class]]="A",WORKDAY(Main[[#This Row],[Tech Start Date]],4),""))))</f>
        <v/>
      </c>
      <c r="O1223" s="77" t="str">
        <f>IF(Main[[#This Row],[Tech Start Date]]&lt;1/1/1990,"",IF(Main[[#This Row],[Class]]="C",WORKDAY(Main[[#This Row],[Tech Start Date]],23),IF(Main[[#This Row],[Class]]="B", WORKDAY(Main[[#This Row],[Tech Start Date]],15),IF(Main[[#This Row],[Class]]="A",WORKDAY(Main[[#This Row],[Tech Start Date]],5),""))))</f>
        <v/>
      </c>
      <c r="P1223" s="77" t="str">
        <f>IF(Main[[#This Row],[Tech Start Date]]&lt;1/1/1990,"",IF(Main[[#This Row],[Class]]="C",WORKDAY(Main[[#This Row],[Tech Start Date]],28),IF(Main[[#This Row],[Class]]="B", WORKDAY(Main[[#This Row],[Tech Start Date]],19),IF(Main[[#This Row],[Class]]="A",WORKDAY(Main[[#This Row],[Tech Start Date]],9),""))))</f>
        <v/>
      </c>
      <c r="Q1223" s="74"/>
      <c r="R1223" s="74"/>
      <c r="S1223" s="72" t="s">
        <v>11</v>
      </c>
      <c r="T1223" s="80" t="s">
        <v>4</v>
      </c>
      <c r="U1223" s="72" t="s">
        <v>14</v>
      </c>
      <c r="V1223" s="72" t="s">
        <v>1918</v>
      </c>
      <c r="W1223" s="72" t="s">
        <v>4</v>
      </c>
      <c r="X1223" s="72" t="s">
        <v>2254</v>
      </c>
      <c r="Y1223" s="72" t="s">
        <v>4</v>
      </c>
      <c r="Z1223" s="72" t="s">
        <v>4</v>
      </c>
      <c r="AA1223" s="146" t="s">
        <v>4</v>
      </c>
    </row>
    <row r="1224" spans="1:27" ht="18.600000000000001" customHeight="1">
      <c r="A1224" s="139" t="str">
        <f>IF(priority(Main[[#This Row],[Comments]])&lt;&gt;0, priority(Main[[#This Row],[Comments]]),"")</f>
        <v/>
      </c>
      <c r="B1224" s="89" t="s">
        <v>1701</v>
      </c>
      <c r="C1224" s="72" t="s">
        <v>4</v>
      </c>
      <c r="D1224" s="73" t="s">
        <v>2116</v>
      </c>
      <c r="E1224" s="74"/>
      <c r="F1224" s="74"/>
      <c r="G1224" s="75" t="str">
        <f>IF(stdProdLT(Main[[#This Row],[Comments]])=0.1,"N/A",IF(stdProdLT(Main[[#This Row],[Comments]])=0,"",stdProdLT(Main[[#This Row],[Comments]])))</f>
        <v/>
      </c>
      <c r="H1224" s="76" t="str">
        <f>IF(AND(Main[[#This Row],[In Stock Date]]&lt;&gt;"",Main[[#This Row],[Revised Due Date]]&lt;&gt;""),Main[[#This Row],[In Stock Date]]-Main[[#This Row],[Revised Due Date]],"")</f>
        <v/>
      </c>
      <c r="I1224" s="72" t="s">
        <v>69</v>
      </c>
      <c r="J1224" s="72" t="s">
        <v>70</v>
      </c>
      <c r="K1224" s="81" t="s">
        <v>1926</v>
      </c>
      <c r="L1224" s="74"/>
      <c r="M1224" s="77" t="str">
        <f>IF(Main[[#This Row],[Tech Start Date]]&lt;1/1/1990,"",IF(Main[[#This Row],[Class]]="C",WORKDAY(Main[[#This Row],[Tech Start Date]],9),IF(Main[[#This Row],[Class]]="B", WORKDAY(Main[[#This Row],[Tech Start Date]],6),IF(Main[[#This Row],[Class]]="A",WORKDAY(Main[[#This Row],[Tech Start Date]],2),""))))</f>
        <v/>
      </c>
      <c r="N1224" s="77" t="str">
        <f>IF(Main[[#This Row],[Tech Start Date]]&lt;1/1/1990,"",IF(Main[[#This Row],[Class]]="C",WORKDAY(Main[[#This Row],[Tech Start Date]],19),IF(Main[[#This Row],[Class]]="B", WORKDAY(Main[[#This Row],[Tech Start Date]],12),IF(Main[[#This Row],[Class]]="A",WORKDAY(Main[[#This Row],[Tech Start Date]],4),""))))</f>
        <v/>
      </c>
      <c r="O1224" s="77" t="str">
        <f>IF(Main[[#This Row],[Tech Start Date]]&lt;1/1/1990,"",IF(Main[[#This Row],[Class]]="C",WORKDAY(Main[[#This Row],[Tech Start Date]],23),IF(Main[[#This Row],[Class]]="B", WORKDAY(Main[[#This Row],[Tech Start Date]],15),IF(Main[[#This Row],[Class]]="A",WORKDAY(Main[[#This Row],[Tech Start Date]],5),""))))</f>
        <v/>
      </c>
      <c r="P1224" s="77" t="str">
        <f>IF(Main[[#This Row],[Tech Start Date]]&lt;1/1/1990,"",IF(Main[[#This Row],[Class]]="C",WORKDAY(Main[[#This Row],[Tech Start Date]],28),IF(Main[[#This Row],[Class]]="B", WORKDAY(Main[[#This Row],[Tech Start Date]],19),IF(Main[[#This Row],[Class]]="A",WORKDAY(Main[[#This Row],[Tech Start Date]],9),""))))</f>
        <v/>
      </c>
      <c r="Q1224" s="74">
        <v>40816</v>
      </c>
      <c r="R1224" s="74"/>
      <c r="S1224" s="72" t="s">
        <v>6</v>
      </c>
      <c r="T1224" s="80" t="s">
        <v>4</v>
      </c>
      <c r="U1224" s="72" t="s">
        <v>14</v>
      </c>
      <c r="V1224" s="72" t="s">
        <v>1920</v>
      </c>
      <c r="W1224" s="72" t="s">
        <v>1922</v>
      </c>
      <c r="X1224" s="72" t="s">
        <v>530</v>
      </c>
      <c r="Y1224" s="72" t="s">
        <v>4</v>
      </c>
      <c r="Z1224" s="72" t="s">
        <v>30</v>
      </c>
      <c r="AA1224" s="146" t="s">
        <v>530</v>
      </c>
    </row>
    <row r="1225" spans="1:27" ht="18.600000000000001" customHeight="1">
      <c r="A1225" s="139" t="str">
        <f>IF(priority(Main[[#This Row],[Comments]])&lt;&gt;0, priority(Main[[#This Row],[Comments]]),"")</f>
        <v/>
      </c>
      <c r="B1225" s="89" t="s">
        <v>3521</v>
      </c>
      <c r="C1225" s="72" t="s">
        <v>4</v>
      </c>
      <c r="D1225" s="73" t="s">
        <v>3730</v>
      </c>
      <c r="E1225" s="74">
        <v>40942.690023148149</v>
      </c>
      <c r="F1225" s="74"/>
      <c r="G1225" s="75" t="str">
        <f>IF(stdProdLT(Main[[#This Row],[Comments]])=0.1,"N/A",IF(stdProdLT(Main[[#This Row],[Comments]])=0,"",stdProdLT(Main[[#This Row],[Comments]])))</f>
        <v/>
      </c>
      <c r="H1225" s="76" t="str">
        <f>IF(AND(Main[[#This Row],[In Stock Date]]&lt;&gt;"",Main[[#This Row],[Revised Due Date]]&lt;&gt;""),Main[[#This Row],[In Stock Date]]-Main[[#This Row],[Revised Due Date]],"")</f>
        <v/>
      </c>
      <c r="I1225" s="72" t="s">
        <v>69</v>
      </c>
      <c r="J1225" s="72" t="s">
        <v>70</v>
      </c>
      <c r="K1225" s="72" t="s">
        <v>1926</v>
      </c>
      <c r="L1225" s="74"/>
      <c r="M1225" s="77" t="str">
        <f>IF(Main[[#This Row],[Tech Start Date]]&lt;1/1/1990,"",IF(Main[[#This Row],[Class]]="C",WORKDAY(Main[[#This Row],[Tech Start Date]],9),IF(Main[[#This Row],[Class]]="B", WORKDAY(Main[[#This Row],[Tech Start Date]],6),IF(Main[[#This Row],[Class]]="A",WORKDAY(Main[[#This Row],[Tech Start Date]],2),""))))</f>
        <v/>
      </c>
      <c r="N1225" s="77" t="str">
        <f>IF(Main[[#This Row],[Tech Start Date]]&lt;1/1/1990,"",IF(Main[[#This Row],[Class]]="C",WORKDAY(Main[[#This Row],[Tech Start Date]],19),IF(Main[[#This Row],[Class]]="B", WORKDAY(Main[[#This Row],[Tech Start Date]],12),IF(Main[[#This Row],[Class]]="A",WORKDAY(Main[[#This Row],[Tech Start Date]],4),""))))</f>
        <v/>
      </c>
      <c r="O1225" s="77" t="str">
        <f>IF(Main[[#This Row],[Tech Start Date]]&lt;1/1/1990,"",IF(Main[[#This Row],[Class]]="C",WORKDAY(Main[[#This Row],[Tech Start Date]],23),IF(Main[[#This Row],[Class]]="B", WORKDAY(Main[[#This Row],[Tech Start Date]],15),IF(Main[[#This Row],[Class]]="A",WORKDAY(Main[[#This Row],[Tech Start Date]],5),""))))</f>
        <v/>
      </c>
      <c r="P1225" s="77" t="str">
        <f>IF(Main[[#This Row],[Tech Start Date]]&lt;1/1/1990,"",IF(Main[[#This Row],[Class]]="C",WORKDAY(Main[[#This Row],[Tech Start Date]],28),IF(Main[[#This Row],[Class]]="B", WORKDAY(Main[[#This Row],[Tech Start Date]],19),IF(Main[[#This Row],[Class]]="A",WORKDAY(Main[[#This Row],[Tech Start Date]],9),""))))</f>
        <v/>
      </c>
      <c r="Q1225" s="74">
        <v>40970</v>
      </c>
      <c r="R1225" s="74"/>
      <c r="S1225" s="72" t="s">
        <v>6</v>
      </c>
      <c r="T1225" s="80" t="s">
        <v>4</v>
      </c>
      <c r="U1225" s="72" t="s">
        <v>29</v>
      </c>
      <c r="V1225" s="72" t="s">
        <v>1920</v>
      </c>
      <c r="W1225" s="72" t="s">
        <v>1921</v>
      </c>
      <c r="X1225" s="72" t="s">
        <v>2825</v>
      </c>
      <c r="Y1225" s="72" t="s">
        <v>2938</v>
      </c>
      <c r="Z1225" s="72" t="s">
        <v>30</v>
      </c>
      <c r="AA1225" s="146" t="s">
        <v>2825</v>
      </c>
    </row>
    <row r="1226" spans="1:27" ht="18.600000000000001" customHeight="1">
      <c r="A1226" s="139" t="str">
        <f>IF(priority(Main[[#This Row],[Comments]])&lt;&gt;0, priority(Main[[#This Row],[Comments]]),"")</f>
        <v/>
      </c>
      <c r="B1226" s="89" t="s">
        <v>2292</v>
      </c>
      <c r="C1226" s="72" t="s">
        <v>4</v>
      </c>
      <c r="D1226" s="73" t="s">
        <v>2571</v>
      </c>
      <c r="E1226" s="74"/>
      <c r="F1226" s="74"/>
      <c r="G1226" s="75" t="str">
        <f>IF(stdProdLT(Main[[#This Row],[Comments]])=0.1,"N/A",IF(stdProdLT(Main[[#This Row],[Comments]])=0,"",stdProdLT(Main[[#This Row],[Comments]])))</f>
        <v/>
      </c>
      <c r="H1226" s="76" t="str">
        <f>IF(AND(Main[[#This Row],[In Stock Date]]&lt;&gt;"",Main[[#This Row],[Revised Due Date]]&lt;&gt;""),Main[[#This Row],[In Stock Date]]-Main[[#This Row],[Revised Due Date]],"")</f>
        <v/>
      </c>
      <c r="I1226" s="72" t="s">
        <v>2211</v>
      </c>
      <c r="J1226" s="72" t="s">
        <v>75</v>
      </c>
      <c r="K1226" s="81" t="s">
        <v>1926</v>
      </c>
      <c r="L1226" s="74"/>
      <c r="M1226" s="77" t="str">
        <f>IF(Main[[#This Row],[Tech Start Date]]&lt;1/1/1990,"",IF(Main[[#This Row],[Class]]="C",WORKDAY(Main[[#This Row],[Tech Start Date]],9),IF(Main[[#This Row],[Class]]="B", WORKDAY(Main[[#This Row],[Tech Start Date]],6),IF(Main[[#This Row],[Class]]="A",WORKDAY(Main[[#This Row],[Tech Start Date]],2),""))))</f>
        <v/>
      </c>
      <c r="N1226" s="77" t="str">
        <f>IF(Main[[#This Row],[Tech Start Date]]&lt;1/1/1990,"",IF(Main[[#This Row],[Class]]="C",WORKDAY(Main[[#This Row],[Tech Start Date]],19),IF(Main[[#This Row],[Class]]="B", WORKDAY(Main[[#This Row],[Tech Start Date]],12),IF(Main[[#This Row],[Class]]="A",WORKDAY(Main[[#This Row],[Tech Start Date]],4),""))))</f>
        <v/>
      </c>
      <c r="O1226" s="77" t="str">
        <f>IF(Main[[#This Row],[Tech Start Date]]&lt;1/1/1990,"",IF(Main[[#This Row],[Class]]="C",WORKDAY(Main[[#This Row],[Tech Start Date]],23),IF(Main[[#This Row],[Class]]="B", WORKDAY(Main[[#This Row],[Tech Start Date]],15),IF(Main[[#This Row],[Class]]="A",WORKDAY(Main[[#This Row],[Tech Start Date]],5),""))))</f>
        <v/>
      </c>
      <c r="P1226" s="77" t="str">
        <f>IF(Main[[#This Row],[Tech Start Date]]&lt;1/1/1990,"",IF(Main[[#This Row],[Class]]="C",WORKDAY(Main[[#This Row],[Tech Start Date]],28),IF(Main[[#This Row],[Class]]="B", WORKDAY(Main[[#This Row],[Tech Start Date]],19),IF(Main[[#This Row],[Class]]="A",WORKDAY(Main[[#This Row],[Tech Start Date]],9),""))))</f>
        <v/>
      </c>
      <c r="Q1226" s="74"/>
      <c r="R1226" s="74"/>
      <c r="S1226" s="72" t="s">
        <v>6</v>
      </c>
      <c r="T1226" s="80" t="s">
        <v>4</v>
      </c>
      <c r="U1226" s="72" t="s">
        <v>14</v>
      </c>
      <c r="V1226" s="72" t="s">
        <v>1927</v>
      </c>
      <c r="W1226" s="72" t="s">
        <v>1921</v>
      </c>
      <c r="X1226" s="72" t="s">
        <v>2211</v>
      </c>
      <c r="Y1226" s="72" t="s">
        <v>3133</v>
      </c>
      <c r="Z1226" s="72" t="s">
        <v>306</v>
      </c>
      <c r="AA1226" s="146" t="s">
        <v>2211</v>
      </c>
    </row>
    <row r="1227" spans="1:27" ht="18.600000000000001" customHeight="1">
      <c r="A1227" s="139" t="str">
        <f>IF(priority(Main[[#This Row],[Comments]])&lt;&gt;0, priority(Main[[#This Row],[Comments]]),"")</f>
        <v/>
      </c>
      <c r="B1227" s="89" t="s">
        <v>1593</v>
      </c>
      <c r="C1227" s="72" t="s">
        <v>4</v>
      </c>
      <c r="D1227" s="73" t="s">
        <v>669</v>
      </c>
      <c r="E1227" s="74"/>
      <c r="F1227" s="74"/>
      <c r="G1227" s="75" t="str">
        <f>IF(stdProdLT(Main[[#This Row],[Comments]])=0.1,"N/A",IF(stdProdLT(Main[[#This Row],[Comments]])=0,"",stdProdLT(Main[[#This Row],[Comments]])))</f>
        <v/>
      </c>
      <c r="H1227" s="76" t="str">
        <f>IF(AND(Main[[#This Row],[In Stock Date]]&lt;&gt;"",Main[[#This Row],[Revised Due Date]]&lt;&gt;""),Main[[#This Row],[In Stock Date]]-Main[[#This Row],[Revised Due Date]],"")</f>
        <v/>
      </c>
      <c r="I1227" s="72" t="s">
        <v>4</v>
      </c>
      <c r="J1227" s="72" t="s">
        <v>4</v>
      </c>
      <c r="K1227" s="81" t="s">
        <v>4</v>
      </c>
      <c r="L1227" s="74"/>
      <c r="M1227" s="77" t="str">
        <f>IF(Main[[#This Row],[Tech Start Date]]&lt;1/1/1990,"",IF(Main[[#This Row],[Class]]="C",WORKDAY(Main[[#This Row],[Tech Start Date]],9),IF(Main[[#This Row],[Class]]="B", WORKDAY(Main[[#This Row],[Tech Start Date]],6),IF(Main[[#This Row],[Class]]="A",WORKDAY(Main[[#This Row],[Tech Start Date]],2),""))))</f>
        <v/>
      </c>
      <c r="N1227" s="77" t="str">
        <f>IF(Main[[#This Row],[Tech Start Date]]&lt;1/1/1990,"",IF(Main[[#This Row],[Class]]="C",WORKDAY(Main[[#This Row],[Tech Start Date]],19),IF(Main[[#This Row],[Class]]="B", WORKDAY(Main[[#This Row],[Tech Start Date]],12),IF(Main[[#This Row],[Class]]="A",WORKDAY(Main[[#This Row],[Tech Start Date]],4),""))))</f>
        <v/>
      </c>
      <c r="O1227" s="77" t="str">
        <f>IF(Main[[#This Row],[Tech Start Date]]&lt;1/1/1990,"",IF(Main[[#This Row],[Class]]="C",WORKDAY(Main[[#This Row],[Tech Start Date]],23),IF(Main[[#This Row],[Class]]="B", WORKDAY(Main[[#This Row],[Tech Start Date]],15),IF(Main[[#This Row],[Class]]="A",WORKDAY(Main[[#This Row],[Tech Start Date]],5),""))))</f>
        <v/>
      </c>
      <c r="P1227" s="77" t="str">
        <f>IF(Main[[#This Row],[Tech Start Date]]&lt;1/1/1990,"",IF(Main[[#This Row],[Class]]="C",WORKDAY(Main[[#This Row],[Tech Start Date]],28),IF(Main[[#This Row],[Class]]="B", WORKDAY(Main[[#This Row],[Tech Start Date]],19),IF(Main[[#This Row],[Class]]="A",WORKDAY(Main[[#This Row],[Tech Start Date]],9),""))))</f>
        <v/>
      </c>
      <c r="Q1227" s="74"/>
      <c r="R1227" s="74"/>
      <c r="S1227" s="72" t="s">
        <v>6</v>
      </c>
      <c r="T1227" s="80" t="s">
        <v>4</v>
      </c>
      <c r="U1227" s="72" t="s">
        <v>14</v>
      </c>
      <c r="V1227" s="72" t="s">
        <v>1917</v>
      </c>
      <c r="W1227" s="72" t="s">
        <v>1925</v>
      </c>
      <c r="X1227" s="72" t="s">
        <v>2055</v>
      </c>
      <c r="Y1227" s="72" t="s">
        <v>3008</v>
      </c>
      <c r="Z1227" s="72" t="s">
        <v>4</v>
      </c>
      <c r="AA1227" s="146" t="s">
        <v>2055</v>
      </c>
    </row>
    <row r="1228" spans="1:27" ht="18.600000000000001" customHeight="1">
      <c r="A1228" s="139" t="str">
        <f>IF(priority(Main[[#This Row],[Comments]])&lt;&gt;0, priority(Main[[#This Row],[Comments]]),"")</f>
        <v/>
      </c>
      <c r="B1228" s="89" t="s">
        <v>2670</v>
      </c>
      <c r="C1228" s="72" t="s">
        <v>4</v>
      </c>
      <c r="D1228" s="73" t="s">
        <v>2671</v>
      </c>
      <c r="E1228" s="74"/>
      <c r="F1228" s="74"/>
      <c r="G1228" s="75" t="str">
        <f>IF(stdProdLT(Main[[#This Row],[Comments]])=0.1,"N/A",IF(stdProdLT(Main[[#This Row],[Comments]])=0,"",stdProdLT(Main[[#This Row],[Comments]])))</f>
        <v/>
      </c>
      <c r="H1228" s="76" t="str">
        <f>IF(AND(Main[[#This Row],[In Stock Date]]&lt;&gt;"",Main[[#This Row],[Revised Due Date]]&lt;&gt;""),Main[[#This Row],[In Stock Date]]-Main[[#This Row],[Revised Due Date]],"")</f>
        <v/>
      </c>
      <c r="I1228" s="72" t="s">
        <v>4</v>
      </c>
      <c r="J1228" s="72" t="s">
        <v>4</v>
      </c>
      <c r="K1228" s="72" t="s">
        <v>4</v>
      </c>
      <c r="L1228" s="74"/>
      <c r="M1228" s="77" t="str">
        <f>IF(Main[[#This Row],[Tech Start Date]]&lt;1/1/1990,"",IF(Main[[#This Row],[Class]]="C",WORKDAY(Main[[#This Row],[Tech Start Date]],9),IF(Main[[#This Row],[Class]]="B", WORKDAY(Main[[#This Row],[Tech Start Date]],6),IF(Main[[#This Row],[Class]]="A",WORKDAY(Main[[#This Row],[Tech Start Date]],2),""))))</f>
        <v/>
      </c>
      <c r="N1228" s="77" t="str">
        <f>IF(Main[[#This Row],[Tech Start Date]]&lt;1/1/1990,"",IF(Main[[#This Row],[Class]]="C",WORKDAY(Main[[#This Row],[Tech Start Date]],19),IF(Main[[#This Row],[Class]]="B", WORKDAY(Main[[#This Row],[Tech Start Date]],12),IF(Main[[#This Row],[Class]]="A",WORKDAY(Main[[#This Row],[Tech Start Date]],4),""))))</f>
        <v/>
      </c>
      <c r="O1228" s="77" t="str">
        <f>IF(Main[[#This Row],[Tech Start Date]]&lt;1/1/1990,"",IF(Main[[#This Row],[Class]]="C",WORKDAY(Main[[#This Row],[Tech Start Date]],23),IF(Main[[#This Row],[Class]]="B", WORKDAY(Main[[#This Row],[Tech Start Date]],15),IF(Main[[#This Row],[Class]]="A",WORKDAY(Main[[#This Row],[Tech Start Date]],5),""))))</f>
        <v/>
      </c>
      <c r="P1228" s="77" t="str">
        <f>IF(Main[[#This Row],[Tech Start Date]]&lt;1/1/1990,"",IF(Main[[#This Row],[Class]]="C",WORKDAY(Main[[#This Row],[Tech Start Date]],28),IF(Main[[#This Row],[Class]]="B", WORKDAY(Main[[#This Row],[Tech Start Date]],19),IF(Main[[#This Row],[Class]]="A",WORKDAY(Main[[#This Row],[Tech Start Date]],9),""))))</f>
        <v/>
      </c>
      <c r="Q1228" s="74"/>
      <c r="R1228" s="74"/>
      <c r="S1228" s="72" t="s">
        <v>11</v>
      </c>
      <c r="T1228" s="80" t="s">
        <v>4</v>
      </c>
      <c r="U1228" s="72" t="s">
        <v>14</v>
      </c>
      <c r="V1228" s="72" t="s">
        <v>1927</v>
      </c>
      <c r="W1228" s="72" t="s">
        <v>1925</v>
      </c>
      <c r="X1228" s="72" t="s">
        <v>2863</v>
      </c>
      <c r="Y1228" s="72" t="s">
        <v>3004</v>
      </c>
      <c r="Z1228" s="72" t="s">
        <v>4</v>
      </c>
      <c r="AA1228" s="146" t="s">
        <v>2863</v>
      </c>
    </row>
    <row r="1229" spans="1:27" ht="18.600000000000001" customHeight="1">
      <c r="A1229" s="139" t="str">
        <f>IF(priority(Main[[#This Row],[Comments]])&lt;&gt;0, priority(Main[[#This Row],[Comments]]),"")</f>
        <v/>
      </c>
      <c r="B1229" s="89" t="s">
        <v>2372</v>
      </c>
      <c r="C1229" s="72" t="s">
        <v>4</v>
      </c>
      <c r="D1229" s="73" t="s">
        <v>2373</v>
      </c>
      <c r="E1229" s="74">
        <v>40856.690810185188</v>
      </c>
      <c r="F1229" s="74"/>
      <c r="G1229" s="75" t="str">
        <f>IF(stdProdLT(Main[[#This Row],[Comments]])=0.1,"N/A",IF(stdProdLT(Main[[#This Row],[Comments]])=0,"",stdProdLT(Main[[#This Row],[Comments]])))</f>
        <v/>
      </c>
      <c r="H1229" s="76" t="str">
        <f>IF(AND(Main[[#This Row],[In Stock Date]]&lt;&gt;"",Main[[#This Row],[Revised Due Date]]&lt;&gt;""),Main[[#This Row],[In Stock Date]]-Main[[#This Row],[Revised Due Date]],"")</f>
        <v/>
      </c>
      <c r="I1229" s="72" t="s">
        <v>4</v>
      </c>
      <c r="J1229" s="72" t="s">
        <v>4</v>
      </c>
      <c r="K1229" s="72" t="s">
        <v>4</v>
      </c>
      <c r="L1229" s="74"/>
      <c r="M1229" s="77" t="str">
        <f>IF(Main[[#This Row],[Tech Start Date]]&lt;1/1/1990,"",IF(Main[[#This Row],[Class]]="C",WORKDAY(Main[[#This Row],[Tech Start Date]],9),IF(Main[[#This Row],[Class]]="B", WORKDAY(Main[[#This Row],[Tech Start Date]],6),IF(Main[[#This Row],[Class]]="A",WORKDAY(Main[[#This Row],[Tech Start Date]],2),""))))</f>
        <v/>
      </c>
      <c r="N1229" s="77" t="str">
        <f>IF(Main[[#This Row],[Tech Start Date]]&lt;1/1/1990,"",IF(Main[[#This Row],[Class]]="C",WORKDAY(Main[[#This Row],[Tech Start Date]],19),IF(Main[[#This Row],[Class]]="B", WORKDAY(Main[[#This Row],[Tech Start Date]],12),IF(Main[[#This Row],[Class]]="A",WORKDAY(Main[[#This Row],[Tech Start Date]],4),""))))</f>
        <v/>
      </c>
      <c r="O1229" s="77" t="str">
        <f>IF(Main[[#This Row],[Tech Start Date]]&lt;1/1/1990,"",IF(Main[[#This Row],[Class]]="C",WORKDAY(Main[[#This Row],[Tech Start Date]],23),IF(Main[[#This Row],[Class]]="B", WORKDAY(Main[[#This Row],[Tech Start Date]],15),IF(Main[[#This Row],[Class]]="A",WORKDAY(Main[[#This Row],[Tech Start Date]],5),""))))</f>
        <v/>
      </c>
      <c r="P1229" s="77" t="str">
        <f>IF(Main[[#This Row],[Tech Start Date]]&lt;1/1/1990,"",IF(Main[[#This Row],[Class]]="C",WORKDAY(Main[[#This Row],[Tech Start Date]],28),IF(Main[[#This Row],[Class]]="B", WORKDAY(Main[[#This Row],[Tech Start Date]],19),IF(Main[[#This Row],[Class]]="A",WORKDAY(Main[[#This Row],[Tech Start Date]],9),""))))</f>
        <v/>
      </c>
      <c r="Q1229" s="74"/>
      <c r="R1229" s="74"/>
      <c r="S1229" s="72" t="s">
        <v>6</v>
      </c>
      <c r="T1229" s="80" t="s">
        <v>4</v>
      </c>
      <c r="U1229" s="72" t="s">
        <v>7</v>
      </c>
      <c r="V1229" s="72" t="s">
        <v>1917</v>
      </c>
      <c r="W1229" s="72" t="s">
        <v>1921</v>
      </c>
      <c r="X1229" s="72" t="s">
        <v>2823</v>
      </c>
      <c r="Y1229" s="72" t="s">
        <v>3136</v>
      </c>
      <c r="Z1229" s="72" t="s">
        <v>4</v>
      </c>
      <c r="AA1229" s="146" t="s">
        <v>2823</v>
      </c>
    </row>
    <row r="1230" spans="1:27" ht="18.600000000000001" customHeight="1">
      <c r="A1230" s="139" t="str">
        <f>IF(priority(Main[[#This Row],[Comments]])&lt;&gt;0, priority(Main[[#This Row],[Comments]]),"")</f>
        <v/>
      </c>
      <c r="B1230" s="89" t="s">
        <v>3731</v>
      </c>
      <c r="C1230" s="72" t="s">
        <v>3732</v>
      </c>
      <c r="D1230" s="73" t="s">
        <v>3733</v>
      </c>
      <c r="E1230" s="74"/>
      <c r="F1230" s="74"/>
      <c r="G1230" s="75" t="str">
        <f>IF(stdProdLT(Main[[#This Row],[Comments]])=0.1,"N/A",IF(stdProdLT(Main[[#This Row],[Comments]])=0,"",stdProdLT(Main[[#This Row],[Comments]])))</f>
        <v/>
      </c>
      <c r="H1230" s="76" t="str">
        <f>IF(AND(Main[[#This Row],[In Stock Date]]&lt;&gt;"",Main[[#This Row],[Revised Due Date]]&lt;&gt;""),Main[[#This Row],[In Stock Date]]-Main[[#This Row],[Revised Due Date]],"")</f>
        <v/>
      </c>
      <c r="I1230" s="72" t="s">
        <v>4</v>
      </c>
      <c r="J1230" s="72" t="s">
        <v>4</v>
      </c>
      <c r="K1230" s="72" t="s">
        <v>4</v>
      </c>
      <c r="L1230" s="74"/>
      <c r="M1230" s="77" t="str">
        <f>IF(Main[[#This Row],[Tech Start Date]]&lt;1/1/1990,"",IF(Main[[#This Row],[Class]]="C",WORKDAY(Main[[#This Row],[Tech Start Date]],9),IF(Main[[#This Row],[Class]]="B", WORKDAY(Main[[#This Row],[Tech Start Date]],6),IF(Main[[#This Row],[Class]]="A",WORKDAY(Main[[#This Row],[Tech Start Date]],2),""))))</f>
        <v/>
      </c>
      <c r="N1230" s="77" t="str">
        <f>IF(Main[[#This Row],[Tech Start Date]]&lt;1/1/1990,"",IF(Main[[#This Row],[Class]]="C",WORKDAY(Main[[#This Row],[Tech Start Date]],19),IF(Main[[#This Row],[Class]]="B", WORKDAY(Main[[#This Row],[Tech Start Date]],12),IF(Main[[#This Row],[Class]]="A",WORKDAY(Main[[#This Row],[Tech Start Date]],4),""))))</f>
        <v/>
      </c>
      <c r="O1230" s="77" t="str">
        <f>IF(Main[[#This Row],[Tech Start Date]]&lt;1/1/1990,"",IF(Main[[#This Row],[Class]]="C",WORKDAY(Main[[#This Row],[Tech Start Date]],23),IF(Main[[#This Row],[Class]]="B", WORKDAY(Main[[#This Row],[Tech Start Date]],15),IF(Main[[#This Row],[Class]]="A",WORKDAY(Main[[#This Row],[Tech Start Date]],5),""))))</f>
        <v/>
      </c>
      <c r="P1230" s="77" t="str">
        <f>IF(Main[[#This Row],[Tech Start Date]]&lt;1/1/1990,"",IF(Main[[#This Row],[Class]]="C",WORKDAY(Main[[#This Row],[Tech Start Date]],28),IF(Main[[#This Row],[Class]]="B", WORKDAY(Main[[#This Row],[Tech Start Date]],19),IF(Main[[#This Row],[Class]]="A",WORKDAY(Main[[#This Row],[Tech Start Date]],9),""))))</f>
        <v/>
      </c>
      <c r="Q1230" s="74">
        <v>40970</v>
      </c>
      <c r="R1230" s="74"/>
      <c r="S1230" s="72" t="s">
        <v>11</v>
      </c>
      <c r="T1230" s="80" t="s">
        <v>4</v>
      </c>
      <c r="U1230" s="72" t="s">
        <v>14</v>
      </c>
      <c r="V1230" s="72" t="s">
        <v>1918</v>
      </c>
      <c r="W1230" s="72" t="s">
        <v>1919</v>
      </c>
      <c r="X1230" s="72" t="s">
        <v>2822</v>
      </c>
      <c r="Y1230" s="72" t="s">
        <v>4</v>
      </c>
      <c r="Z1230" s="72" t="s">
        <v>4</v>
      </c>
      <c r="AA1230" s="146" t="s">
        <v>2822</v>
      </c>
    </row>
    <row r="1231" spans="1:27" ht="18.600000000000001" customHeight="1">
      <c r="A1231" s="139" t="str">
        <f>IF(priority(Main[[#This Row],[Comments]])&lt;&gt;0, priority(Main[[#This Row],[Comments]]),"")</f>
        <v/>
      </c>
      <c r="B1231" s="89" t="s">
        <v>3369</v>
      </c>
      <c r="C1231" s="72" t="s">
        <v>47</v>
      </c>
      <c r="D1231" s="73" t="s">
        <v>3370</v>
      </c>
      <c r="E1231" s="74">
        <v>40938.378252314818</v>
      </c>
      <c r="F1231" s="74"/>
      <c r="G1231" s="75" t="str">
        <f>IF(stdProdLT(Main[[#This Row],[Comments]])=0.1,"N/A",IF(stdProdLT(Main[[#This Row],[Comments]])=0,"",stdProdLT(Main[[#This Row],[Comments]])))</f>
        <v/>
      </c>
      <c r="H1231" s="76" t="str">
        <f>IF(AND(Main[[#This Row],[In Stock Date]]&lt;&gt;"",Main[[#This Row],[Revised Due Date]]&lt;&gt;""),Main[[#This Row],[In Stock Date]]-Main[[#This Row],[Revised Due Date]],"")</f>
        <v/>
      </c>
      <c r="I1231" s="72" t="s">
        <v>4</v>
      </c>
      <c r="J1231" s="72" t="s">
        <v>4</v>
      </c>
      <c r="K1231" s="81" t="s">
        <v>4</v>
      </c>
      <c r="L1231" s="74"/>
      <c r="M1231" s="77" t="str">
        <f>IF(Main[[#This Row],[Tech Start Date]]&lt;1/1/1990,"",IF(Main[[#This Row],[Class]]="C",WORKDAY(Main[[#This Row],[Tech Start Date]],9),IF(Main[[#This Row],[Class]]="B", WORKDAY(Main[[#This Row],[Tech Start Date]],6),IF(Main[[#This Row],[Class]]="A",WORKDAY(Main[[#This Row],[Tech Start Date]],2),""))))</f>
        <v/>
      </c>
      <c r="N1231" s="77" t="str">
        <f>IF(Main[[#This Row],[Tech Start Date]]&lt;1/1/1990,"",IF(Main[[#This Row],[Class]]="C",WORKDAY(Main[[#This Row],[Tech Start Date]],19),IF(Main[[#This Row],[Class]]="B", WORKDAY(Main[[#This Row],[Tech Start Date]],12),IF(Main[[#This Row],[Class]]="A",WORKDAY(Main[[#This Row],[Tech Start Date]],4),""))))</f>
        <v/>
      </c>
      <c r="O1231" s="77" t="str">
        <f>IF(Main[[#This Row],[Tech Start Date]]&lt;1/1/1990,"",IF(Main[[#This Row],[Class]]="C",WORKDAY(Main[[#This Row],[Tech Start Date]],23),IF(Main[[#This Row],[Class]]="B", WORKDAY(Main[[#This Row],[Tech Start Date]],15),IF(Main[[#This Row],[Class]]="A",WORKDAY(Main[[#This Row],[Tech Start Date]],5),""))))</f>
        <v/>
      </c>
      <c r="P1231" s="77" t="str">
        <f>IF(Main[[#This Row],[Tech Start Date]]&lt;1/1/1990,"",IF(Main[[#This Row],[Class]]="C",WORKDAY(Main[[#This Row],[Tech Start Date]],28),IF(Main[[#This Row],[Class]]="B", WORKDAY(Main[[#This Row],[Tech Start Date]],19),IF(Main[[#This Row],[Class]]="A",WORKDAY(Main[[#This Row],[Tech Start Date]],9),""))))</f>
        <v/>
      </c>
      <c r="Q1231" s="74">
        <v>40939</v>
      </c>
      <c r="R1231" s="74"/>
      <c r="S1231" s="72" t="s">
        <v>6</v>
      </c>
      <c r="T1231" s="80" t="s">
        <v>4</v>
      </c>
      <c r="U1231" s="72" t="s">
        <v>7</v>
      </c>
      <c r="V1231" s="72" t="s">
        <v>2288</v>
      </c>
      <c r="W1231" s="72" t="s">
        <v>4</v>
      </c>
      <c r="X1231" s="72" t="s">
        <v>2871</v>
      </c>
      <c r="Y1231" s="72" t="s">
        <v>3016</v>
      </c>
      <c r="Z1231" s="72" t="s">
        <v>4</v>
      </c>
      <c r="AA1231" s="146" t="s">
        <v>2871</v>
      </c>
    </row>
    <row r="1232" spans="1:27" ht="18.600000000000001" customHeight="1">
      <c r="A1232" s="139" t="str">
        <f>IF(priority(Main[[#This Row],[Comments]])&lt;&gt;0, priority(Main[[#This Row],[Comments]]),"")</f>
        <v/>
      </c>
      <c r="B1232" s="89" t="s">
        <v>2541</v>
      </c>
      <c r="C1232" s="72" t="s">
        <v>4</v>
      </c>
      <c r="D1232" s="73" t="s">
        <v>3736</v>
      </c>
      <c r="E1232" s="74">
        <v>40861.6484837963</v>
      </c>
      <c r="F1232" s="74"/>
      <c r="G1232" s="75" t="str">
        <f>IF(stdProdLT(Main[[#This Row],[Comments]])=0.1,"N/A",IF(stdProdLT(Main[[#This Row],[Comments]])=0,"",stdProdLT(Main[[#This Row],[Comments]])))</f>
        <v/>
      </c>
      <c r="H1232" s="76" t="str">
        <f>IF(AND(Main[[#This Row],[In Stock Date]]&lt;&gt;"",Main[[#This Row],[Revised Due Date]]&lt;&gt;""),Main[[#This Row],[In Stock Date]]-Main[[#This Row],[Revised Due Date]],"")</f>
        <v/>
      </c>
      <c r="I1232" s="72" t="s">
        <v>4</v>
      </c>
      <c r="J1232" s="72" t="s">
        <v>4</v>
      </c>
      <c r="K1232" s="72" t="s">
        <v>4</v>
      </c>
      <c r="L1232" s="74"/>
      <c r="M1232" s="77" t="str">
        <f>IF(Main[[#This Row],[Tech Start Date]]&lt;1/1/1990,"",IF(Main[[#This Row],[Class]]="C",WORKDAY(Main[[#This Row],[Tech Start Date]],9),IF(Main[[#This Row],[Class]]="B", WORKDAY(Main[[#This Row],[Tech Start Date]],6),IF(Main[[#This Row],[Class]]="A",WORKDAY(Main[[#This Row],[Tech Start Date]],2),""))))</f>
        <v/>
      </c>
      <c r="N1232" s="77" t="str">
        <f>IF(Main[[#This Row],[Tech Start Date]]&lt;1/1/1990,"",IF(Main[[#This Row],[Class]]="C",WORKDAY(Main[[#This Row],[Tech Start Date]],19),IF(Main[[#This Row],[Class]]="B", WORKDAY(Main[[#This Row],[Tech Start Date]],12),IF(Main[[#This Row],[Class]]="A",WORKDAY(Main[[#This Row],[Tech Start Date]],4),""))))</f>
        <v/>
      </c>
      <c r="O1232" s="77" t="str">
        <f>IF(Main[[#This Row],[Tech Start Date]]&lt;1/1/1990,"",IF(Main[[#This Row],[Class]]="C",WORKDAY(Main[[#This Row],[Tech Start Date]],23),IF(Main[[#This Row],[Class]]="B", WORKDAY(Main[[#This Row],[Tech Start Date]],15),IF(Main[[#This Row],[Class]]="A",WORKDAY(Main[[#This Row],[Tech Start Date]],5),""))))</f>
        <v/>
      </c>
      <c r="P1232" s="77" t="str">
        <f>IF(Main[[#This Row],[Tech Start Date]]&lt;1/1/1990,"",IF(Main[[#This Row],[Class]]="C",WORKDAY(Main[[#This Row],[Tech Start Date]],28),IF(Main[[#This Row],[Class]]="B", WORKDAY(Main[[#This Row],[Tech Start Date]],19),IF(Main[[#This Row],[Class]]="A",WORKDAY(Main[[#This Row],[Tech Start Date]],9),""))))</f>
        <v/>
      </c>
      <c r="Q1232" s="74">
        <v>41372</v>
      </c>
      <c r="R1232" s="74"/>
      <c r="S1232" s="72" t="s">
        <v>17</v>
      </c>
      <c r="T1232" s="80" t="s">
        <v>4</v>
      </c>
      <c r="U1232" s="72" t="s">
        <v>29</v>
      </c>
      <c r="V1232" s="72" t="s">
        <v>1920</v>
      </c>
      <c r="W1232" s="72" t="s">
        <v>1922</v>
      </c>
      <c r="X1232" s="72" t="s">
        <v>654</v>
      </c>
      <c r="Y1232" s="72" t="s">
        <v>3132</v>
      </c>
      <c r="Z1232" s="72" t="s">
        <v>4</v>
      </c>
      <c r="AA1232" s="146" t="s">
        <v>654</v>
      </c>
    </row>
    <row r="1233" spans="1:27" ht="18.600000000000001" customHeight="1">
      <c r="A1233" s="139" t="str">
        <f>IF(priority(Main[[#This Row],[Comments]])&lt;&gt;0, priority(Main[[#This Row],[Comments]]),"")</f>
        <v/>
      </c>
      <c r="B1233" s="89" t="s">
        <v>3499</v>
      </c>
      <c r="C1233" s="72" t="s">
        <v>4</v>
      </c>
      <c r="D1233" s="73" t="s">
        <v>3500</v>
      </c>
      <c r="E1233" s="74">
        <v>40941.350555555553</v>
      </c>
      <c r="F1233" s="74"/>
      <c r="G1233" s="75" t="str">
        <f>IF(stdProdLT(Main[[#This Row],[Comments]])=0.1,"N/A",IF(stdProdLT(Main[[#This Row],[Comments]])=0,"",stdProdLT(Main[[#This Row],[Comments]])))</f>
        <v/>
      </c>
      <c r="H1233" s="76" t="str">
        <f>IF(AND(Main[[#This Row],[In Stock Date]]&lt;&gt;"",Main[[#This Row],[Revised Due Date]]&lt;&gt;""),Main[[#This Row],[In Stock Date]]-Main[[#This Row],[Revised Due Date]],"")</f>
        <v/>
      </c>
      <c r="I1233" s="72" t="s">
        <v>4</v>
      </c>
      <c r="J1233" s="72" t="s">
        <v>4</v>
      </c>
      <c r="K1233" s="72" t="s">
        <v>4</v>
      </c>
      <c r="L1233" s="74"/>
      <c r="M1233" s="77" t="str">
        <f>IF(Main[[#This Row],[Tech Start Date]]&lt;1/1/1990,"",IF(Main[[#This Row],[Class]]="C",WORKDAY(Main[[#This Row],[Tech Start Date]],9),IF(Main[[#This Row],[Class]]="B", WORKDAY(Main[[#This Row],[Tech Start Date]],6),IF(Main[[#This Row],[Class]]="A",WORKDAY(Main[[#This Row],[Tech Start Date]],2),""))))</f>
        <v/>
      </c>
      <c r="N1233" s="77" t="str">
        <f>IF(Main[[#This Row],[Tech Start Date]]&lt;1/1/1990,"",IF(Main[[#This Row],[Class]]="C",WORKDAY(Main[[#This Row],[Tech Start Date]],19),IF(Main[[#This Row],[Class]]="B", WORKDAY(Main[[#This Row],[Tech Start Date]],12),IF(Main[[#This Row],[Class]]="A",WORKDAY(Main[[#This Row],[Tech Start Date]],4),""))))</f>
        <v/>
      </c>
      <c r="O1233" s="77" t="str">
        <f>IF(Main[[#This Row],[Tech Start Date]]&lt;1/1/1990,"",IF(Main[[#This Row],[Class]]="C",WORKDAY(Main[[#This Row],[Tech Start Date]],23),IF(Main[[#This Row],[Class]]="B", WORKDAY(Main[[#This Row],[Tech Start Date]],15),IF(Main[[#This Row],[Class]]="A",WORKDAY(Main[[#This Row],[Tech Start Date]],5),""))))</f>
        <v/>
      </c>
      <c r="P1233" s="77" t="str">
        <f>IF(Main[[#This Row],[Tech Start Date]]&lt;1/1/1990,"",IF(Main[[#This Row],[Class]]="C",WORKDAY(Main[[#This Row],[Tech Start Date]],28),IF(Main[[#This Row],[Class]]="B", WORKDAY(Main[[#This Row],[Tech Start Date]],19),IF(Main[[#This Row],[Class]]="A",WORKDAY(Main[[#This Row],[Tech Start Date]],9),""))))</f>
        <v/>
      </c>
      <c r="Q1233" s="74"/>
      <c r="R1233" s="74"/>
      <c r="S1233" s="72" t="s">
        <v>6</v>
      </c>
      <c r="T1233" s="80" t="s">
        <v>4</v>
      </c>
      <c r="U1233" s="72" t="s">
        <v>29</v>
      </c>
      <c r="V1233" s="72" t="s">
        <v>1920</v>
      </c>
      <c r="W1233" s="72" t="s">
        <v>4</v>
      </c>
      <c r="X1233" s="72" t="s">
        <v>2828</v>
      </c>
      <c r="Y1233" s="72" t="s">
        <v>2944</v>
      </c>
      <c r="Z1233" s="72" t="s">
        <v>4</v>
      </c>
      <c r="AA1233" s="146" t="s">
        <v>2828</v>
      </c>
    </row>
    <row r="1234" spans="1:27" ht="18.600000000000001" customHeight="1">
      <c r="A1234" s="139" t="str">
        <f>IF(priority(Main[[#This Row],[Comments]])&lt;&gt;0, priority(Main[[#This Row],[Comments]]),"")</f>
        <v/>
      </c>
      <c r="B1234" s="89" t="s">
        <v>1585</v>
      </c>
      <c r="C1234" s="72" t="s">
        <v>4</v>
      </c>
      <c r="D1234" s="73" t="s">
        <v>2681</v>
      </c>
      <c r="E1234" s="74">
        <v>40455.90111111111</v>
      </c>
      <c r="F1234" s="74"/>
      <c r="G1234" s="75" t="str">
        <f>IF(stdProdLT(Main[[#This Row],[Comments]])=0.1,"N/A",IF(stdProdLT(Main[[#This Row],[Comments]])=0,"",stdProdLT(Main[[#This Row],[Comments]])))</f>
        <v/>
      </c>
      <c r="H1234" s="76" t="str">
        <f>IF(AND(Main[[#This Row],[In Stock Date]]&lt;&gt;"",Main[[#This Row],[Revised Due Date]]&lt;&gt;""),Main[[#This Row],[In Stock Date]]-Main[[#This Row],[Revised Due Date]],"")</f>
        <v/>
      </c>
      <c r="I1234" s="72" t="s">
        <v>4</v>
      </c>
      <c r="J1234" s="72" t="s">
        <v>28</v>
      </c>
      <c r="K1234" s="72" t="s">
        <v>1929</v>
      </c>
      <c r="L1234" s="74"/>
      <c r="M1234" s="77" t="str">
        <f>IF(Main[[#This Row],[Tech Start Date]]&lt;1/1/1990,"",IF(Main[[#This Row],[Class]]="C",WORKDAY(Main[[#This Row],[Tech Start Date]],9),IF(Main[[#This Row],[Class]]="B", WORKDAY(Main[[#This Row],[Tech Start Date]],6),IF(Main[[#This Row],[Class]]="A",WORKDAY(Main[[#This Row],[Tech Start Date]],2),""))))</f>
        <v/>
      </c>
      <c r="N1234" s="77" t="str">
        <f>IF(Main[[#This Row],[Tech Start Date]]&lt;1/1/1990,"",IF(Main[[#This Row],[Class]]="C",WORKDAY(Main[[#This Row],[Tech Start Date]],19),IF(Main[[#This Row],[Class]]="B", WORKDAY(Main[[#This Row],[Tech Start Date]],12),IF(Main[[#This Row],[Class]]="A",WORKDAY(Main[[#This Row],[Tech Start Date]],4),""))))</f>
        <v/>
      </c>
      <c r="O1234" s="77" t="str">
        <f>IF(Main[[#This Row],[Tech Start Date]]&lt;1/1/1990,"",IF(Main[[#This Row],[Class]]="C",WORKDAY(Main[[#This Row],[Tech Start Date]],23),IF(Main[[#This Row],[Class]]="B", WORKDAY(Main[[#This Row],[Tech Start Date]],15),IF(Main[[#This Row],[Class]]="A",WORKDAY(Main[[#This Row],[Tech Start Date]],5),""))))</f>
        <v/>
      </c>
      <c r="P1234" s="77" t="str">
        <f>IF(Main[[#This Row],[Tech Start Date]]&lt;1/1/1990,"",IF(Main[[#This Row],[Class]]="C",WORKDAY(Main[[#This Row],[Tech Start Date]],28),IF(Main[[#This Row],[Class]]="B", WORKDAY(Main[[#This Row],[Tech Start Date]],19),IF(Main[[#This Row],[Class]]="A",WORKDAY(Main[[#This Row],[Tech Start Date]],9),""))))</f>
        <v/>
      </c>
      <c r="Q1234" s="74">
        <v>41060</v>
      </c>
      <c r="R1234" s="74"/>
      <c r="S1234" s="72" t="s">
        <v>17</v>
      </c>
      <c r="T1234" s="80" t="s">
        <v>4</v>
      </c>
      <c r="U1234" s="72" t="s">
        <v>7</v>
      </c>
      <c r="V1234" s="72" t="s">
        <v>1917</v>
      </c>
      <c r="W1234" s="72" t="s">
        <v>1919</v>
      </c>
      <c r="X1234" s="72" t="s">
        <v>129</v>
      </c>
      <c r="Y1234" s="72" t="s">
        <v>2939</v>
      </c>
      <c r="Z1234" s="72" t="s">
        <v>129</v>
      </c>
      <c r="AA1234" s="146" t="s">
        <v>129</v>
      </c>
    </row>
    <row r="1235" spans="1:27" ht="18.600000000000001" customHeight="1">
      <c r="A1235" s="139" t="str">
        <f>IF(priority(Main[[#This Row],[Comments]])&lt;&gt;0, priority(Main[[#This Row],[Comments]]),"")</f>
        <v/>
      </c>
      <c r="B1235" s="89" t="s">
        <v>3737</v>
      </c>
      <c r="C1235" s="72" t="s">
        <v>4</v>
      </c>
      <c r="D1235" s="73" t="s">
        <v>3738</v>
      </c>
      <c r="E1235" s="74">
        <v>40962.794108796297</v>
      </c>
      <c r="F1235" s="74"/>
      <c r="G1235" s="75" t="str">
        <f>IF(stdProdLT(Main[[#This Row],[Comments]])=0.1,"N/A",IF(stdProdLT(Main[[#This Row],[Comments]])=0,"",stdProdLT(Main[[#This Row],[Comments]])))</f>
        <v/>
      </c>
      <c r="H1235" s="76" t="str">
        <f>IF(AND(Main[[#This Row],[In Stock Date]]&lt;&gt;"",Main[[#This Row],[Revised Due Date]]&lt;&gt;""),Main[[#This Row],[In Stock Date]]-Main[[#This Row],[Revised Due Date]],"")</f>
        <v/>
      </c>
      <c r="I1235" s="72" t="s">
        <v>2054</v>
      </c>
      <c r="J1235" s="72" t="s">
        <v>28</v>
      </c>
      <c r="K1235" s="72" t="s">
        <v>1926</v>
      </c>
      <c r="L1235" s="74"/>
      <c r="M1235" s="77" t="str">
        <f>IF(Main[[#This Row],[Tech Start Date]]&lt;1/1/1990,"",IF(Main[[#This Row],[Class]]="C",WORKDAY(Main[[#This Row],[Tech Start Date]],9),IF(Main[[#This Row],[Class]]="B", WORKDAY(Main[[#This Row],[Tech Start Date]],6),IF(Main[[#This Row],[Class]]="A",WORKDAY(Main[[#This Row],[Tech Start Date]],2),""))))</f>
        <v/>
      </c>
      <c r="N1235" s="77" t="str">
        <f>IF(Main[[#This Row],[Tech Start Date]]&lt;1/1/1990,"",IF(Main[[#This Row],[Class]]="C",WORKDAY(Main[[#This Row],[Tech Start Date]],19),IF(Main[[#This Row],[Class]]="B", WORKDAY(Main[[#This Row],[Tech Start Date]],12),IF(Main[[#This Row],[Class]]="A",WORKDAY(Main[[#This Row],[Tech Start Date]],4),""))))</f>
        <v/>
      </c>
      <c r="O1235" s="77" t="str">
        <f>IF(Main[[#This Row],[Tech Start Date]]&lt;1/1/1990,"",IF(Main[[#This Row],[Class]]="C",WORKDAY(Main[[#This Row],[Tech Start Date]],23),IF(Main[[#This Row],[Class]]="B", WORKDAY(Main[[#This Row],[Tech Start Date]],15),IF(Main[[#This Row],[Class]]="A",WORKDAY(Main[[#This Row],[Tech Start Date]],5),""))))</f>
        <v/>
      </c>
      <c r="P1235" s="77" t="str">
        <f>IF(Main[[#This Row],[Tech Start Date]]&lt;1/1/1990,"",IF(Main[[#This Row],[Class]]="C",WORKDAY(Main[[#This Row],[Tech Start Date]],28),IF(Main[[#This Row],[Class]]="B", WORKDAY(Main[[#This Row],[Tech Start Date]],19),IF(Main[[#This Row],[Class]]="A",WORKDAY(Main[[#This Row],[Tech Start Date]],9),""))))</f>
        <v/>
      </c>
      <c r="Q1235" s="74">
        <v>40999</v>
      </c>
      <c r="R1235" s="74"/>
      <c r="S1235" s="72" t="s">
        <v>6</v>
      </c>
      <c r="T1235" s="80" t="s">
        <v>4</v>
      </c>
      <c r="U1235" s="72" t="s">
        <v>29</v>
      </c>
      <c r="V1235" s="72" t="s">
        <v>1920</v>
      </c>
      <c r="W1235" s="72" t="s">
        <v>1921</v>
      </c>
      <c r="X1235" s="72" t="s">
        <v>30</v>
      </c>
      <c r="Y1235" s="72" t="s">
        <v>3739</v>
      </c>
      <c r="Z1235" s="72" t="s">
        <v>415</v>
      </c>
      <c r="AA1235" s="146" t="s">
        <v>3459</v>
      </c>
    </row>
    <row r="1236" spans="1:27" ht="18.600000000000001" customHeight="1">
      <c r="A1236" s="139" t="str">
        <f>IF(priority(Main[[#This Row],[Comments]])&lt;&gt;0, priority(Main[[#This Row],[Comments]]),"")</f>
        <v/>
      </c>
      <c r="B1236" s="89" t="s">
        <v>2557</v>
      </c>
      <c r="C1236" s="72" t="s">
        <v>4</v>
      </c>
      <c r="D1236" s="73" t="s">
        <v>3293</v>
      </c>
      <c r="E1236" s="74">
        <v>40876.276597222219</v>
      </c>
      <c r="F1236" s="74"/>
      <c r="G1236" s="75" t="str">
        <f>IF(stdProdLT(Main[[#This Row],[Comments]])=0.1,"N/A",IF(stdProdLT(Main[[#This Row],[Comments]])=0,"",stdProdLT(Main[[#This Row],[Comments]])))</f>
        <v/>
      </c>
      <c r="H1236" s="76" t="str">
        <f>IF(AND(Main[[#This Row],[In Stock Date]]&lt;&gt;"",Main[[#This Row],[Revised Due Date]]&lt;&gt;""),Main[[#This Row],[In Stock Date]]-Main[[#This Row],[Revised Due Date]],"")</f>
        <v/>
      </c>
      <c r="I1236" s="72" t="s">
        <v>69</v>
      </c>
      <c r="J1236" s="72" t="s">
        <v>70</v>
      </c>
      <c r="K1236" s="72" t="s">
        <v>1926</v>
      </c>
      <c r="L1236" s="74"/>
      <c r="M1236" s="77" t="str">
        <f>IF(Main[[#This Row],[Tech Start Date]]&lt;1/1/1990,"",IF(Main[[#This Row],[Class]]="C",WORKDAY(Main[[#This Row],[Tech Start Date]],9),IF(Main[[#This Row],[Class]]="B", WORKDAY(Main[[#This Row],[Tech Start Date]],6),IF(Main[[#This Row],[Class]]="A",WORKDAY(Main[[#This Row],[Tech Start Date]],2),""))))</f>
        <v/>
      </c>
      <c r="N1236" s="77" t="str">
        <f>IF(Main[[#This Row],[Tech Start Date]]&lt;1/1/1990,"",IF(Main[[#This Row],[Class]]="C",WORKDAY(Main[[#This Row],[Tech Start Date]],19),IF(Main[[#This Row],[Class]]="B", WORKDAY(Main[[#This Row],[Tech Start Date]],12),IF(Main[[#This Row],[Class]]="A",WORKDAY(Main[[#This Row],[Tech Start Date]],4),""))))</f>
        <v/>
      </c>
      <c r="O1236" s="77" t="str">
        <f>IF(Main[[#This Row],[Tech Start Date]]&lt;1/1/1990,"",IF(Main[[#This Row],[Class]]="C",WORKDAY(Main[[#This Row],[Tech Start Date]],23),IF(Main[[#This Row],[Class]]="B", WORKDAY(Main[[#This Row],[Tech Start Date]],15),IF(Main[[#This Row],[Class]]="A",WORKDAY(Main[[#This Row],[Tech Start Date]],5),""))))</f>
        <v/>
      </c>
      <c r="P1236" s="77" t="str">
        <f>IF(Main[[#This Row],[Tech Start Date]]&lt;1/1/1990,"",IF(Main[[#This Row],[Class]]="C",WORKDAY(Main[[#This Row],[Tech Start Date]],28),IF(Main[[#This Row],[Class]]="B", WORKDAY(Main[[#This Row],[Tech Start Date]],19),IF(Main[[#This Row],[Class]]="A",WORKDAY(Main[[#This Row],[Tech Start Date]],9),""))))</f>
        <v/>
      </c>
      <c r="Q1236" s="74">
        <v>40907</v>
      </c>
      <c r="R1236" s="74"/>
      <c r="S1236" s="72" t="s">
        <v>6</v>
      </c>
      <c r="T1236" s="80" t="s">
        <v>4</v>
      </c>
      <c r="U1236" s="72" t="s">
        <v>29</v>
      </c>
      <c r="V1236" s="72" t="s">
        <v>1927</v>
      </c>
      <c r="W1236" s="72" t="s">
        <v>1921</v>
      </c>
      <c r="X1236" s="72" t="s">
        <v>2824</v>
      </c>
      <c r="Y1236" s="72" t="s">
        <v>2935</v>
      </c>
      <c r="Z1236" s="72" t="s">
        <v>30</v>
      </c>
      <c r="AA1236" s="146" t="s">
        <v>2824</v>
      </c>
    </row>
    <row r="1237" spans="1:27" ht="18.600000000000001" customHeight="1">
      <c r="A1237" s="139" t="str">
        <f>IF(priority(Main[[#This Row],[Comments]])&lt;&gt;0, priority(Main[[#This Row],[Comments]]),"")</f>
        <v/>
      </c>
      <c r="B1237" s="89" t="s">
        <v>2276</v>
      </c>
      <c r="C1237" s="72" t="s">
        <v>4</v>
      </c>
      <c r="D1237" s="73" t="s">
        <v>2561</v>
      </c>
      <c r="E1237" s="74">
        <v>40809.3827662037</v>
      </c>
      <c r="F1237" s="74"/>
      <c r="G1237" s="75" t="str">
        <f>IF(stdProdLT(Main[[#This Row],[Comments]])=0.1,"N/A",IF(stdProdLT(Main[[#This Row],[Comments]])=0,"",stdProdLT(Main[[#This Row],[Comments]])))</f>
        <v/>
      </c>
      <c r="H1237" s="76" t="str">
        <f>IF(AND(Main[[#This Row],[In Stock Date]]&lt;&gt;"",Main[[#This Row],[Revised Due Date]]&lt;&gt;""),Main[[#This Row],[In Stock Date]]-Main[[#This Row],[Revised Due Date]],"")</f>
        <v/>
      </c>
      <c r="I1237" s="72" t="s">
        <v>914</v>
      </c>
      <c r="J1237" s="72" t="s">
        <v>52</v>
      </c>
      <c r="K1237" s="72" t="s">
        <v>4</v>
      </c>
      <c r="L1237" s="74"/>
      <c r="M1237" s="77" t="str">
        <f>IF(Main[[#This Row],[Tech Start Date]]&lt;1/1/1990,"",IF(Main[[#This Row],[Class]]="C",WORKDAY(Main[[#This Row],[Tech Start Date]],9),IF(Main[[#This Row],[Class]]="B", WORKDAY(Main[[#This Row],[Tech Start Date]],6),IF(Main[[#This Row],[Class]]="A",WORKDAY(Main[[#This Row],[Tech Start Date]],2),""))))</f>
        <v/>
      </c>
      <c r="N1237" s="77" t="str">
        <f>IF(Main[[#This Row],[Tech Start Date]]&lt;1/1/1990,"",IF(Main[[#This Row],[Class]]="C",WORKDAY(Main[[#This Row],[Tech Start Date]],19),IF(Main[[#This Row],[Class]]="B", WORKDAY(Main[[#This Row],[Tech Start Date]],12),IF(Main[[#This Row],[Class]]="A",WORKDAY(Main[[#This Row],[Tech Start Date]],4),""))))</f>
        <v/>
      </c>
      <c r="O1237" s="77" t="str">
        <f>IF(Main[[#This Row],[Tech Start Date]]&lt;1/1/1990,"",IF(Main[[#This Row],[Class]]="C",WORKDAY(Main[[#This Row],[Tech Start Date]],23),IF(Main[[#This Row],[Class]]="B", WORKDAY(Main[[#This Row],[Tech Start Date]],15),IF(Main[[#This Row],[Class]]="A",WORKDAY(Main[[#This Row],[Tech Start Date]],5),""))))</f>
        <v/>
      </c>
      <c r="P1237" s="77" t="str">
        <f>IF(Main[[#This Row],[Tech Start Date]]&lt;1/1/1990,"",IF(Main[[#This Row],[Class]]="C",WORKDAY(Main[[#This Row],[Tech Start Date]],28),IF(Main[[#This Row],[Class]]="B", WORKDAY(Main[[#This Row],[Tech Start Date]],19),IF(Main[[#This Row],[Class]]="A",WORKDAY(Main[[#This Row],[Tech Start Date]],9),""))))</f>
        <v/>
      </c>
      <c r="Q1237" s="74"/>
      <c r="R1237" s="74">
        <v>40840</v>
      </c>
      <c r="S1237" s="72" t="s">
        <v>6</v>
      </c>
      <c r="T1237" s="80" t="s">
        <v>4</v>
      </c>
      <c r="U1237" s="72" t="s">
        <v>29</v>
      </c>
      <c r="V1237" s="72" t="s">
        <v>1917</v>
      </c>
      <c r="W1237" s="72" t="s">
        <v>1921</v>
      </c>
      <c r="X1237" s="72" t="s">
        <v>306</v>
      </c>
      <c r="Y1237" s="72" t="s">
        <v>4</v>
      </c>
      <c r="Z1237" s="72" t="s">
        <v>129</v>
      </c>
      <c r="AA1237" s="146" t="s">
        <v>50</v>
      </c>
    </row>
    <row r="1238" spans="1:27" ht="18.600000000000001" customHeight="1">
      <c r="A1238" s="139" t="str">
        <f>IF(priority(Main[[#This Row],[Comments]])&lt;&gt;0, priority(Main[[#This Row],[Comments]]),"")</f>
        <v/>
      </c>
      <c r="B1238" s="89" t="s">
        <v>1843</v>
      </c>
      <c r="C1238" s="72" t="s">
        <v>4</v>
      </c>
      <c r="D1238" s="73" t="s">
        <v>898</v>
      </c>
      <c r="E1238" s="74">
        <v>40241.453090277777</v>
      </c>
      <c r="F1238" s="74"/>
      <c r="G1238" s="75" t="str">
        <f>IF(stdProdLT(Main[[#This Row],[Comments]])=0.1,"N/A",IF(stdProdLT(Main[[#This Row],[Comments]])=0,"",stdProdLT(Main[[#This Row],[Comments]])))</f>
        <v/>
      </c>
      <c r="H1238" s="76" t="str">
        <f>IF(AND(Main[[#This Row],[In Stock Date]]&lt;&gt;"",Main[[#This Row],[Revised Due Date]]&lt;&gt;""),Main[[#This Row],[In Stock Date]]-Main[[#This Row],[Revised Due Date]],"")</f>
        <v/>
      </c>
      <c r="I1238" s="72" t="s">
        <v>74</v>
      </c>
      <c r="J1238" s="72" t="s">
        <v>4</v>
      </c>
      <c r="K1238" s="72" t="s">
        <v>1929</v>
      </c>
      <c r="L1238" s="74"/>
      <c r="M1238" s="77" t="str">
        <f>IF(Main[[#This Row],[Tech Start Date]]&lt;1/1/1990,"",IF(Main[[#This Row],[Class]]="C",WORKDAY(Main[[#This Row],[Tech Start Date]],9),IF(Main[[#This Row],[Class]]="B", WORKDAY(Main[[#This Row],[Tech Start Date]],6),IF(Main[[#This Row],[Class]]="A",WORKDAY(Main[[#This Row],[Tech Start Date]],2),""))))</f>
        <v/>
      </c>
      <c r="N1238" s="77" t="str">
        <f>IF(Main[[#This Row],[Tech Start Date]]&lt;1/1/1990,"",IF(Main[[#This Row],[Class]]="C",WORKDAY(Main[[#This Row],[Tech Start Date]],19),IF(Main[[#This Row],[Class]]="B", WORKDAY(Main[[#This Row],[Tech Start Date]],12),IF(Main[[#This Row],[Class]]="A",WORKDAY(Main[[#This Row],[Tech Start Date]],4),""))))</f>
        <v/>
      </c>
      <c r="O1238" s="77" t="str">
        <f>IF(Main[[#This Row],[Tech Start Date]]&lt;1/1/1990,"",IF(Main[[#This Row],[Class]]="C",WORKDAY(Main[[#This Row],[Tech Start Date]],23),IF(Main[[#This Row],[Class]]="B", WORKDAY(Main[[#This Row],[Tech Start Date]],15),IF(Main[[#This Row],[Class]]="A",WORKDAY(Main[[#This Row],[Tech Start Date]],5),""))))</f>
        <v/>
      </c>
      <c r="P1238" s="77" t="str">
        <f>IF(Main[[#This Row],[Tech Start Date]]&lt;1/1/1990,"",IF(Main[[#This Row],[Class]]="C",WORKDAY(Main[[#This Row],[Tech Start Date]],28),IF(Main[[#This Row],[Class]]="B", WORKDAY(Main[[#This Row],[Tech Start Date]],19),IF(Main[[#This Row],[Class]]="A",WORKDAY(Main[[#This Row],[Tech Start Date]],9),""))))</f>
        <v/>
      </c>
      <c r="Q1238" s="74"/>
      <c r="R1238" s="74">
        <v>40967</v>
      </c>
      <c r="S1238" s="72" t="s">
        <v>17</v>
      </c>
      <c r="T1238" s="80" t="s">
        <v>4</v>
      </c>
      <c r="U1238" s="72" t="s">
        <v>29</v>
      </c>
      <c r="V1238" s="72" t="s">
        <v>1920</v>
      </c>
      <c r="W1238" s="72" t="s">
        <v>4</v>
      </c>
      <c r="X1238" s="72" t="s">
        <v>306</v>
      </c>
      <c r="Y1238" s="72" t="s">
        <v>2955</v>
      </c>
      <c r="Z1238" s="72" t="s">
        <v>415</v>
      </c>
      <c r="AA1238" s="146" t="s">
        <v>3446</v>
      </c>
    </row>
    <row r="1239" spans="1:27" ht="18.600000000000001" customHeight="1">
      <c r="A1239" s="139" t="str">
        <f>IF(priority(Main[[#This Row],[Comments]])&lt;&gt;0, priority(Main[[#This Row],[Comments]]),"")</f>
        <v/>
      </c>
      <c r="B1239" s="89" t="s">
        <v>2672</v>
      </c>
      <c r="C1239" s="72" t="s">
        <v>47</v>
      </c>
      <c r="D1239" s="73" t="s">
        <v>3359</v>
      </c>
      <c r="E1239" s="74">
        <v>40938.399201388886</v>
      </c>
      <c r="F1239" s="74"/>
      <c r="G1239" s="75" t="str">
        <f>IF(stdProdLT(Main[[#This Row],[Comments]])=0.1,"N/A",IF(stdProdLT(Main[[#This Row],[Comments]])=0,"",stdProdLT(Main[[#This Row],[Comments]])))</f>
        <v/>
      </c>
      <c r="H1239" s="76" t="str">
        <f>IF(AND(Main[[#This Row],[In Stock Date]]&lt;&gt;"",Main[[#This Row],[Revised Due Date]]&lt;&gt;""),Main[[#This Row],[In Stock Date]]-Main[[#This Row],[Revised Due Date]],"")</f>
        <v/>
      </c>
      <c r="I1239" s="72" t="s">
        <v>4</v>
      </c>
      <c r="J1239" s="72" t="s">
        <v>4</v>
      </c>
      <c r="K1239" s="72" t="s">
        <v>4</v>
      </c>
      <c r="L1239" s="74"/>
      <c r="M1239" s="77" t="str">
        <f>IF(Main[[#This Row],[Tech Start Date]]&lt;1/1/1990,"",IF(Main[[#This Row],[Class]]="C",WORKDAY(Main[[#This Row],[Tech Start Date]],9),IF(Main[[#This Row],[Class]]="B", WORKDAY(Main[[#This Row],[Tech Start Date]],6),IF(Main[[#This Row],[Class]]="A",WORKDAY(Main[[#This Row],[Tech Start Date]],2),""))))</f>
        <v/>
      </c>
      <c r="N1239" s="77" t="str">
        <f>IF(Main[[#This Row],[Tech Start Date]]&lt;1/1/1990,"",IF(Main[[#This Row],[Class]]="C",WORKDAY(Main[[#This Row],[Tech Start Date]],19),IF(Main[[#This Row],[Class]]="B", WORKDAY(Main[[#This Row],[Tech Start Date]],12),IF(Main[[#This Row],[Class]]="A",WORKDAY(Main[[#This Row],[Tech Start Date]],4),""))))</f>
        <v/>
      </c>
      <c r="O1239" s="77" t="str">
        <f>IF(Main[[#This Row],[Tech Start Date]]&lt;1/1/1990,"",IF(Main[[#This Row],[Class]]="C",WORKDAY(Main[[#This Row],[Tech Start Date]],23),IF(Main[[#This Row],[Class]]="B", WORKDAY(Main[[#This Row],[Tech Start Date]],15),IF(Main[[#This Row],[Class]]="A",WORKDAY(Main[[#This Row],[Tech Start Date]],5),""))))</f>
        <v/>
      </c>
      <c r="P1239" s="77" t="str">
        <f>IF(Main[[#This Row],[Tech Start Date]]&lt;1/1/1990,"",IF(Main[[#This Row],[Class]]="C",WORKDAY(Main[[#This Row],[Tech Start Date]],28),IF(Main[[#This Row],[Class]]="B", WORKDAY(Main[[#This Row],[Tech Start Date]],19),IF(Main[[#This Row],[Class]]="A",WORKDAY(Main[[#This Row],[Tech Start Date]],9),""))))</f>
        <v/>
      </c>
      <c r="Q1239" s="74">
        <v>40913</v>
      </c>
      <c r="R1239" s="74"/>
      <c r="S1239" s="72" t="s">
        <v>6</v>
      </c>
      <c r="T1239" s="80" t="s">
        <v>4</v>
      </c>
      <c r="U1239" s="72" t="s">
        <v>7</v>
      </c>
      <c r="V1239" s="72" t="s">
        <v>2288</v>
      </c>
      <c r="W1239" s="72" t="s">
        <v>4</v>
      </c>
      <c r="X1239" s="72" t="s">
        <v>2871</v>
      </c>
      <c r="Y1239" s="72" t="s">
        <v>3016</v>
      </c>
      <c r="Z1239" s="72" t="s">
        <v>4</v>
      </c>
      <c r="AA1239" s="146" t="s">
        <v>2871</v>
      </c>
    </row>
    <row r="1240" spans="1:27" ht="18.600000000000001" customHeight="1">
      <c r="A1240" s="139" t="str">
        <f>IF(priority(Main[[#This Row],[Comments]])&lt;&gt;0, priority(Main[[#This Row],[Comments]]),"")</f>
        <v/>
      </c>
      <c r="B1240" s="89" t="s">
        <v>3360</v>
      </c>
      <c r="C1240" s="72" t="s">
        <v>4</v>
      </c>
      <c r="D1240" s="73" t="s">
        <v>3725</v>
      </c>
      <c r="E1240" s="74">
        <v>40938.460613425923</v>
      </c>
      <c r="F1240" s="74"/>
      <c r="G1240" s="75" t="str">
        <f>IF(stdProdLT(Main[[#This Row],[Comments]])=0.1,"N/A",IF(stdProdLT(Main[[#This Row],[Comments]])=0,"",stdProdLT(Main[[#This Row],[Comments]])))</f>
        <v/>
      </c>
      <c r="H1240" s="76" t="str">
        <f>IF(AND(Main[[#This Row],[In Stock Date]]&lt;&gt;"",Main[[#This Row],[Revised Due Date]]&lt;&gt;""),Main[[#This Row],[In Stock Date]]-Main[[#This Row],[Revised Due Date]],"")</f>
        <v/>
      </c>
      <c r="I1240" s="72" t="s">
        <v>69</v>
      </c>
      <c r="J1240" s="72" t="s">
        <v>70</v>
      </c>
      <c r="K1240" s="72" t="s">
        <v>4</v>
      </c>
      <c r="L1240" s="74"/>
      <c r="M1240" s="77" t="str">
        <f>IF(Main[[#This Row],[Tech Start Date]]&lt;1/1/1990,"",IF(Main[[#This Row],[Class]]="C",WORKDAY(Main[[#This Row],[Tech Start Date]],9),IF(Main[[#This Row],[Class]]="B", WORKDAY(Main[[#This Row],[Tech Start Date]],6),IF(Main[[#This Row],[Class]]="A",WORKDAY(Main[[#This Row],[Tech Start Date]],2),""))))</f>
        <v/>
      </c>
      <c r="N1240" s="77" t="str">
        <f>IF(Main[[#This Row],[Tech Start Date]]&lt;1/1/1990,"",IF(Main[[#This Row],[Class]]="C",WORKDAY(Main[[#This Row],[Tech Start Date]],19),IF(Main[[#This Row],[Class]]="B", WORKDAY(Main[[#This Row],[Tech Start Date]],12),IF(Main[[#This Row],[Class]]="A",WORKDAY(Main[[#This Row],[Tech Start Date]],4),""))))</f>
        <v/>
      </c>
      <c r="O1240" s="77" t="str">
        <f>IF(Main[[#This Row],[Tech Start Date]]&lt;1/1/1990,"",IF(Main[[#This Row],[Class]]="C",WORKDAY(Main[[#This Row],[Tech Start Date]],23),IF(Main[[#This Row],[Class]]="B", WORKDAY(Main[[#This Row],[Tech Start Date]],15),IF(Main[[#This Row],[Class]]="A",WORKDAY(Main[[#This Row],[Tech Start Date]],5),""))))</f>
        <v/>
      </c>
      <c r="P1240" s="77" t="str">
        <f>IF(Main[[#This Row],[Tech Start Date]]&lt;1/1/1990,"",IF(Main[[#This Row],[Class]]="C",WORKDAY(Main[[#This Row],[Tech Start Date]],28),IF(Main[[#This Row],[Class]]="B", WORKDAY(Main[[#This Row],[Tech Start Date]],19),IF(Main[[#This Row],[Class]]="A",WORKDAY(Main[[#This Row],[Tech Start Date]],9),""))))</f>
        <v/>
      </c>
      <c r="Q1240" s="74"/>
      <c r="R1240" s="74"/>
      <c r="S1240" s="72" t="s">
        <v>6</v>
      </c>
      <c r="T1240" s="80" t="s">
        <v>4</v>
      </c>
      <c r="U1240" s="72" t="s">
        <v>29</v>
      </c>
      <c r="V1240" s="72" t="s">
        <v>1920</v>
      </c>
      <c r="W1240" s="72" t="s">
        <v>4</v>
      </c>
      <c r="X1240" s="72" t="s">
        <v>2847</v>
      </c>
      <c r="Y1240" s="72" t="s">
        <v>2977</v>
      </c>
      <c r="Z1240" s="72" t="s">
        <v>4</v>
      </c>
      <c r="AA1240" s="146" t="s">
        <v>2847</v>
      </c>
    </row>
    <row r="1241" spans="1:27" ht="18.600000000000001" customHeight="1">
      <c r="A1241" s="139" t="str">
        <f>IF(priority(Main[[#This Row],[Comments]])&lt;&gt;0, priority(Main[[#This Row],[Comments]]),"")</f>
        <v/>
      </c>
      <c r="B1241" s="89" t="s">
        <v>3356</v>
      </c>
      <c r="C1241" s="72" t="s">
        <v>148</v>
      </c>
      <c r="D1241" s="73" t="s">
        <v>3357</v>
      </c>
      <c r="E1241" s="74">
        <v>40967.389756944445</v>
      </c>
      <c r="F1241" s="74">
        <v>41128</v>
      </c>
      <c r="G1241" s="75">
        <f>IF(stdProdLT(Main[[#This Row],[Comments]])=0.1,"N/A",IF(stdProdLT(Main[[#This Row],[Comments]])=0,"",stdProdLT(Main[[#This Row],[Comments]])))</f>
        <v>168</v>
      </c>
      <c r="H1241" s="76" t="str">
        <f>IF(AND(Main[[#This Row],[In Stock Date]]&lt;&gt;"",Main[[#This Row],[Revised Due Date]]&lt;&gt;""),Main[[#This Row],[In Stock Date]]-Main[[#This Row],[Revised Due Date]],"")</f>
        <v/>
      </c>
      <c r="I1241" s="72" t="s">
        <v>4</v>
      </c>
      <c r="J1241" s="72" t="s">
        <v>4</v>
      </c>
      <c r="K1241" s="72" t="s">
        <v>4</v>
      </c>
      <c r="L1241" s="74"/>
      <c r="M1241" s="77" t="str">
        <f>IF(Main[[#This Row],[Tech Start Date]]&lt;1/1/1990,"",IF(Main[[#This Row],[Class]]="C",WORKDAY(Main[[#This Row],[Tech Start Date]],9),IF(Main[[#This Row],[Class]]="B", WORKDAY(Main[[#This Row],[Tech Start Date]],6),IF(Main[[#This Row],[Class]]="A",WORKDAY(Main[[#This Row],[Tech Start Date]],2),""))))</f>
        <v/>
      </c>
      <c r="N1241" s="77" t="str">
        <f>IF(Main[[#This Row],[Tech Start Date]]&lt;1/1/1990,"",IF(Main[[#This Row],[Class]]="C",WORKDAY(Main[[#This Row],[Tech Start Date]],19),IF(Main[[#This Row],[Class]]="B", WORKDAY(Main[[#This Row],[Tech Start Date]],12),IF(Main[[#This Row],[Class]]="A",WORKDAY(Main[[#This Row],[Tech Start Date]],4),""))))</f>
        <v/>
      </c>
      <c r="O1241" s="77" t="str">
        <f>IF(Main[[#This Row],[Tech Start Date]]&lt;1/1/1990,"",IF(Main[[#This Row],[Class]]="C",WORKDAY(Main[[#This Row],[Tech Start Date]],23),IF(Main[[#This Row],[Class]]="B", WORKDAY(Main[[#This Row],[Tech Start Date]],15),IF(Main[[#This Row],[Class]]="A",WORKDAY(Main[[#This Row],[Tech Start Date]],5),""))))</f>
        <v/>
      </c>
      <c r="P1241" s="77" t="str">
        <f>IF(Main[[#This Row],[Tech Start Date]]&lt;1/1/1990,"",IF(Main[[#This Row],[Class]]="C",WORKDAY(Main[[#This Row],[Tech Start Date]],28),IF(Main[[#This Row],[Class]]="B", WORKDAY(Main[[#This Row],[Tech Start Date]],19),IF(Main[[#This Row],[Class]]="A",WORKDAY(Main[[#This Row],[Tech Start Date]],9),""))))</f>
        <v/>
      </c>
      <c r="Q1241" s="74"/>
      <c r="R1241" s="74"/>
      <c r="S1241" s="72" t="s">
        <v>11</v>
      </c>
      <c r="T1241" s="80" t="s">
        <v>3726</v>
      </c>
      <c r="U1241" s="72" t="s">
        <v>7</v>
      </c>
      <c r="V1241" s="72" t="s">
        <v>1920</v>
      </c>
      <c r="W1241" s="72" t="s">
        <v>1925</v>
      </c>
      <c r="X1241" s="72" t="s">
        <v>2899</v>
      </c>
      <c r="Y1241" s="72" t="s">
        <v>3061</v>
      </c>
      <c r="Z1241" s="72" t="s">
        <v>4</v>
      </c>
      <c r="AA1241" s="146" t="s">
        <v>2899</v>
      </c>
    </row>
    <row r="1242" spans="1:27" ht="18.600000000000001" customHeight="1">
      <c r="A1242" s="139" t="str">
        <f>IF(priority(Main[[#This Row],[Comments]])&lt;&gt;0, priority(Main[[#This Row],[Comments]]),"")</f>
        <v/>
      </c>
      <c r="B1242" s="89" t="s">
        <v>2783</v>
      </c>
      <c r="C1242" s="72" t="s">
        <v>47</v>
      </c>
      <c r="D1242" s="73" t="s">
        <v>2784</v>
      </c>
      <c r="E1242" s="74"/>
      <c r="F1242" s="74"/>
      <c r="G1242" s="75" t="str">
        <f>IF(stdProdLT(Main[[#This Row],[Comments]])=0.1,"N/A",IF(stdProdLT(Main[[#This Row],[Comments]])=0,"",stdProdLT(Main[[#This Row],[Comments]])))</f>
        <v/>
      </c>
      <c r="H1242" s="76" t="str">
        <f>IF(AND(Main[[#This Row],[In Stock Date]]&lt;&gt;"",Main[[#This Row],[Revised Due Date]]&lt;&gt;""),Main[[#This Row],[In Stock Date]]-Main[[#This Row],[Revised Due Date]],"")</f>
        <v/>
      </c>
      <c r="I1242" s="72" t="s">
        <v>4</v>
      </c>
      <c r="J1242" s="72" t="s">
        <v>4</v>
      </c>
      <c r="K1242" s="81" t="s">
        <v>4</v>
      </c>
      <c r="L1242" s="74"/>
      <c r="M1242" s="77" t="str">
        <f>IF(Main[[#This Row],[Tech Start Date]]&lt;1/1/1990,"",IF(Main[[#This Row],[Class]]="C",WORKDAY(Main[[#This Row],[Tech Start Date]],9),IF(Main[[#This Row],[Class]]="B", WORKDAY(Main[[#This Row],[Tech Start Date]],6),IF(Main[[#This Row],[Class]]="A",WORKDAY(Main[[#This Row],[Tech Start Date]],2),""))))</f>
        <v/>
      </c>
      <c r="N1242" s="77" t="str">
        <f>IF(Main[[#This Row],[Tech Start Date]]&lt;1/1/1990,"",IF(Main[[#This Row],[Class]]="C",WORKDAY(Main[[#This Row],[Tech Start Date]],19),IF(Main[[#This Row],[Class]]="B", WORKDAY(Main[[#This Row],[Tech Start Date]],12),IF(Main[[#This Row],[Class]]="A",WORKDAY(Main[[#This Row],[Tech Start Date]],4),""))))</f>
        <v/>
      </c>
      <c r="O1242" s="77" t="str">
        <f>IF(Main[[#This Row],[Tech Start Date]]&lt;1/1/1990,"",IF(Main[[#This Row],[Class]]="C",WORKDAY(Main[[#This Row],[Tech Start Date]],23),IF(Main[[#This Row],[Class]]="B", WORKDAY(Main[[#This Row],[Tech Start Date]],15),IF(Main[[#This Row],[Class]]="A",WORKDAY(Main[[#This Row],[Tech Start Date]],5),""))))</f>
        <v/>
      </c>
      <c r="P1242" s="77" t="str">
        <f>IF(Main[[#This Row],[Tech Start Date]]&lt;1/1/1990,"",IF(Main[[#This Row],[Class]]="C",WORKDAY(Main[[#This Row],[Tech Start Date]],28),IF(Main[[#This Row],[Class]]="B", WORKDAY(Main[[#This Row],[Tech Start Date]],19),IF(Main[[#This Row],[Class]]="A",WORKDAY(Main[[#This Row],[Tech Start Date]],9),""))))</f>
        <v/>
      </c>
      <c r="Q1242" s="74">
        <v>40907</v>
      </c>
      <c r="R1242" s="74"/>
      <c r="S1242" s="72" t="s">
        <v>6</v>
      </c>
      <c r="T1242" s="80" t="s">
        <v>4</v>
      </c>
      <c r="U1242" s="72" t="s">
        <v>12</v>
      </c>
      <c r="V1242" s="72" t="s">
        <v>1920</v>
      </c>
      <c r="W1242" s="72" t="s">
        <v>4</v>
      </c>
      <c r="X1242" s="72" t="s">
        <v>2871</v>
      </c>
      <c r="Y1242" s="72" t="s">
        <v>3016</v>
      </c>
      <c r="Z1242" s="72" t="s">
        <v>4</v>
      </c>
      <c r="AA1242" s="146" t="s">
        <v>2871</v>
      </c>
    </row>
    <row r="1243" spans="1:27" ht="18.600000000000001" customHeight="1">
      <c r="A1243" s="139" t="str">
        <f>IF(priority(Main[[#This Row],[Comments]])&lt;&gt;0, priority(Main[[#This Row],[Comments]]),"")</f>
        <v/>
      </c>
      <c r="B1243" s="89" t="s">
        <v>1827</v>
      </c>
      <c r="C1243" s="72" t="s">
        <v>47</v>
      </c>
      <c r="D1243" s="73" t="s">
        <v>877</v>
      </c>
      <c r="E1243" s="74"/>
      <c r="F1243" s="74"/>
      <c r="G1243" s="75" t="str">
        <f>IF(stdProdLT(Main[[#This Row],[Comments]])=0.1,"N/A",IF(stdProdLT(Main[[#This Row],[Comments]])=0,"",stdProdLT(Main[[#This Row],[Comments]])))</f>
        <v/>
      </c>
      <c r="H1243" s="76" t="str">
        <f>IF(AND(Main[[#This Row],[In Stock Date]]&lt;&gt;"",Main[[#This Row],[Revised Due Date]]&lt;&gt;""),Main[[#This Row],[In Stock Date]]-Main[[#This Row],[Revised Due Date]],"")</f>
        <v/>
      </c>
      <c r="I1243" s="72" t="s">
        <v>4</v>
      </c>
      <c r="J1243" s="72" t="s">
        <v>4</v>
      </c>
      <c r="K1243" s="72" t="s">
        <v>1929</v>
      </c>
      <c r="L1243" s="74"/>
      <c r="M1243" s="77" t="str">
        <f>IF(Main[[#This Row],[Tech Start Date]]&lt;1/1/1990,"",IF(Main[[#This Row],[Class]]="C",WORKDAY(Main[[#This Row],[Tech Start Date]],9),IF(Main[[#This Row],[Class]]="B", WORKDAY(Main[[#This Row],[Tech Start Date]],6),IF(Main[[#This Row],[Class]]="A",WORKDAY(Main[[#This Row],[Tech Start Date]],2),""))))</f>
        <v/>
      </c>
      <c r="N1243" s="77" t="str">
        <f>IF(Main[[#This Row],[Tech Start Date]]&lt;1/1/1990,"",IF(Main[[#This Row],[Class]]="C",WORKDAY(Main[[#This Row],[Tech Start Date]],19),IF(Main[[#This Row],[Class]]="B", WORKDAY(Main[[#This Row],[Tech Start Date]],12),IF(Main[[#This Row],[Class]]="A",WORKDAY(Main[[#This Row],[Tech Start Date]],4),""))))</f>
        <v/>
      </c>
      <c r="O1243" s="77" t="str">
        <f>IF(Main[[#This Row],[Tech Start Date]]&lt;1/1/1990,"",IF(Main[[#This Row],[Class]]="C",WORKDAY(Main[[#This Row],[Tech Start Date]],23),IF(Main[[#This Row],[Class]]="B", WORKDAY(Main[[#This Row],[Tech Start Date]],15),IF(Main[[#This Row],[Class]]="A",WORKDAY(Main[[#This Row],[Tech Start Date]],5),""))))</f>
        <v/>
      </c>
      <c r="P1243" s="77" t="str">
        <f>IF(Main[[#This Row],[Tech Start Date]]&lt;1/1/1990,"",IF(Main[[#This Row],[Class]]="C",WORKDAY(Main[[#This Row],[Tech Start Date]],28),IF(Main[[#This Row],[Class]]="B", WORKDAY(Main[[#This Row],[Tech Start Date]],19),IF(Main[[#This Row],[Class]]="A",WORKDAY(Main[[#This Row],[Tech Start Date]],9),""))))</f>
        <v/>
      </c>
      <c r="Q1243" s="74"/>
      <c r="R1243" s="74">
        <v>40359</v>
      </c>
      <c r="S1243" s="72" t="s">
        <v>17</v>
      </c>
      <c r="T1243" s="80" t="s">
        <v>4</v>
      </c>
      <c r="U1243" s="72" t="s">
        <v>14</v>
      </c>
      <c r="V1243" s="72" t="s">
        <v>1917</v>
      </c>
      <c r="W1243" s="72" t="s">
        <v>1922</v>
      </c>
      <c r="X1243" s="72" t="s">
        <v>2827</v>
      </c>
      <c r="Y1243" s="72" t="s">
        <v>2942</v>
      </c>
      <c r="Z1243" s="72" t="s">
        <v>4</v>
      </c>
      <c r="AA1243" s="146" t="s">
        <v>2827</v>
      </c>
    </row>
    <row r="1244" spans="1:27" ht="18.600000000000001" customHeight="1">
      <c r="A1244" s="139" t="str">
        <f>IF(priority(Main[[#This Row],[Comments]])&lt;&gt;0, priority(Main[[#This Row],[Comments]]),"")</f>
        <v/>
      </c>
      <c r="B1244" s="89" t="s">
        <v>1637</v>
      </c>
      <c r="C1244" s="72" t="s">
        <v>4</v>
      </c>
      <c r="D1244" s="73" t="s">
        <v>708</v>
      </c>
      <c r="E1244" s="74"/>
      <c r="F1244" s="74"/>
      <c r="G1244" s="75" t="str">
        <f>IF(stdProdLT(Main[[#This Row],[Comments]])=0.1,"N/A",IF(stdProdLT(Main[[#This Row],[Comments]])=0,"",stdProdLT(Main[[#This Row],[Comments]])))</f>
        <v/>
      </c>
      <c r="H1244" s="76" t="str">
        <f>IF(AND(Main[[#This Row],[In Stock Date]]&lt;&gt;"",Main[[#This Row],[Revised Due Date]]&lt;&gt;""),Main[[#This Row],[In Stock Date]]-Main[[#This Row],[Revised Due Date]],"")</f>
        <v/>
      </c>
      <c r="I1244" s="72" t="s">
        <v>4</v>
      </c>
      <c r="J1244" s="72" t="s">
        <v>28</v>
      </c>
      <c r="K1244" s="72" t="s">
        <v>1926</v>
      </c>
      <c r="L1244" s="74"/>
      <c r="M1244" s="77" t="str">
        <f>IF(Main[[#This Row],[Tech Start Date]]&lt;1/1/1990,"",IF(Main[[#This Row],[Class]]="C",WORKDAY(Main[[#This Row],[Tech Start Date]],9),IF(Main[[#This Row],[Class]]="B", WORKDAY(Main[[#This Row],[Tech Start Date]],6),IF(Main[[#This Row],[Class]]="A",WORKDAY(Main[[#This Row],[Tech Start Date]],2),""))))</f>
        <v/>
      </c>
      <c r="N1244" s="77" t="str">
        <f>IF(Main[[#This Row],[Tech Start Date]]&lt;1/1/1990,"",IF(Main[[#This Row],[Class]]="C",WORKDAY(Main[[#This Row],[Tech Start Date]],19),IF(Main[[#This Row],[Class]]="B", WORKDAY(Main[[#This Row],[Tech Start Date]],12),IF(Main[[#This Row],[Class]]="A",WORKDAY(Main[[#This Row],[Tech Start Date]],4),""))))</f>
        <v/>
      </c>
      <c r="O1244" s="77" t="str">
        <f>IF(Main[[#This Row],[Tech Start Date]]&lt;1/1/1990,"",IF(Main[[#This Row],[Class]]="C",WORKDAY(Main[[#This Row],[Tech Start Date]],23),IF(Main[[#This Row],[Class]]="B", WORKDAY(Main[[#This Row],[Tech Start Date]],15),IF(Main[[#This Row],[Class]]="A",WORKDAY(Main[[#This Row],[Tech Start Date]],5),""))))</f>
        <v/>
      </c>
      <c r="P1244" s="77" t="str">
        <f>IF(Main[[#This Row],[Tech Start Date]]&lt;1/1/1990,"",IF(Main[[#This Row],[Class]]="C",WORKDAY(Main[[#This Row],[Tech Start Date]],28),IF(Main[[#This Row],[Class]]="B", WORKDAY(Main[[#This Row],[Tech Start Date]],19),IF(Main[[#This Row],[Class]]="A",WORKDAY(Main[[#This Row],[Tech Start Date]],9),""))))</f>
        <v/>
      </c>
      <c r="Q1244" s="74"/>
      <c r="R1244" s="74"/>
      <c r="S1244" s="72" t="s">
        <v>6</v>
      </c>
      <c r="T1244" s="80" t="s">
        <v>4</v>
      </c>
      <c r="U1244" s="72" t="s">
        <v>14</v>
      </c>
      <c r="V1244" s="72" t="s">
        <v>1917</v>
      </c>
      <c r="W1244" s="72" t="s">
        <v>1921</v>
      </c>
      <c r="X1244" s="72" t="s">
        <v>306</v>
      </c>
      <c r="Y1244" s="72" t="s">
        <v>3139</v>
      </c>
      <c r="Z1244" s="72" t="s">
        <v>129</v>
      </c>
      <c r="AA1244" s="146" t="s">
        <v>3469</v>
      </c>
    </row>
    <row r="1245" spans="1:27" ht="18.600000000000001" customHeight="1">
      <c r="A1245" s="139" t="str">
        <f>IF(priority(Main[[#This Row],[Comments]])&lt;&gt;0, priority(Main[[#This Row],[Comments]]),"")</f>
        <v/>
      </c>
      <c r="B1245" s="89" t="s">
        <v>3741</v>
      </c>
      <c r="C1245" s="72" t="s">
        <v>4</v>
      </c>
      <c r="D1245" s="73" t="s">
        <v>3742</v>
      </c>
      <c r="E1245" s="74"/>
      <c r="F1245" s="74"/>
      <c r="G1245" s="75" t="str">
        <f>IF(stdProdLT(Main[[#This Row],[Comments]])=0.1,"N/A",IF(stdProdLT(Main[[#This Row],[Comments]])=0,"",stdProdLT(Main[[#This Row],[Comments]])))</f>
        <v/>
      </c>
      <c r="H1245" s="76" t="str">
        <f>IF(AND(Main[[#This Row],[In Stock Date]]&lt;&gt;"",Main[[#This Row],[Revised Due Date]]&lt;&gt;""),Main[[#This Row],[In Stock Date]]-Main[[#This Row],[Revised Due Date]],"")</f>
        <v/>
      </c>
      <c r="I1245" s="72" t="s">
        <v>4</v>
      </c>
      <c r="J1245" s="72" t="s">
        <v>28</v>
      </c>
      <c r="K1245" s="81" t="s">
        <v>4</v>
      </c>
      <c r="L1245" s="74"/>
      <c r="M1245" s="77" t="str">
        <f>IF(Main[[#This Row],[Tech Start Date]]&lt;1/1/1990,"",IF(Main[[#This Row],[Class]]="C",WORKDAY(Main[[#This Row],[Tech Start Date]],9),IF(Main[[#This Row],[Class]]="B", WORKDAY(Main[[#This Row],[Tech Start Date]],6),IF(Main[[#This Row],[Class]]="A",WORKDAY(Main[[#This Row],[Tech Start Date]],2),""))))</f>
        <v/>
      </c>
      <c r="N1245" s="77" t="str">
        <f>IF(Main[[#This Row],[Tech Start Date]]&lt;1/1/1990,"",IF(Main[[#This Row],[Class]]="C",WORKDAY(Main[[#This Row],[Tech Start Date]],19),IF(Main[[#This Row],[Class]]="B", WORKDAY(Main[[#This Row],[Tech Start Date]],12),IF(Main[[#This Row],[Class]]="A",WORKDAY(Main[[#This Row],[Tech Start Date]],4),""))))</f>
        <v/>
      </c>
      <c r="O1245" s="77" t="str">
        <f>IF(Main[[#This Row],[Tech Start Date]]&lt;1/1/1990,"",IF(Main[[#This Row],[Class]]="C",WORKDAY(Main[[#This Row],[Tech Start Date]],23),IF(Main[[#This Row],[Class]]="B", WORKDAY(Main[[#This Row],[Tech Start Date]],15),IF(Main[[#This Row],[Class]]="A",WORKDAY(Main[[#This Row],[Tech Start Date]],5),""))))</f>
        <v/>
      </c>
      <c r="P1245" s="77" t="str">
        <f>IF(Main[[#This Row],[Tech Start Date]]&lt;1/1/1990,"",IF(Main[[#This Row],[Class]]="C",WORKDAY(Main[[#This Row],[Tech Start Date]],28),IF(Main[[#This Row],[Class]]="B", WORKDAY(Main[[#This Row],[Tech Start Date]],19),IF(Main[[#This Row],[Class]]="A",WORKDAY(Main[[#This Row],[Tech Start Date]],9),""))))</f>
        <v/>
      </c>
      <c r="Q1245" s="74">
        <v>40724</v>
      </c>
      <c r="R1245" s="74"/>
      <c r="S1245" s="72" t="s">
        <v>17</v>
      </c>
      <c r="T1245" s="80" t="s">
        <v>2469</v>
      </c>
      <c r="U1245" s="72" t="s">
        <v>12</v>
      </c>
      <c r="V1245" s="72" t="s">
        <v>1917</v>
      </c>
      <c r="W1245" s="72" t="s">
        <v>1922</v>
      </c>
      <c r="X1245" s="72" t="s">
        <v>129</v>
      </c>
      <c r="Y1245" s="72" t="s">
        <v>2939</v>
      </c>
      <c r="Z1245" s="72" t="s">
        <v>129</v>
      </c>
      <c r="AA1245" s="146" t="s">
        <v>129</v>
      </c>
    </row>
    <row r="1246" spans="1:27" ht="18.600000000000001" customHeight="1">
      <c r="A1246" s="139" t="str">
        <f>IF(priority(Main[[#This Row],[Comments]])&lt;&gt;0, priority(Main[[#This Row],[Comments]]),"")</f>
        <v/>
      </c>
      <c r="B1246" s="89" t="s">
        <v>3200</v>
      </c>
      <c r="C1246" s="72" t="s">
        <v>4</v>
      </c>
      <c r="D1246" s="73" t="s">
        <v>3743</v>
      </c>
      <c r="E1246" s="74">
        <v>40921.403067129628</v>
      </c>
      <c r="F1246" s="74"/>
      <c r="G1246" s="75" t="str">
        <f>IF(stdProdLT(Main[[#This Row],[Comments]])=0.1,"N/A",IF(stdProdLT(Main[[#This Row],[Comments]])=0,"",stdProdLT(Main[[#This Row],[Comments]])))</f>
        <v/>
      </c>
      <c r="H1246" s="76" t="str">
        <f>IF(AND(Main[[#This Row],[In Stock Date]]&lt;&gt;"",Main[[#This Row],[Revised Due Date]]&lt;&gt;""),Main[[#This Row],[In Stock Date]]-Main[[#This Row],[Revised Due Date]],"")</f>
        <v/>
      </c>
      <c r="I1246" s="72" t="s">
        <v>2054</v>
      </c>
      <c r="J1246" s="72" t="s">
        <v>28</v>
      </c>
      <c r="K1246" s="72" t="s">
        <v>1926</v>
      </c>
      <c r="L1246" s="74"/>
      <c r="M1246" s="77" t="str">
        <f>IF(Main[[#This Row],[Tech Start Date]]&lt;1/1/1990,"",IF(Main[[#This Row],[Class]]="C",WORKDAY(Main[[#This Row],[Tech Start Date]],9),IF(Main[[#This Row],[Class]]="B", WORKDAY(Main[[#This Row],[Tech Start Date]],6),IF(Main[[#This Row],[Class]]="A",WORKDAY(Main[[#This Row],[Tech Start Date]],2),""))))</f>
        <v/>
      </c>
      <c r="N1246" s="77" t="str">
        <f>IF(Main[[#This Row],[Tech Start Date]]&lt;1/1/1990,"",IF(Main[[#This Row],[Class]]="C",WORKDAY(Main[[#This Row],[Tech Start Date]],19),IF(Main[[#This Row],[Class]]="B", WORKDAY(Main[[#This Row],[Tech Start Date]],12),IF(Main[[#This Row],[Class]]="A",WORKDAY(Main[[#This Row],[Tech Start Date]],4),""))))</f>
        <v/>
      </c>
      <c r="O1246" s="77" t="str">
        <f>IF(Main[[#This Row],[Tech Start Date]]&lt;1/1/1990,"",IF(Main[[#This Row],[Class]]="C",WORKDAY(Main[[#This Row],[Tech Start Date]],23),IF(Main[[#This Row],[Class]]="B", WORKDAY(Main[[#This Row],[Tech Start Date]],15),IF(Main[[#This Row],[Class]]="A",WORKDAY(Main[[#This Row],[Tech Start Date]],5),""))))</f>
        <v/>
      </c>
      <c r="P1246" s="77" t="str">
        <f>IF(Main[[#This Row],[Tech Start Date]]&lt;1/1/1990,"",IF(Main[[#This Row],[Class]]="C",WORKDAY(Main[[#This Row],[Tech Start Date]],28),IF(Main[[#This Row],[Class]]="B", WORKDAY(Main[[#This Row],[Tech Start Date]],19),IF(Main[[#This Row],[Class]]="A",WORKDAY(Main[[#This Row],[Tech Start Date]],9),""))))</f>
        <v/>
      </c>
      <c r="Q1246" s="74"/>
      <c r="R1246" s="74"/>
      <c r="S1246" s="72" t="s">
        <v>6</v>
      </c>
      <c r="T1246" s="80" t="s">
        <v>4</v>
      </c>
      <c r="U1246" s="72" t="s">
        <v>29</v>
      </c>
      <c r="V1246" s="72" t="s">
        <v>1920</v>
      </c>
      <c r="W1246" s="72" t="s">
        <v>1925</v>
      </c>
      <c r="X1246" s="72" t="s">
        <v>306</v>
      </c>
      <c r="Y1246" s="72" t="s">
        <v>4</v>
      </c>
      <c r="Z1246" s="72" t="s">
        <v>30</v>
      </c>
      <c r="AA1246" s="146" t="s">
        <v>4</v>
      </c>
    </row>
    <row r="1247" spans="1:27" ht="18.600000000000001" customHeight="1">
      <c r="A1247" s="139" t="str">
        <f>IF(priority(Main[[#This Row],[Comments]])&lt;&gt;0, priority(Main[[#This Row],[Comments]]),"")</f>
        <v/>
      </c>
      <c r="B1247" s="89" t="s">
        <v>3744</v>
      </c>
      <c r="C1247" s="72" t="s">
        <v>3621</v>
      </c>
      <c r="D1247" s="73" t="s">
        <v>3745</v>
      </c>
      <c r="E1247" s="74">
        <v>40960.202187499999</v>
      </c>
      <c r="F1247" s="74">
        <v>41146</v>
      </c>
      <c r="G1247" s="75">
        <f>IF(stdProdLT(Main[[#This Row],[Comments]])=0.1,"N/A",IF(stdProdLT(Main[[#This Row],[Comments]])=0,"",stdProdLT(Main[[#This Row],[Comments]])))</f>
        <v>126</v>
      </c>
      <c r="H1247" s="76" t="str">
        <f>IF(AND(Main[[#This Row],[In Stock Date]]&lt;&gt;"",Main[[#This Row],[Revised Due Date]]&lt;&gt;""),Main[[#This Row],[In Stock Date]]-Main[[#This Row],[Revised Due Date]],"")</f>
        <v/>
      </c>
      <c r="I1247" s="72" t="s">
        <v>4</v>
      </c>
      <c r="J1247" s="72" t="s">
        <v>4</v>
      </c>
      <c r="K1247" s="81" t="s">
        <v>4</v>
      </c>
      <c r="L1247" s="74"/>
      <c r="M1247" s="77" t="str">
        <f>IF(Main[[#This Row],[Tech Start Date]]&lt;1/1/1990,"",IF(Main[[#This Row],[Class]]="C",WORKDAY(Main[[#This Row],[Tech Start Date]],9),IF(Main[[#This Row],[Class]]="B", WORKDAY(Main[[#This Row],[Tech Start Date]],6),IF(Main[[#This Row],[Class]]="A",WORKDAY(Main[[#This Row],[Tech Start Date]],2),""))))</f>
        <v/>
      </c>
      <c r="N1247" s="77" t="str">
        <f>IF(Main[[#This Row],[Tech Start Date]]&lt;1/1/1990,"",IF(Main[[#This Row],[Class]]="C",WORKDAY(Main[[#This Row],[Tech Start Date]],19),IF(Main[[#This Row],[Class]]="B", WORKDAY(Main[[#This Row],[Tech Start Date]],12),IF(Main[[#This Row],[Class]]="A",WORKDAY(Main[[#This Row],[Tech Start Date]],4),""))))</f>
        <v/>
      </c>
      <c r="O1247" s="77" t="str">
        <f>IF(Main[[#This Row],[Tech Start Date]]&lt;1/1/1990,"",IF(Main[[#This Row],[Class]]="C",WORKDAY(Main[[#This Row],[Tech Start Date]],23),IF(Main[[#This Row],[Class]]="B", WORKDAY(Main[[#This Row],[Tech Start Date]],15),IF(Main[[#This Row],[Class]]="A",WORKDAY(Main[[#This Row],[Tech Start Date]],5),""))))</f>
        <v/>
      </c>
      <c r="P1247" s="77" t="str">
        <f>IF(Main[[#This Row],[Tech Start Date]]&lt;1/1/1990,"",IF(Main[[#This Row],[Class]]="C",WORKDAY(Main[[#This Row],[Tech Start Date]],28),IF(Main[[#This Row],[Class]]="B", WORKDAY(Main[[#This Row],[Tech Start Date]],19),IF(Main[[#This Row],[Class]]="A",WORKDAY(Main[[#This Row],[Tech Start Date]],9),""))))</f>
        <v/>
      </c>
      <c r="Q1247" s="74"/>
      <c r="R1247" s="74"/>
      <c r="S1247" s="72" t="s">
        <v>11</v>
      </c>
      <c r="T1247" s="80" t="s">
        <v>3746</v>
      </c>
      <c r="U1247" s="72" t="s">
        <v>7</v>
      </c>
      <c r="V1247" s="72" t="s">
        <v>1920</v>
      </c>
      <c r="W1247" s="72" t="s">
        <v>1922</v>
      </c>
      <c r="X1247" s="72" t="s">
        <v>2899</v>
      </c>
      <c r="Y1247" s="72" t="s">
        <v>3061</v>
      </c>
      <c r="Z1247" s="72" t="s">
        <v>4</v>
      </c>
      <c r="AA1247" s="146" t="s">
        <v>2899</v>
      </c>
    </row>
    <row r="1248" spans="1:27" ht="18.600000000000001" customHeight="1">
      <c r="A1248" s="139" t="str">
        <f>IF(priority(Main[[#This Row],[Comments]])&lt;&gt;0, priority(Main[[#This Row],[Comments]]),"")</f>
        <v/>
      </c>
      <c r="B1248" s="89" t="s">
        <v>2291</v>
      </c>
      <c r="C1248" s="72" t="s">
        <v>4</v>
      </c>
      <c r="D1248" s="73" t="s">
        <v>2739</v>
      </c>
      <c r="E1248" s="74">
        <v>40814.080497685187</v>
      </c>
      <c r="F1248" s="74"/>
      <c r="G1248" s="75" t="str">
        <f>IF(stdProdLT(Main[[#This Row],[Comments]])=0.1,"N/A",IF(stdProdLT(Main[[#This Row],[Comments]])=0,"",stdProdLT(Main[[#This Row],[Comments]])))</f>
        <v/>
      </c>
      <c r="H1248" s="76" t="str">
        <f>IF(AND(Main[[#This Row],[In Stock Date]]&lt;&gt;"",Main[[#This Row],[Revised Due Date]]&lt;&gt;""),Main[[#This Row],[In Stock Date]]-Main[[#This Row],[Revised Due Date]],"")</f>
        <v/>
      </c>
      <c r="I1248" s="72" t="s">
        <v>370</v>
      </c>
      <c r="J1248" s="72" t="s">
        <v>28</v>
      </c>
      <c r="K1248" s="81" t="s">
        <v>1926</v>
      </c>
      <c r="L1248" s="74"/>
      <c r="M1248" s="77" t="str">
        <f>IF(Main[[#This Row],[Tech Start Date]]&lt;1/1/1990,"",IF(Main[[#This Row],[Class]]="C",WORKDAY(Main[[#This Row],[Tech Start Date]],9),IF(Main[[#This Row],[Class]]="B", WORKDAY(Main[[#This Row],[Tech Start Date]],6),IF(Main[[#This Row],[Class]]="A",WORKDAY(Main[[#This Row],[Tech Start Date]],2),""))))</f>
        <v/>
      </c>
      <c r="N1248" s="77" t="str">
        <f>IF(Main[[#This Row],[Tech Start Date]]&lt;1/1/1990,"",IF(Main[[#This Row],[Class]]="C",WORKDAY(Main[[#This Row],[Tech Start Date]],19),IF(Main[[#This Row],[Class]]="B", WORKDAY(Main[[#This Row],[Tech Start Date]],12),IF(Main[[#This Row],[Class]]="A",WORKDAY(Main[[#This Row],[Tech Start Date]],4),""))))</f>
        <v/>
      </c>
      <c r="O1248" s="77" t="str">
        <f>IF(Main[[#This Row],[Tech Start Date]]&lt;1/1/1990,"",IF(Main[[#This Row],[Class]]="C",WORKDAY(Main[[#This Row],[Tech Start Date]],23),IF(Main[[#This Row],[Class]]="B", WORKDAY(Main[[#This Row],[Tech Start Date]],15),IF(Main[[#This Row],[Class]]="A",WORKDAY(Main[[#This Row],[Tech Start Date]],5),""))))</f>
        <v/>
      </c>
      <c r="P1248" s="77" t="str">
        <f>IF(Main[[#This Row],[Tech Start Date]]&lt;1/1/1990,"",IF(Main[[#This Row],[Class]]="C",WORKDAY(Main[[#This Row],[Tech Start Date]],28),IF(Main[[#This Row],[Class]]="B", WORKDAY(Main[[#This Row],[Tech Start Date]],19),IF(Main[[#This Row],[Class]]="A",WORKDAY(Main[[#This Row],[Tech Start Date]],9),""))))</f>
        <v/>
      </c>
      <c r="Q1248" s="74">
        <v>40905</v>
      </c>
      <c r="R1248" s="74"/>
      <c r="S1248" s="72" t="s">
        <v>6</v>
      </c>
      <c r="T1248" s="80" t="s">
        <v>4</v>
      </c>
      <c r="U1248" s="72" t="s">
        <v>29</v>
      </c>
      <c r="V1248" s="72" t="s">
        <v>1920</v>
      </c>
      <c r="W1248" s="72" t="s">
        <v>1921</v>
      </c>
      <c r="X1248" s="72" t="s">
        <v>2901</v>
      </c>
      <c r="Y1248" s="72" t="s">
        <v>3066</v>
      </c>
      <c r="Z1248" s="72" t="s">
        <v>30</v>
      </c>
      <c r="AA1248" s="146" t="s">
        <v>2901</v>
      </c>
    </row>
    <row r="1249" spans="1:27" ht="18.600000000000001" customHeight="1">
      <c r="A1249" s="139" t="str">
        <f>IF(priority(Main[[#This Row],[Comments]])&lt;&gt;0, priority(Main[[#This Row],[Comments]]),"")</f>
        <v/>
      </c>
      <c r="B1249" s="89" t="s">
        <v>1859</v>
      </c>
      <c r="C1249" s="72" t="s">
        <v>95</v>
      </c>
      <c r="D1249" s="73" t="s">
        <v>915</v>
      </c>
      <c r="E1249" s="74">
        <v>40428.412002314813</v>
      </c>
      <c r="F1249" s="74"/>
      <c r="G1249" s="75" t="str">
        <f>IF(stdProdLT(Main[[#This Row],[Comments]])=0.1,"N/A",IF(stdProdLT(Main[[#This Row],[Comments]])=0,"",stdProdLT(Main[[#This Row],[Comments]])))</f>
        <v/>
      </c>
      <c r="H1249" s="76" t="str">
        <f>IF(AND(Main[[#This Row],[In Stock Date]]&lt;&gt;"",Main[[#This Row],[Revised Due Date]]&lt;&gt;""),Main[[#This Row],[In Stock Date]]-Main[[#This Row],[Revised Due Date]],"")</f>
        <v/>
      </c>
      <c r="I1249" s="72" t="s">
        <v>415</v>
      </c>
      <c r="J1249" s="72" t="s">
        <v>28</v>
      </c>
      <c r="K1249" s="72" t="s">
        <v>1929</v>
      </c>
      <c r="L1249" s="74"/>
      <c r="M1249" s="77" t="str">
        <f>IF(Main[[#This Row],[Tech Start Date]]&lt;1/1/1990,"",IF(Main[[#This Row],[Class]]="C",WORKDAY(Main[[#This Row],[Tech Start Date]],9),IF(Main[[#This Row],[Class]]="B", WORKDAY(Main[[#This Row],[Tech Start Date]],6),IF(Main[[#This Row],[Class]]="A",WORKDAY(Main[[#This Row],[Tech Start Date]],2),""))))</f>
        <v/>
      </c>
      <c r="N1249" s="77" t="str">
        <f>IF(Main[[#This Row],[Tech Start Date]]&lt;1/1/1990,"",IF(Main[[#This Row],[Class]]="C",WORKDAY(Main[[#This Row],[Tech Start Date]],19),IF(Main[[#This Row],[Class]]="B", WORKDAY(Main[[#This Row],[Tech Start Date]],12),IF(Main[[#This Row],[Class]]="A",WORKDAY(Main[[#This Row],[Tech Start Date]],4),""))))</f>
        <v/>
      </c>
      <c r="O1249" s="77" t="str">
        <f>IF(Main[[#This Row],[Tech Start Date]]&lt;1/1/1990,"",IF(Main[[#This Row],[Class]]="C",WORKDAY(Main[[#This Row],[Tech Start Date]],23),IF(Main[[#This Row],[Class]]="B", WORKDAY(Main[[#This Row],[Tech Start Date]],15),IF(Main[[#This Row],[Class]]="A",WORKDAY(Main[[#This Row],[Tech Start Date]],5),""))))</f>
        <v/>
      </c>
      <c r="P1249" s="77" t="str">
        <f>IF(Main[[#This Row],[Tech Start Date]]&lt;1/1/1990,"",IF(Main[[#This Row],[Class]]="C",WORKDAY(Main[[#This Row],[Tech Start Date]],28),IF(Main[[#This Row],[Class]]="B", WORKDAY(Main[[#This Row],[Tech Start Date]],19),IF(Main[[#This Row],[Class]]="A",WORKDAY(Main[[#This Row],[Tech Start Date]],9),""))))</f>
        <v/>
      </c>
      <c r="Q1249" s="74">
        <v>40574</v>
      </c>
      <c r="R1249" s="74">
        <v>41046</v>
      </c>
      <c r="S1249" s="72" t="s">
        <v>17</v>
      </c>
      <c r="T1249" s="80" t="s">
        <v>4</v>
      </c>
      <c r="U1249" s="72" t="s">
        <v>29</v>
      </c>
      <c r="V1249" s="72" t="s">
        <v>1920</v>
      </c>
      <c r="W1249" s="72" t="s">
        <v>1923</v>
      </c>
      <c r="X1249" s="72" t="s">
        <v>415</v>
      </c>
      <c r="Y1249" s="72" t="s">
        <v>2981</v>
      </c>
      <c r="Z1249" s="72" t="s">
        <v>970</v>
      </c>
      <c r="AA1249" s="146" t="s">
        <v>415</v>
      </c>
    </row>
    <row r="1250" spans="1:27" ht="18.600000000000001" customHeight="1">
      <c r="A1250" s="139" t="str">
        <f>IF(priority(Main[[#This Row],[Comments]])&lt;&gt;0, priority(Main[[#This Row],[Comments]]),"")</f>
        <v/>
      </c>
      <c r="B1250" s="89" t="s">
        <v>3297</v>
      </c>
      <c r="C1250" s="72" t="s">
        <v>4</v>
      </c>
      <c r="D1250" s="73" t="s">
        <v>3298</v>
      </c>
      <c r="E1250" s="74">
        <v>40931.434317129628</v>
      </c>
      <c r="F1250" s="74"/>
      <c r="G1250" s="75" t="str">
        <f>IF(stdProdLT(Main[[#This Row],[Comments]])=0.1,"N/A",IF(stdProdLT(Main[[#This Row],[Comments]])=0,"",stdProdLT(Main[[#This Row],[Comments]])))</f>
        <v/>
      </c>
      <c r="H1250" s="76" t="str">
        <f>IF(AND(Main[[#This Row],[In Stock Date]]&lt;&gt;"",Main[[#This Row],[Revised Due Date]]&lt;&gt;""),Main[[#This Row],[In Stock Date]]-Main[[#This Row],[Revised Due Date]],"")</f>
        <v/>
      </c>
      <c r="I1250" s="72" t="s">
        <v>4</v>
      </c>
      <c r="J1250" s="72" t="s">
        <v>4</v>
      </c>
      <c r="K1250" s="81" t="s">
        <v>4</v>
      </c>
      <c r="L1250" s="74"/>
      <c r="M1250" s="77" t="str">
        <f>IF(Main[[#This Row],[Tech Start Date]]&lt;1/1/1990,"",IF(Main[[#This Row],[Class]]="C",WORKDAY(Main[[#This Row],[Tech Start Date]],9),IF(Main[[#This Row],[Class]]="B", WORKDAY(Main[[#This Row],[Tech Start Date]],6),IF(Main[[#This Row],[Class]]="A",WORKDAY(Main[[#This Row],[Tech Start Date]],2),""))))</f>
        <v/>
      </c>
      <c r="N1250" s="77" t="str">
        <f>IF(Main[[#This Row],[Tech Start Date]]&lt;1/1/1990,"",IF(Main[[#This Row],[Class]]="C",WORKDAY(Main[[#This Row],[Tech Start Date]],19),IF(Main[[#This Row],[Class]]="B", WORKDAY(Main[[#This Row],[Tech Start Date]],12),IF(Main[[#This Row],[Class]]="A",WORKDAY(Main[[#This Row],[Tech Start Date]],4),""))))</f>
        <v/>
      </c>
      <c r="O1250" s="77" t="str">
        <f>IF(Main[[#This Row],[Tech Start Date]]&lt;1/1/1990,"",IF(Main[[#This Row],[Class]]="C",WORKDAY(Main[[#This Row],[Tech Start Date]],23),IF(Main[[#This Row],[Class]]="B", WORKDAY(Main[[#This Row],[Tech Start Date]],15),IF(Main[[#This Row],[Class]]="A",WORKDAY(Main[[#This Row],[Tech Start Date]],5),""))))</f>
        <v/>
      </c>
      <c r="P1250" s="77" t="str">
        <f>IF(Main[[#This Row],[Tech Start Date]]&lt;1/1/1990,"",IF(Main[[#This Row],[Class]]="C",WORKDAY(Main[[#This Row],[Tech Start Date]],28),IF(Main[[#This Row],[Class]]="B", WORKDAY(Main[[#This Row],[Tech Start Date]],19),IF(Main[[#This Row],[Class]]="A",WORKDAY(Main[[#This Row],[Tech Start Date]],9),""))))</f>
        <v/>
      </c>
      <c r="Q1250" s="74"/>
      <c r="R1250" s="74"/>
      <c r="S1250" s="72" t="s">
        <v>6</v>
      </c>
      <c r="T1250" s="80" t="s">
        <v>4</v>
      </c>
      <c r="U1250" s="72" t="s">
        <v>7</v>
      </c>
      <c r="V1250" s="72" t="s">
        <v>1917</v>
      </c>
      <c r="W1250" s="72" t="s">
        <v>1921</v>
      </c>
      <c r="X1250" s="72" t="s">
        <v>2908</v>
      </c>
      <c r="Y1250" s="72" t="s">
        <v>3087</v>
      </c>
      <c r="Z1250" s="72" t="s">
        <v>4</v>
      </c>
      <c r="AA1250" s="146" t="s">
        <v>2908</v>
      </c>
    </row>
    <row r="1251" spans="1:27" ht="18.600000000000001" customHeight="1">
      <c r="A1251" s="139" t="str">
        <f>IF(priority(Main[[#This Row],[Comments]])&lt;&gt;0, priority(Main[[#This Row],[Comments]]),"")</f>
        <v/>
      </c>
      <c r="B1251" s="89" t="s">
        <v>1110</v>
      </c>
      <c r="C1251" s="72" t="s">
        <v>4</v>
      </c>
      <c r="D1251" s="73" t="s">
        <v>154</v>
      </c>
      <c r="E1251" s="74"/>
      <c r="F1251" s="74"/>
      <c r="G1251" s="75" t="str">
        <f>IF(stdProdLT(Main[[#This Row],[Comments]])=0.1,"N/A",IF(stdProdLT(Main[[#This Row],[Comments]])=0,"",stdProdLT(Main[[#This Row],[Comments]])))</f>
        <v/>
      </c>
      <c r="H1251" s="76" t="str">
        <f>IF(AND(Main[[#This Row],[In Stock Date]]&lt;&gt;"",Main[[#This Row],[Revised Due Date]]&lt;&gt;""),Main[[#This Row],[In Stock Date]]-Main[[#This Row],[Revised Due Date]],"")</f>
        <v/>
      </c>
      <c r="I1251" s="72" t="s">
        <v>4</v>
      </c>
      <c r="J1251" s="72" t="s">
        <v>4</v>
      </c>
      <c r="K1251" s="72" t="s">
        <v>4</v>
      </c>
      <c r="L1251" s="74"/>
      <c r="M1251" s="77" t="str">
        <f>IF(Main[[#This Row],[Tech Start Date]]&lt;1/1/1990,"",IF(Main[[#This Row],[Class]]="C",WORKDAY(Main[[#This Row],[Tech Start Date]],9),IF(Main[[#This Row],[Class]]="B", WORKDAY(Main[[#This Row],[Tech Start Date]],6),IF(Main[[#This Row],[Class]]="A",WORKDAY(Main[[#This Row],[Tech Start Date]],2),""))))</f>
        <v/>
      </c>
      <c r="N1251" s="77" t="str">
        <f>IF(Main[[#This Row],[Tech Start Date]]&lt;1/1/1990,"",IF(Main[[#This Row],[Class]]="C",WORKDAY(Main[[#This Row],[Tech Start Date]],19),IF(Main[[#This Row],[Class]]="B", WORKDAY(Main[[#This Row],[Tech Start Date]],12),IF(Main[[#This Row],[Class]]="A",WORKDAY(Main[[#This Row],[Tech Start Date]],4),""))))</f>
        <v/>
      </c>
      <c r="O1251" s="77" t="str">
        <f>IF(Main[[#This Row],[Tech Start Date]]&lt;1/1/1990,"",IF(Main[[#This Row],[Class]]="C",WORKDAY(Main[[#This Row],[Tech Start Date]],23),IF(Main[[#This Row],[Class]]="B", WORKDAY(Main[[#This Row],[Tech Start Date]],15),IF(Main[[#This Row],[Class]]="A",WORKDAY(Main[[#This Row],[Tech Start Date]],5),""))))</f>
        <v/>
      </c>
      <c r="P1251" s="77" t="str">
        <f>IF(Main[[#This Row],[Tech Start Date]]&lt;1/1/1990,"",IF(Main[[#This Row],[Class]]="C",WORKDAY(Main[[#This Row],[Tech Start Date]],28),IF(Main[[#This Row],[Class]]="B", WORKDAY(Main[[#This Row],[Tech Start Date]],19),IF(Main[[#This Row],[Class]]="A",WORKDAY(Main[[#This Row],[Tech Start Date]],9),""))))</f>
        <v/>
      </c>
      <c r="Q1251" s="74">
        <v>40619</v>
      </c>
      <c r="R1251" s="74"/>
      <c r="S1251" s="72" t="s">
        <v>49</v>
      </c>
      <c r="T1251" s="80" t="s">
        <v>4</v>
      </c>
      <c r="U1251" s="72" t="s">
        <v>14</v>
      </c>
      <c r="V1251" s="72" t="s">
        <v>1920</v>
      </c>
      <c r="W1251" s="72" t="s">
        <v>1925</v>
      </c>
      <c r="X1251" s="72" t="s">
        <v>50</v>
      </c>
      <c r="Y1251" s="72" t="s">
        <v>3002</v>
      </c>
      <c r="Z1251" s="72" t="s">
        <v>4</v>
      </c>
      <c r="AA1251" s="146" t="s">
        <v>2878</v>
      </c>
    </row>
    <row r="1252" spans="1:27" ht="18.600000000000001" customHeight="1">
      <c r="A1252" s="139" t="str">
        <f>IF(priority(Main[[#This Row],[Comments]])&lt;&gt;0, priority(Main[[#This Row],[Comments]]),"")</f>
        <v/>
      </c>
      <c r="B1252" s="89" t="s">
        <v>3358</v>
      </c>
      <c r="C1252" s="72" t="s">
        <v>4</v>
      </c>
      <c r="D1252" s="73" t="s">
        <v>3752</v>
      </c>
      <c r="E1252" s="74">
        <v>40939.297210648147</v>
      </c>
      <c r="F1252" s="74"/>
      <c r="G1252" s="75" t="str">
        <f>IF(stdProdLT(Main[[#This Row],[Comments]])=0.1,"N/A",IF(stdProdLT(Main[[#This Row],[Comments]])=0,"",stdProdLT(Main[[#This Row],[Comments]])))</f>
        <v/>
      </c>
      <c r="H1252" s="76" t="str">
        <f>IF(AND(Main[[#This Row],[In Stock Date]]&lt;&gt;"",Main[[#This Row],[Revised Due Date]]&lt;&gt;""),Main[[#This Row],[In Stock Date]]-Main[[#This Row],[Revised Due Date]],"")</f>
        <v/>
      </c>
      <c r="I1252" s="72" t="s">
        <v>69</v>
      </c>
      <c r="J1252" s="72" t="s">
        <v>70</v>
      </c>
      <c r="K1252" s="72" t="s">
        <v>1926</v>
      </c>
      <c r="L1252" s="74"/>
      <c r="M1252" s="77" t="str">
        <f>IF(Main[[#This Row],[Tech Start Date]]&lt;1/1/1990,"",IF(Main[[#This Row],[Class]]="C",WORKDAY(Main[[#This Row],[Tech Start Date]],9),IF(Main[[#This Row],[Class]]="B", WORKDAY(Main[[#This Row],[Tech Start Date]],6),IF(Main[[#This Row],[Class]]="A",WORKDAY(Main[[#This Row],[Tech Start Date]],2),""))))</f>
        <v/>
      </c>
      <c r="N1252" s="77" t="str">
        <f>IF(Main[[#This Row],[Tech Start Date]]&lt;1/1/1990,"",IF(Main[[#This Row],[Class]]="C",WORKDAY(Main[[#This Row],[Tech Start Date]],19),IF(Main[[#This Row],[Class]]="B", WORKDAY(Main[[#This Row],[Tech Start Date]],12),IF(Main[[#This Row],[Class]]="A",WORKDAY(Main[[#This Row],[Tech Start Date]],4),""))))</f>
        <v/>
      </c>
      <c r="O1252" s="77" t="str">
        <f>IF(Main[[#This Row],[Tech Start Date]]&lt;1/1/1990,"",IF(Main[[#This Row],[Class]]="C",WORKDAY(Main[[#This Row],[Tech Start Date]],23),IF(Main[[#This Row],[Class]]="B", WORKDAY(Main[[#This Row],[Tech Start Date]],15),IF(Main[[#This Row],[Class]]="A",WORKDAY(Main[[#This Row],[Tech Start Date]],5),""))))</f>
        <v/>
      </c>
      <c r="P1252" s="77" t="str">
        <f>IF(Main[[#This Row],[Tech Start Date]]&lt;1/1/1990,"",IF(Main[[#This Row],[Class]]="C",WORKDAY(Main[[#This Row],[Tech Start Date]],28),IF(Main[[#This Row],[Class]]="B", WORKDAY(Main[[#This Row],[Tech Start Date]],19),IF(Main[[#This Row],[Class]]="A",WORKDAY(Main[[#This Row],[Tech Start Date]],9),""))))</f>
        <v/>
      </c>
      <c r="Q1252" s="74">
        <v>40968</v>
      </c>
      <c r="R1252" s="74"/>
      <c r="S1252" s="72" t="s">
        <v>6</v>
      </c>
      <c r="T1252" s="80" t="s">
        <v>4</v>
      </c>
      <c r="U1252" s="72" t="s">
        <v>29</v>
      </c>
      <c r="V1252" s="72" t="s">
        <v>1920</v>
      </c>
      <c r="W1252" s="72" t="s">
        <v>1921</v>
      </c>
      <c r="X1252" s="72" t="s">
        <v>2828</v>
      </c>
      <c r="Y1252" s="72" t="s">
        <v>2944</v>
      </c>
      <c r="Z1252" s="72" t="s">
        <v>30</v>
      </c>
      <c r="AA1252" s="146" t="s">
        <v>2828</v>
      </c>
    </row>
    <row r="1253" spans="1:27" ht="18.600000000000001" customHeight="1">
      <c r="A1253" s="139" t="str">
        <f>IF(priority(Main[[#This Row],[Comments]])&lt;&gt;0, priority(Main[[#This Row],[Comments]]),"")</f>
        <v/>
      </c>
      <c r="B1253" s="89" t="s">
        <v>2706</v>
      </c>
      <c r="C1253" s="72" t="s">
        <v>4</v>
      </c>
      <c r="D1253" s="73" t="s">
        <v>3294</v>
      </c>
      <c r="E1253" s="74">
        <v>40917.540925925925</v>
      </c>
      <c r="F1253" s="74"/>
      <c r="G1253" s="75" t="str">
        <f>IF(stdProdLT(Main[[#This Row],[Comments]])=0.1,"N/A",IF(stdProdLT(Main[[#This Row],[Comments]])=0,"",stdProdLT(Main[[#This Row],[Comments]])))</f>
        <v/>
      </c>
      <c r="H1253" s="76" t="str">
        <f>IF(AND(Main[[#This Row],[In Stock Date]]&lt;&gt;"",Main[[#This Row],[Revised Due Date]]&lt;&gt;""),Main[[#This Row],[In Stock Date]]-Main[[#This Row],[Revised Due Date]],"")</f>
        <v/>
      </c>
      <c r="I1253" s="72" t="s">
        <v>2054</v>
      </c>
      <c r="J1253" s="72" t="s">
        <v>21</v>
      </c>
      <c r="K1253" s="72" t="s">
        <v>1926</v>
      </c>
      <c r="L1253" s="74"/>
      <c r="M1253" s="77" t="str">
        <f>IF(Main[[#This Row],[Tech Start Date]]&lt;1/1/1990,"",IF(Main[[#This Row],[Class]]="C",WORKDAY(Main[[#This Row],[Tech Start Date]],9),IF(Main[[#This Row],[Class]]="B", WORKDAY(Main[[#This Row],[Tech Start Date]],6),IF(Main[[#This Row],[Class]]="A",WORKDAY(Main[[#This Row],[Tech Start Date]],2),""))))</f>
        <v/>
      </c>
      <c r="N1253" s="77" t="str">
        <f>IF(Main[[#This Row],[Tech Start Date]]&lt;1/1/1990,"",IF(Main[[#This Row],[Class]]="C",WORKDAY(Main[[#This Row],[Tech Start Date]],19),IF(Main[[#This Row],[Class]]="B", WORKDAY(Main[[#This Row],[Tech Start Date]],12),IF(Main[[#This Row],[Class]]="A",WORKDAY(Main[[#This Row],[Tech Start Date]],4),""))))</f>
        <v/>
      </c>
      <c r="O1253" s="77" t="str">
        <f>IF(Main[[#This Row],[Tech Start Date]]&lt;1/1/1990,"",IF(Main[[#This Row],[Class]]="C",WORKDAY(Main[[#This Row],[Tech Start Date]],23),IF(Main[[#This Row],[Class]]="B", WORKDAY(Main[[#This Row],[Tech Start Date]],15),IF(Main[[#This Row],[Class]]="A",WORKDAY(Main[[#This Row],[Tech Start Date]],5),""))))</f>
        <v/>
      </c>
      <c r="P1253" s="77" t="str">
        <f>IF(Main[[#This Row],[Tech Start Date]]&lt;1/1/1990,"",IF(Main[[#This Row],[Class]]="C",WORKDAY(Main[[#This Row],[Tech Start Date]],28),IF(Main[[#This Row],[Class]]="B", WORKDAY(Main[[#This Row],[Tech Start Date]],19),IF(Main[[#This Row],[Class]]="A",WORKDAY(Main[[#This Row],[Tech Start Date]],9),""))))</f>
        <v/>
      </c>
      <c r="Q1253" s="74">
        <v>40949</v>
      </c>
      <c r="R1253" s="74"/>
      <c r="S1253" s="72" t="s">
        <v>6</v>
      </c>
      <c r="T1253" s="80" t="s">
        <v>4</v>
      </c>
      <c r="U1253" s="72" t="s">
        <v>29</v>
      </c>
      <c r="V1253" s="72" t="s">
        <v>1920</v>
      </c>
      <c r="W1253" s="72" t="s">
        <v>1921</v>
      </c>
      <c r="X1253" s="72" t="s">
        <v>2825</v>
      </c>
      <c r="Y1253" s="72" t="s">
        <v>2938</v>
      </c>
      <c r="Z1253" s="72" t="s">
        <v>30</v>
      </c>
      <c r="AA1253" s="146" t="s">
        <v>2825</v>
      </c>
    </row>
    <row r="1254" spans="1:27" ht="18.600000000000001" customHeight="1">
      <c r="A1254" s="139" t="str">
        <f>IF(priority(Main[[#This Row],[Comments]])&lt;&gt;0, priority(Main[[#This Row],[Comments]]),"")</f>
        <v/>
      </c>
      <c r="B1254" s="89" t="s">
        <v>2596</v>
      </c>
      <c r="C1254" s="72" t="s">
        <v>31</v>
      </c>
      <c r="D1254" s="73" t="s">
        <v>3740</v>
      </c>
      <c r="E1254" s="74">
        <v>40820.728263888886</v>
      </c>
      <c r="F1254" s="74"/>
      <c r="G1254" s="75" t="str">
        <f>IF(stdProdLT(Main[[#This Row],[Comments]])=0.1,"N/A",IF(stdProdLT(Main[[#This Row],[Comments]])=0,"",stdProdLT(Main[[#This Row],[Comments]])))</f>
        <v/>
      </c>
      <c r="H1254" s="76" t="str">
        <f>IF(AND(Main[[#This Row],[In Stock Date]]&lt;&gt;"",Main[[#This Row],[Revised Due Date]]&lt;&gt;""),Main[[#This Row],[In Stock Date]]-Main[[#This Row],[Revised Due Date]],"")</f>
        <v/>
      </c>
      <c r="I1254" s="72" t="s">
        <v>924</v>
      </c>
      <c r="J1254" s="72" t="s">
        <v>4</v>
      </c>
      <c r="K1254" s="72" t="s">
        <v>4</v>
      </c>
      <c r="L1254" s="74"/>
      <c r="M1254" s="77" t="str">
        <f>IF(Main[[#This Row],[Tech Start Date]]&lt;1/1/1990,"",IF(Main[[#This Row],[Class]]="C",WORKDAY(Main[[#This Row],[Tech Start Date]],9),IF(Main[[#This Row],[Class]]="B", WORKDAY(Main[[#This Row],[Tech Start Date]],6),IF(Main[[#This Row],[Class]]="A",WORKDAY(Main[[#This Row],[Tech Start Date]],2),""))))</f>
        <v/>
      </c>
      <c r="N1254" s="77" t="str">
        <f>IF(Main[[#This Row],[Tech Start Date]]&lt;1/1/1990,"",IF(Main[[#This Row],[Class]]="C",WORKDAY(Main[[#This Row],[Tech Start Date]],19),IF(Main[[#This Row],[Class]]="B", WORKDAY(Main[[#This Row],[Tech Start Date]],12),IF(Main[[#This Row],[Class]]="A",WORKDAY(Main[[#This Row],[Tech Start Date]],4),""))))</f>
        <v/>
      </c>
      <c r="O1254" s="77" t="str">
        <f>IF(Main[[#This Row],[Tech Start Date]]&lt;1/1/1990,"",IF(Main[[#This Row],[Class]]="C",WORKDAY(Main[[#This Row],[Tech Start Date]],23),IF(Main[[#This Row],[Class]]="B", WORKDAY(Main[[#This Row],[Tech Start Date]],15),IF(Main[[#This Row],[Class]]="A",WORKDAY(Main[[#This Row],[Tech Start Date]],5),""))))</f>
        <v/>
      </c>
      <c r="P1254" s="77" t="str">
        <f>IF(Main[[#This Row],[Tech Start Date]]&lt;1/1/1990,"",IF(Main[[#This Row],[Class]]="C",WORKDAY(Main[[#This Row],[Tech Start Date]],28),IF(Main[[#This Row],[Class]]="B", WORKDAY(Main[[#This Row],[Tech Start Date]],19),IF(Main[[#This Row],[Class]]="A",WORKDAY(Main[[#This Row],[Tech Start Date]],9),""))))</f>
        <v/>
      </c>
      <c r="Q1254" s="74">
        <v>40841</v>
      </c>
      <c r="R1254" s="74"/>
      <c r="S1254" s="72" t="s">
        <v>11</v>
      </c>
      <c r="T1254" s="80" t="s">
        <v>2597</v>
      </c>
      <c r="U1254" s="72" t="s">
        <v>7</v>
      </c>
      <c r="V1254" s="72" t="s">
        <v>1932</v>
      </c>
      <c r="W1254" s="72" t="s">
        <v>1925</v>
      </c>
      <c r="X1254" s="72" t="s">
        <v>2827</v>
      </c>
      <c r="Y1254" s="72" t="s">
        <v>2942</v>
      </c>
      <c r="Z1254" s="72" t="s">
        <v>4</v>
      </c>
      <c r="AA1254" s="146" t="s">
        <v>2827</v>
      </c>
    </row>
    <row r="1255" spans="1:27" ht="18.600000000000001" customHeight="1">
      <c r="A1255" s="139" t="str">
        <f>IF(priority(Main[[#This Row],[Comments]])&lt;&gt;0, priority(Main[[#This Row],[Comments]]),"")</f>
        <v/>
      </c>
      <c r="B1255" s="89" t="s">
        <v>1640</v>
      </c>
      <c r="C1255" s="72" t="s">
        <v>4</v>
      </c>
      <c r="D1255" s="73" t="s">
        <v>2576</v>
      </c>
      <c r="E1255" s="74"/>
      <c r="F1255" s="74"/>
      <c r="G1255" s="75" t="str">
        <f>IF(stdProdLT(Main[[#This Row],[Comments]])=0.1,"N/A",IF(stdProdLT(Main[[#This Row],[Comments]])=0,"",stdProdLT(Main[[#This Row],[Comments]])))</f>
        <v/>
      </c>
      <c r="H1255" s="76" t="str">
        <f>IF(AND(Main[[#This Row],[In Stock Date]]&lt;&gt;"",Main[[#This Row],[Revised Due Date]]&lt;&gt;""),Main[[#This Row],[In Stock Date]]-Main[[#This Row],[Revised Due Date]],"")</f>
        <v/>
      </c>
      <c r="I1255" s="72" t="s">
        <v>4</v>
      </c>
      <c r="J1255" s="72" t="s">
        <v>28</v>
      </c>
      <c r="K1255" s="72" t="s">
        <v>1924</v>
      </c>
      <c r="L1255" s="74"/>
      <c r="M1255" s="77" t="str">
        <f>IF(Main[[#This Row],[Tech Start Date]]&lt;1/1/1990,"",IF(Main[[#This Row],[Class]]="C",WORKDAY(Main[[#This Row],[Tech Start Date]],9),IF(Main[[#This Row],[Class]]="B", WORKDAY(Main[[#This Row],[Tech Start Date]],6),IF(Main[[#This Row],[Class]]="A",WORKDAY(Main[[#This Row],[Tech Start Date]],2),""))))</f>
        <v/>
      </c>
      <c r="N1255" s="77" t="str">
        <f>IF(Main[[#This Row],[Tech Start Date]]&lt;1/1/1990,"",IF(Main[[#This Row],[Class]]="C",WORKDAY(Main[[#This Row],[Tech Start Date]],19),IF(Main[[#This Row],[Class]]="B", WORKDAY(Main[[#This Row],[Tech Start Date]],12),IF(Main[[#This Row],[Class]]="A",WORKDAY(Main[[#This Row],[Tech Start Date]],4),""))))</f>
        <v/>
      </c>
      <c r="O1255" s="77" t="str">
        <f>IF(Main[[#This Row],[Tech Start Date]]&lt;1/1/1990,"",IF(Main[[#This Row],[Class]]="C",WORKDAY(Main[[#This Row],[Tech Start Date]],23),IF(Main[[#This Row],[Class]]="B", WORKDAY(Main[[#This Row],[Tech Start Date]],15),IF(Main[[#This Row],[Class]]="A",WORKDAY(Main[[#This Row],[Tech Start Date]],5),""))))</f>
        <v/>
      </c>
      <c r="P1255" s="77" t="str">
        <f>IF(Main[[#This Row],[Tech Start Date]]&lt;1/1/1990,"",IF(Main[[#This Row],[Class]]="C",WORKDAY(Main[[#This Row],[Tech Start Date]],28),IF(Main[[#This Row],[Class]]="B", WORKDAY(Main[[#This Row],[Tech Start Date]],19),IF(Main[[#This Row],[Class]]="A",WORKDAY(Main[[#This Row],[Tech Start Date]],9),""))))</f>
        <v/>
      </c>
      <c r="Q1255" s="74">
        <v>40611</v>
      </c>
      <c r="R1255" s="74"/>
      <c r="S1255" s="72" t="s">
        <v>6</v>
      </c>
      <c r="T1255" s="80" t="s">
        <v>4</v>
      </c>
      <c r="U1255" s="72" t="s">
        <v>14</v>
      </c>
      <c r="V1255" s="72" t="s">
        <v>1917</v>
      </c>
      <c r="W1255" s="72" t="s">
        <v>1921</v>
      </c>
      <c r="X1255" s="72" t="s">
        <v>2827</v>
      </c>
      <c r="Y1255" s="72" t="s">
        <v>2942</v>
      </c>
      <c r="Z1255" s="72" t="s">
        <v>129</v>
      </c>
      <c r="AA1255" s="146" t="s">
        <v>2827</v>
      </c>
    </row>
    <row r="1256" spans="1:27" ht="18.600000000000001" customHeight="1">
      <c r="A1256" s="139" t="str">
        <f>IF(priority(Main[[#This Row],[Comments]])&lt;&gt;0, priority(Main[[#This Row],[Comments]]),"")</f>
        <v/>
      </c>
      <c r="B1256" s="89" t="s">
        <v>3753</v>
      </c>
      <c r="C1256" s="72" t="s">
        <v>4</v>
      </c>
      <c r="D1256" s="73" t="s">
        <v>3754</v>
      </c>
      <c r="E1256" s="74">
        <v>40954.564212962963</v>
      </c>
      <c r="F1256" s="74"/>
      <c r="G1256" s="75" t="str">
        <f>IF(stdProdLT(Main[[#This Row],[Comments]])=0.1,"N/A",IF(stdProdLT(Main[[#This Row],[Comments]])=0,"",stdProdLT(Main[[#This Row],[Comments]])))</f>
        <v/>
      </c>
      <c r="H1256" s="76" t="str">
        <f>IF(AND(Main[[#This Row],[In Stock Date]]&lt;&gt;"",Main[[#This Row],[Revised Due Date]]&lt;&gt;""),Main[[#This Row],[In Stock Date]]-Main[[#This Row],[Revised Due Date]],"")</f>
        <v/>
      </c>
      <c r="I1256" s="72" t="s">
        <v>4</v>
      </c>
      <c r="J1256" s="72" t="s">
        <v>4</v>
      </c>
      <c r="K1256" s="72" t="s">
        <v>4</v>
      </c>
      <c r="L1256" s="74"/>
      <c r="M1256" s="77" t="str">
        <f>IF(Main[[#This Row],[Tech Start Date]]&lt;1/1/1990,"",IF(Main[[#This Row],[Class]]="C",WORKDAY(Main[[#This Row],[Tech Start Date]],9),IF(Main[[#This Row],[Class]]="B", WORKDAY(Main[[#This Row],[Tech Start Date]],6),IF(Main[[#This Row],[Class]]="A",WORKDAY(Main[[#This Row],[Tech Start Date]],2),""))))</f>
        <v/>
      </c>
      <c r="N1256" s="77" t="str">
        <f>IF(Main[[#This Row],[Tech Start Date]]&lt;1/1/1990,"",IF(Main[[#This Row],[Class]]="C",WORKDAY(Main[[#This Row],[Tech Start Date]],19),IF(Main[[#This Row],[Class]]="B", WORKDAY(Main[[#This Row],[Tech Start Date]],12),IF(Main[[#This Row],[Class]]="A",WORKDAY(Main[[#This Row],[Tech Start Date]],4),""))))</f>
        <v/>
      </c>
      <c r="O1256" s="77" t="str">
        <f>IF(Main[[#This Row],[Tech Start Date]]&lt;1/1/1990,"",IF(Main[[#This Row],[Class]]="C",WORKDAY(Main[[#This Row],[Tech Start Date]],23),IF(Main[[#This Row],[Class]]="B", WORKDAY(Main[[#This Row],[Tech Start Date]],15),IF(Main[[#This Row],[Class]]="A",WORKDAY(Main[[#This Row],[Tech Start Date]],5),""))))</f>
        <v/>
      </c>
      <c r="P1256" s="77" t="str">
        <f>IF(Main[[#This Row],[Tech Start Date]]&lt;1/1/1990,"",IF(Main[[#This Row],[Class]]="C",WORKDAY(Main[[#This Row],[Tech Start Date]],28),IF(Main[[#This Row],[Class]]="B", WORKDAY(Main[[#This Row],[Tech Start Date]],19),IF(Main[[#This Row],[Class]]="A",WORKDAY(Main[[#This Row],[Tech Start Date]],9),""))))</f>
        <v/>
      </c>
      <c r="Q1256" s="74"/>
      <c r="R1256" s="74"/>
      <c r="S1256" s="72" t="s">
        <v>17</v>
      </c>
      <c r="T1256" s="80" t="s">
        <v>4</v>
      </c>
      <c r="U1256" s="72" t="s">
        <v>7</v>
      </c>
      <c r="V1256" s="72" t="s">
        <v>1932</v>
      </c>
      <c r="W1256" s="72" t="s">
        <v>1925</v>
      </c>
      <c r="X1256" s="72" t="s">
        <v>2868</v>
      </c>
      <c r="Y1256" s="72" t="s">
        <v>3012</v>
      </c>
      <c r="Z1256" s="72" t="s">
        <v>4</v>
      </c>
      <c r="AA1256" s="146" t="s">
        <v>2868</v>
      </c>
    </row>
    <row r="1257" spans="1:27" ht="18.600000000000001" customHeight="1">
      <c r="A1257" s="139" t="str">
        <f>IF(priority(Main[[#This Row],[Comments]])&lt;&gt;0, priority(Main[[#This Row],[Comments]]),"")</f>
        <v/>
      </c>
      <c r="B1257" s="89" t="s">
        <v>3491</v>
      </c>
      <c r="C1257" s="72" t="s">
        <v>4</v>
      </c>
      <c r="D1257" s="73" t="s">
        <v>3492</v>
      </c>
      <c r="E1257" s="74"/>
      <c r="F1257" s="74"/>
      <c r="G1257" s="75" t="str">
        <f>IF(stdProdLT(Main[[#This Row],[Comments]])=0.1,"N/A",IF(stdProdLT(Main[[#This Row],[Comments]])=0,"",stdProdLT(Main[[#This Row],[Comments]])))</f>
        <v/>
      </c>
      <c r="H1257" s="76" t="str">
        <f>IF(AND(Main[[#This Row],[In Stock Date]]&lt;&gt;"",Main[[#This Row],[Revised Due Date]]&lt;&gt;""),Main[[#This Row],[In Stock Date]]-Main[[#This Row],[Revised Due Date]],"")</f>
        <v/>
      </c>
      <c r="I1257" s="72" t="s">
        <v>4</v>
      </c>
      <c r="J1257" s="72" t="s">
        <v>4</v>
      </c>
      <c r="K1257" s="72" t="s">
        <v>4</v>
      </c>
      <c r="L1257" s="74"/>
      <c r="M1257" s="77" t="str">
        <f>IF(Main[[#This Row],[Tech Start Date]]&lt;1/1/1990,"",IF(Main[[#This Row],[Class]]="C",WORKDAY(Main[[#This Row],[Tech Start Date]],9),IF(Main[[#This Row],[Class]]="B", WORKDAY(Main[[#This Row],[Tech Start Date]],6),IF(Main[[#This Row],[Class]]="A",WORKDAY(Main[[#This Row],[Tech Start Date]],2),""))))</f>
        <v/>
      </c>
      <c r="N1257" s="77" t="str">
        <f>IF(Main[[#This Row],[Tech Start Date]]&lt;1/1/1990,"",IF(Main[[#This Row],[Class]]="C",WORKDAY(Main[[#This Row],[Tech Start Date]],19),IF(Main[[#This Row],[Class]]="B", WORKDAY(Main[[#This Row],[Tech Start Date]],12),IF(Main[[#This Row],[Class]]="A",WORKDAY(Main[[#This Row],[Tech Start Date]],4),""))))</f>
        <v/>
      </c>
      <c r="O1257" s="77" t="str">
        <f>IF(Main[[#This Row],[Tech Start Date]]&lt;1/1/1990,"",IF(Main[[#This Row],[Class]]="C",WORKDAY(Main[[#This Row],[Tech Start Date]],23),IF(Main[[#This Row],[Class]]="B", WORKDAY(Main[[#This Row],[Tech Start Date]],15),IF(Main[[#This Row],[Class]]="A",WORKDAY(Main[[#This Row],[Tech Start Date]],5),""))))</f>
        <v/>
      </c>
      <c r="P1257" s="77" t="str">
        <f>IF(Main[[#This Row],[Tech Start Date]]&lt;1/1/1990,"",IF(Main[[#This Row],[Class]]="C",WORKDAY(Main[[#This Row],[Tech Start Date]],28),IF(Main[[#This Row],[Class]]="B", WORKDAY(Main[[#This Row],[Tech Start Date]],19),IF(Main[[#This Row],[Class]]="A",WORKDAY(Main[[#This Row],[Tech Start Date]],9),""))))</f>
        <v/>
      </c>
      <c r="Q1257" s="74">
        <v>41001</v>
      </c>
      <c r="R1257" s="74"/>
      <c r="S1257" s="72" t="s">
        <v>6</v>
      </c>
      <c r="T1257" s="80" t="s">
        <v>4</v>
      </c>
      <c r="U1257" s="72" t="s">
        <v>14</v>
      </c>
      <c r="V1257" s="72" t="s">
        <v>1920</v>
      </c>
      <c r="W1257" s="72" t="s">
        <v>4</v>
      </c>
      <c r="X1257" s="72" t="s">
        <v>2828</v>
      </c>
      <c r="Y1257" s="72" t="s">
        <v>2944</v>
      </c>
      <c r="Z1257" s="72" t="s">
        <v>4</v>
      </c>
      <c r="AA1257" s="146" t="s">
        <v>2828</v>
      </c>
    </row>
    <row r="1258" spans="1:27" ht="18.600000000000001" customHeight="1">
      <c r="A1258" s="139" t="str">
        <f>IF(priority(Main[[#This Row],[Comments]])&lt;&gt;0, priority(Main[[#This Row],[Comments]]),"")</f>
        <v/>
      </c>
      <c r="B1258" s="89" t="s">
        <v>1665</v>
      </c>
      <c r="C1258" s="72" t="s">
        <v>4</v>
      </c>
      <c r="D1258" s="73" t="s">
        <v>3755</v>
      </c>
      <c r="E1258" s="74">
        <v>40528.434965277775</v>
      </c>
      <c r="F1258" s="74"/>
      <c r="G1258" s="75" t="str">
        <f>IF(stdProdLT(Main[[#This Row],[Comments]])=0.1,"N/A",IF(stdProdLT(Main[[#This Row],[Comments]])=0,"",stdProdLT(Main[[#This Row],[Comments]])))</f>
        <v/>
      </c>
      <c r="H1258" s="76" t="str">
        <f>IF(AND(Main[[#This Row],[In Stock Date]]&lt;&gt;"",Main[[#This Row],[Revised Due Date]]&lt;&gt;""),Main[[#This Row],[In Stock Date]]-Main[[#This Row],[Revised Due Date]],"")</f>
        <v/>
      </c>
      <c r="I1258" s="72" t="s">
        <v>4</v>
      </c>
      <c r="J1258" s="72" t="s">
        <v>28</v>
      </c>
      <c r="K1258" s="72" t="s">
        <v>1929</v>
      </c>
      <c r="L1258" s="74"/>
      <c r="M1258" s="77" t="str">
        <f>IF(Main[[#This Row],[Tech Start Date]]&lt;1/1/1990,"",IF(Main[[#This Row],[Class]]="C",WORKDAY(Main[[#This Row],[Tech Start Date]],9),IF(Main[[#This Row],[Class]]="B", WORKDAY(Main[[#This Row],[Tech Start Date]],6),IF(Main[[#This Row],[Class]]="A",WORKDAY(Main[[#This Row],[Tech Start Date]],2),""))))</f>
        <v/>
      </c>
      <c r="N1258" s="77" t="str">
        <f>IF(Main[[#This Row],[Tech Start Date]]&lt;1/1/1990,"",IF(Main[[#This Row],[Class]]="C",WORKDAY(Main[[#This Row],[Tech Start Date]],19),IF(Main[[#This Row],[Class]]="B", WORKDAY(Main[[#This Row],[Tech Start Date]],12),IF(Main[[#This Row],[Class]]="A",WORKDAY(Main[[#This Row],[Tech Start Date]],4),""))))</f>
        <v/>
      </c>
      <c r="O1258" s="77" t="str">
        <f>IF(Main[[#This Row],[Tech Start Date]]&lt;1/1/1990,"",IF(Main[[#This Row],[Class]]="C",WORKDAY(Main[[#This Row],[Tech Start Date]],23),IF(Main[[#This Row],[Class]]="B", WORKDAY(Main[[#This Row],[Tech Start Date]],15),IF(Main[[#This Row],[Class]]="A",WORKDAY(Main[[#This Row],[Tech Start Date]],5),""))))</f>
        <v/>
      </c>
      <c r="P1258" s="77" t="str">
        <f>IF(Main[[#This Row],[Tech Start Date]]&lt;1/1/1990,"",IF(Main[[#This Row],[Class]]="C",WORKDAY(Main[[#This Row],[Tech Start Date]],28),IF(Main[[#This Row],[Class]]="B", WORKDAY(Main[[#This Row],[Tech Start Date]],19),IF(Main[[#This Row],[Class]]="A",WORKDAY(Main[[#This Row],[Tech Start Date]],9),""))))</f>
        <v/>
      </c>
      <c r="Q1258" s="74">
        <v>41152</v>
      </c>
      <c r="R1258" s="74"/>
      <c r="S1258" s="72" t="s">
        <v>17</v>
      </c>
      <c r="T1258" s="80" t="s">
        <v>4</v>
      </c>
      <c r="U1258" s="72" t="s">
        <v>7</v>
      </c>
      <c r="V1258" s="72" t="s">
        <v>1917</v>
      </c>
      <c r="W1258" s="72" t="s">
        <v>1922</v>
      </c>
      <c r="X1258" s="72" t="s">
        <v>129</v>
      </c>
      <c r="Y1258" s="72" t="s">
        <v>3083</v>
      </c>
      <c r="Z1258" s="72" t="s">
        <v>129</v>
      </c>
      <c r="AA1258" s="146" t="s">
        <v>129</v>
      </c>
    </row>
    <row r="1259" spans="1:27" ht="18.600000000000001" customHeight="1">
      <c r="A1259" s="139" t="str">
        <f>IF(priority(Main[[#This Row],[Comments]])&lt;&gt;0, priority(Main[[#This Row],[Comments]]),"")</f>
        <v/>
      </c>
      <c r="B1259" s="89" t="s">
        <v>1854</v>
      </c>
      <c r="C1259" s="72" t="s">
        <v>4</v>
      </c>
      <c r="D1259" s="73" t="s">
        <v>2818</v>
      </c>
      <c r="E1259" s="74">
        <v>40365.451284722221</v>
      </c>
      <c r="F1259" s="74"/>
      <c r="G1259" s="75" t="str">
        <f>IF(stdProdLT(Main[[#This Row],[Comments]])=0.1,"N/A",IF(stdProdLT(Main[[#This Row],[Comments]])=0,"",stdProdLT(Main[[#This Row],[Comments]])))</f>
        <v/>
      </c>
      <c r="H1259" s="76" t="str">
        <f>IF(AND(Main[[#This Row],[In Stock Date]]&lt;&gt;"",Main[[#This Row],[Revised Due Date]]&lt;&gt;""),Main[[#This Row],[In Stock Date]]-Main[[#This Row],[Revised Due Date]],"")</f>
        <v/>
      </c>
      <c r="I1259" s="72" t="s">
        <v>909</v>
      </c>
      <c r="J1259" s="72" t="s">
        <v>28</v>
      </c>
      <c r="K1259" s="72" t="s">
        <v>1929</v>
      </c>
      <c r="L1259" s="74"/>
      <c r="M1259" s="77" t="str">
        <f>IF(Main[[#This Row],[Tech Start Date]]&lt;1/1/1990,"",IF(Main[[#This Row],[Class]]="C",WORKDAY(Main[[#This Row],[Tech Start Date]],9),IF(Main[[#This Row],[Class]]="B", WORKDAY(Main[[#This Row],[Tech Start Date]],6),IF(Main[[#This Row],[Class]]="A",WORKDAY(Main[[#This Row],[Tech Start Date]],2),""))))</f>
        <v/>
      </c>
      <c r="N1259" s="77" t="str">
        <f>IF(Main[[#This Row],[Tech Start Date]]&lt;1/1/1990,"",IF(Main[[#This Row],[Class]]="C",WORKDAY(Main[[#This Row],[Tech Start Date]],19),IF(Main[[#This Row],[Class]]="B", WORKDAY(Main[[#This Row],[Tech Start Date]],12),IF(Main[[#This Row],[Class]]="A",WORKDAY(Main[[#This Row],[Tech Start Date]],4),""))))</f>
        <v/>
      </c>
      <c r="O1259" s="77" t="str">
        <f>IF(Main[[#This Row],[Tech Start Date]]&lt;1/1/1990,"",IF(Main[[#This Row],[Class]]="C",WORKDAY(Main[[#This Row],[Tech Start Date]],23),IF(Main[[#This Row],[Class]]="B", WORKDAY(Main[[#This Row],[Tech Start Date]],15),IF(Main[[#This Row],[Class]]="A",WORKDAY(Main[[#This Row],[Tech Start Date]],5),""))))</f>
        <v/>
      </c>
      <c r="P1259" s="77" t="str">
        <f>IF(Main[[#This Row],[Tech Start Date]]&lt;1/1/1990,"",IF(Main[[#This Row],[Class]]="C",WORKDAY(Main[[#This Row],[Tech Start Date]],28),IF(Main[[#This Row],[Class]]="B", WORKDAY(Main[[#This Row],[Tech Start Date]],19),IF(Main[[#This Row],[Class]]="A",WORKDAY(Main[[#This Row],[Tech Start Date]],9),""))))</f>
        <v/>
      </c>
      <c r="Q1259" s="74">
        <v>40968</v>
      </c>
      <c r="R1259" s="74">
        <v>40939</v>
      </c>
      <c r="S1259" s="72" t="s">
        <v>17</v>
      </c>
      <c r="T1259" s="80" t="s">
        <v>2599</v>
      </c>
      <c r="U1259" s="72" t="s">
        <v>29</v>
      </c>
      <c r="V1259" s="72" t="s">
        <v>1917</v>
      </c>
      <c r="W1259" s="72" t="s">
        <v>1922</v>
      </c>
      <c r="X1259" s="72" t="s">
        <v>129</v>
      </c>
      <c r="Y1259" s="72" t="s">
        <v>4</v>
      </c>
      <c r="Z1259" s="72" t="s">
        <v>129</v>
      </c>
      <c r="AA1259" s="146" t="s">
        <v>2834</v>
      </c>
    </row>
    <row r="1260" spans="1:27" ht="18.600000000000001" customHeight="1">
      <c r="A1260" s="139" t="str">
        <f>IF(priority(Main[[#This Row],[Comments]])&lt;&gt;0, priority(Main[[#This Row],[Comments]]),"")</f>
        <v/>
      </c>
      <c r="B1260" s="89" t="s">
        <v>2479</v>
      </c>
      <c r="C1260" s="72" t="s">
        <v>4</v>
      </c>
      <c r="D1260" s="73" t="s">
        <v>2480</v>
      </c>
      <c r="E1260" s="74">
        <v>40849.40829861111</v>
      </c>
      <c r="F1260" s="74"/>
      <c r="G1260" s="75" t="str">
        <f>IF(stdProdLT(Main[[#This Row],[Comments]])=0.1,"N/A",IF(stdProdLT(Main[[#This Row],[Comments]])=0,"",stdProdLT(Main[[#This Row],[Comments]])))</f>
        <v/>
      </c>
      <c r="H1260" s="76" t="str">
        <f>IF(AND(Main[[#This Row],[In Stock Date]]&lt;&gt;"",Main[[#This Row],[Revised Due Date]]&lt;&gt;""),Main[[#This Row],[In Stock Date]]-Main[[#This Row],[Revised Due Date]],"")</f>
        <v/>
      </c>
      <c r="I1260" s="72" t="s">
        <v>2047</v>
      </c>
      <c r="J1260" s="72" t="s">
        <v>21</v>
      </c>
      <c r="K1260" s="72" t="s">
        <v>1926</v>
      </c>
      <c r="L1260" s="74"/>
      <c r="M1260" s="77" t="str">
        <f>IF(Main[[#This Row],[Tech Start Date]]&lt;1/1/1990,"",IF(Main[[#This Row],[Class]]="C",WORKDAY(Main[[#This Row],[Tech Start Date]],9),IF(Main[[#This Row],[Class]]="B", WORKDAY(Main[[#This Row],[Tech Start Date]],6),IF(Main[[#This Row],[Class]]="A",WORKDAY(Main[[#This Row],[Tech Start Date]],2),""))))</f>
        <v/>
      </c>
      <c r="N1260" s="77" t="str">
        <f>IF(Main[[#This Row],[Tech Start Date]]&lt;1/1/1990,"",IF(Main[[#This Row],[Class]]="C",WORKDAY(Main[[#This Row],[Tech Start Date]],19),IF(Main[[#This Row],[Class]]="B", WORKDAY(Main[[#This Row],[Tech Start Date]],12),IF(Main[[#This Row],[Class]]="A",WORKDAY(Main[[#This Row],[Tech Start Date]],4),""))))</f>
        <v/>
      </c>
      <c r="O1260" s="77" t="str">
        <f>IF(Main[[#This Row],[Tech Start Date]]&lt;1/1/1990,"",IF(Main[[#This Row],[Class]]="C",WORKDAY(Main[[#This Row],[Tech Start Date]],23),IF(Main[[#This Row],[Class]]="B", WORKDAY(Main[[#This Row],[Tech Start Date]],15),IF(Main[[#This Row],[Class]]="A",WORKDAY(Main[[#This Row],[Tech Start Date]],5),""))))</f>
        <v/>
      </c>
      <c r="P1260" s="77" t="str">
        <f>IF(Main[[#This Row],[Tech Start Date]]&lt;1/1/1990,"",IF(Main[[#This Row],[Class]]="C",WORKDAY(Main[[#This Row],[Tech Start Date]],28),IF(Main[[#This Row],[Class]]="B", WORKDAY(Main[[#This Row],[Tech Start Date]],19),IF(Main[[#This Row],[Class]]="A",WORKDAY(Main[[#This Row],[Tech Start Date]],9),""))))</f>
        <v/>
      </c>
      <c r="Q1260" s="74">
        <v>40856</v>
      </c>
      <c r="R1260" s="74"/>
      <c r="S1260" s="72" t="s">
        <v>6</v>
      </c>
      <c r="T1260" s="80" t="s">
        <v>4</v>
      </c>
      <c r="U1260" s="72" t="s">
        <v>29</v>
      </c>
      <c r="V1260" s="72" t="s">
        <v>1920</v>
      </c>
      <c r="W1260" s="72" t="s">
        <v>1921</v>
      </c>
      <c r="X1260" s="72" t="s">
        <v>2909</v>
      </c>
      <c r="Y1260" s="72" t="s">
        <v>3089</v>
      </c>
      <c r="Z1260" s="72" t="s">
        <v>4</v>
      </c>
      <c r="AA1260" s="146" t="s">
        <v>2909</v>
      </c>
    </row>
    <row r="1261" spans="1:27" ht="18.600000000000001" customHeight="1">
      <c r="A1261" s="139" t="str">
        <f>IF(priority(Main[[#This Row],[Comments]])&lt;&gt;0, priority(Main[[#This Row],[Comments]]),"")</f>
        <v/>
      </c>
      <c r="B1261" s="89" t="s">
        <v>3287</v>
      </c>
      <c r="C1261" s="72" t="s">
        <v>4</v>
      </c>
      <c r="D1261" s="73" t="s">
        <v>3757</v>
      </c>
      <c r="E1261" s="74">
        <v>40934.381273148145</v>
      </c>
      <c r="F1261" s="74"/>
      <c r="G1261" s="75" t="str">
        <f>IF(stdProdLT(Main[[#This Row],[Comments]])=0.1,"N/A",IF(stdProdLT(Main[[#This Row],[Comments]])=0,"",stdProdLT(Main[[#This Row],[Comments]])))</f>
        <v/>
      </c>
      <c r="H1261" s="76" t="str">
        <f>IF(AND(Main[[#This Row],[In Stock Date]]&lt;&gt;"",Main[[#This Row],[Revised Due Date]]&lt;&gt;""),Main[[#This Row],[In Stock Date]]-Main[[#This Row],[Revised Due Date]],"")</f>
        <v/>
      </c>
      <c r="I1261" s="72" t="s">
        <v>69</v>
      </c>
      <c r="J1261" s="72" t="s">
        <v>70</v>
      </c>
      <c r="K1261" s="72" t="s">
        <v>1926</v>
      </c>
      <c r="L1261" s="74"/>
      <c r="M1261" s="77" t="str">
        <f>IF(Main[[#This Row],[Tech Start Date]]&lt;1/1/1990,"",IF(Main[[#This Row],[Class]]="C",WORKDAY(Main[[#This Row],[Tech Start Date]],9),IF(Main[[#This Row],[Class]]="B", WORKDAY(Main[[#This Row],[Tech Start Date]],6),IF(Main[[#This Row],[Class]]="A",WORKDAY(Main[[#This Row],[Tech Start Date]],2),""))))</f>
        <v/>
      </c>
      <c r="N1261" s="77" t="str">
        <f>IF(Main[[#This Row],[Tech Start Date]]&lt;1/1/1990,"",IF(Main[[#This Row],[Class]]="C",WORKDAY(Main[[#This Row],[Tech Start Date]],19),IF(Main[[#This Row],[Class]]="B", WORKDAY(Main[[#This Row],[Tech Start Date]],12),IF(Main[[#This Row],[Class]]="A",WORKDAY(Main[[#This Row],[Tech Start Date]],4),""))))</f>
        <v/>
      </c>
      <c r="O1261" s="77" t="str">
        <f>IF(Main[[#This Row],[Tech Start Date]]&lt;1/1/1990,"",IF(Main[[#This Row],[Class]]="C",WORKDAY(Main[[#This Row],[Tech Start Date]],23),IF(Main[[#This Row],[Class]]="B", WORKDAY(Main[[#This Row],[Tech Start Date]],15),IF(Main[[#This Row],[Class]]="A",WORKDAY(Main[[#This Row],[Tech Start Date]],5),""))))</f>
        <v/>
      </c>
      <c r="P1261" s="77" t="str">
        <f>IF(Main[[#This Row],[Tech Start Date]]&lt;1/1/1990,"",IF(Main[[#This Row],[Class]]="C",WORKDAY(Main[[#This Row],[Tech Start Date]],28),IF(Main[[#This Row],[Class]]="B", WORKDAY(Main[[#This Row],[Tech Start Date]],19),IF(Main[[#This Row],[Class]]="A",WORKDAY(Main[[#This Row],[Tech Start Date]],9),""))))</f>
        <v/>
      </c>
      <c r="Q1261" s="74">
        <v>40968</v>
      </c>
      <c r="R1261" s="74"/>
      <c r="S1261" s="72" t="s">
        <v>6</v>
      </c>
      <c r="T1261" s="80" t="s">
        <v>4</v>
      </c>
      <c r="U1261" s="72" t="s">
        <v>29</v>
      </c>
      <c r="V1261" s="72" t="s">
        <v>1920</v>
      </c>
      <c r="W1261" s="72" t="s">
        <v>1921</v>
      </c>
      <c r="X1261" s="72" t="s">
        <v>2824</v>
      </c>
      <c r="Y1261" s="72" t="s">
        <v>2935</v>
      </c>
      <c r="Z1261" s="72" t="s">
        <v>30</v>
      </c>
      <c r="AA1261" s="146" t="s">
        <v>2824</v>
      </c>
    </row>
    <row r="1262" spans="1:27" ht="18.600000000000001" customHeight="1">
      <c r="A1262" s="139" t="str">
        <f>IF(priority(Main[[#This Row],[Comments]])&lt;&gt;0, priority(Main[[#This Row],[Comments]]),"")</f>
        <v/>
      </c>
      <c r="B1262" s="89" t="s">
        <v>3522</v>
      </c>
      <c r="C1262" s="72" t="s">
        <v>4</v>
      </c>
      <c r="D1262" s="73" t="s">
        <v>3758</v>
      </c>
      <c r="E1262" s="74">
        <v>40942.368715277778</v>
      </c>
      <c r="F1262" s="74"/>
      <c r="G1262" s="75" t="str">
        <f>IF(stdProdLT(Main[[#This Row],[Comments]])=0.1,"N/A",IF(stdProdLT(Main[[#This Row],[Comments]])=0,"",stdProdLT(Main[[#This Row],[Comments]])))</f>
        <v/>
      </c>
      <c r="H1262" s="76" t="str">
        <f>IF(AND(Main[[#This Row],[In Stock Date]]&lt;&gt;"",Main[[#This Row],[Revised Due Date]]&lt;&gt;""),Main[[#This Row],[In Stock Date]]-Main[[#This Row],[Revised Due Date]],"")</f>
        <v/>
      </c>
      <c r="I1262" s="72" t="s">
        <v>69</v>
      </c>
      <c r="J1262" s="72" t="s">
        <v>70</v>
      </c>
      <c r="K1262" s="72" t="s">
        <v>1926</v>
      </c>
      <c r="L1262" s="74"/>
      <c r="M1262" s="77" t="str">
        <f>IF(Main[[#This Row],[Tech Start Date]]&lt;1/1/1990,"",IF(Main[[#This Row],[Class]]="C",WORKDAY(Main[[#This Row],[Tech Start Date]],9),IF(Main[[#This Row],[Class]]="B", WORKDAY(Main[[#This Row],[Tech Start Date]],6),IF(Main[[#This Row],[Class]]="A",WORKDAY(Main[[#This Row],[Tech Start Date]],2),""))))</f>
        <v/>
      </c>
      <c r="N1262" s="77" t="str">
        <f>IF(Main[[#This Row],[Tech Start Date]]&lt;1/1/1990,"",IF(Main[[#This Row],[Class]]="C",WORKDAY(Main[[#This Row],[Tech Start Date]],19),IF(Main[[#This Row],[Class]]="B", WORKDAY(Main[[#This Row],[Tech Start Date]],12),IF(Main[[#This Row],[Class]]="A",WORKDAY(Main[[#This Row],[Tech Start Date]],4),""))))</f>
        <v/>
      </c>
      <c r="O1262" s="77" t="str">
        <f>IF(Main[[#This Row],[Tech Start Date]]&lt;1/1/1990,"",IF(Main[[#This Row],[Class]]="C",WORKDAY(Main[[#This Row],[Tech Start Date]],23),IF(Main[[#This Row],[Class]]="B", WORKDAY(Main[[#This Row],[Tech Start Date]],15),IF(Main[[#This Row],[Class]]="A",WORKDAY(Main[[#This Row],[Tech Start Date]],5),""))))</f>
        <v/>
      </c>
      <c r="P1262" s="77" t="str">
        <f>IF(Main[[#This Row],[Tech Start Date]]&lt;1/1/1990,"",IF(Main[[#This Row],[Class]]="C",WORKDAY(Main[[#This Row],[Tech Start Date]],28),IF(Main[[#This Row],[Class]]="B", WORKDAY(Main[[#This Row],[Tech Start Date]],19),IF(Main[[#This Row],[Class]]="A",WORKDAY(Main[[#This Row],[Tech Start Date]],9),""))))</f>
        <v/>
      </c>
      <c r="Q1262" s="74">
        <v>40977</v>
      </c>
      <c r="R1262" s="74"/>
      <c r="S1262" s="72" t="s">
        <v>6</v>
      </c>
      <c r="T1262" s="80" t="s">
        <v>4</v>
      </c>
      <c r="U1262" s="72" t="s">
        <v>29</v>
      </c>
      <c r="V1262" s="72" t="s">
        <v>1920</v>
      </c>
      <c r="W1262" s="72" t="s">
        <v>1921</v>
      </c>
      <c r="X1262" s="72" t="s">
        <v>2824</v>
      </c>
      <c r="Y1262" s="72" t="s">
        <v>2935</v>
      </c>
      <c r="Z1262" s="72" t="s">
        <v>30</v>
      </c>
      <c r="AA1262" s="146" t="s">
        <v>2824</v>
      </c>
    </row>
    <row r="1263" spans="1:27" ht="18.600000000000001" customHeight="1">
      <c r="A1263" s="139" t="str">
        <f>IF(priority(Main[[#This Row],[Comments]])&lt;&gt;0, priority(Main[[#This Row],[Comments]]),"")</f>
        <v/>
      </c>
      <c r="B1263" s="89" t="s">
        <v>1848</v>
      </c>
      <c r="C1263" s="72" t="s">
        <v>67</v>
      </c>
      <c r="D1263" s="73" t="s">
        <v>2585</v>
      </c>
      <c r="E1263" s="74">
        <v>40343.573750000003</v>
      </c>
      <c r="F1263" s="74"/>
      <c r="G1263" s="75" t="str">
        <f>IF(stdProdLT(Main[[#This Row],[Comments]])=0.1,"N/A",IF(stdProdLT(Main[[#This Row],[Comments]])=0,"",stdProdLT(Main[[#This Row],[Comments]])))</f>
        <v/>
      </c>
      <c r="H1263" s="76" t="str">
        <f>IF(AND(Main[[#This Row],[In Stock Date]]&lt;&gt;"",Main[[#This Row],[Revised Due Date]]&lt;&gt;""),Main[[#This Row],[In Stock Date]]-Main[[#This Row],[Revised Due Date]],"")</f>
        <v/>
      </c>
      <c r="I1263" s="72" t="s">
        <v>74</v>
      </c>
      <c r="J1263" s="72" t="s">
        <v>28</v>
      </c>
      <c r="K1263" s="72" t="s">
        <v>1929</v>
      </c>
      <c r="L1263" s="74"/>
      <c r="M1263" s="77" t="str">
        <f>IF(Main[[#This Row],[Tech Start Date]]&lt;1/1/1990,"",IF(Main[[#This Row],[Class]]="C",WORKDAY(Main[[#This Row],[Tech Start Date]],9),IF(Main[[#This Row],[Class]]="B", WORKDAY(Main[[#This Row],[Tech Start Date]],6),IF(Main[[#This Row],[Class]]="A",WORKDAY(Main[[#This Row],[Tech Start Date]],2),""))))</f>
        <v/>
      </c>
      <c r="N1263" s="77" t="str">
        <f>IF(Main[[#This Row],[Tech Start Date]]&lt;1/1/1990,"",IF(Main[[#This Row],[Class]]="C",WORKDAY(Main[[#This Row],[Tech Start Date]],19),IF(Main[[#This Row],[Class]]="B", WORKDAY(Main[[#This Row],[Tech Start Date]],12),IF(Main[[#This Row],[Class]]="A",WORKDAY(Main[[#This Row],[Tech Start Date]],4),""))))</f>
        <v/>
      </c>
      <c r="O1263" s="77" t="str">
        <f>IF(Main[[#This Row],[Tech Start Date]]&lt;1/1/1990,"",IF(Main[[#This Row],[Class]]="C",WORKDAY(Main[[#This Row],[Tech Start Date]],23),IF(Main[[#This Row],[Class]]="B", WORKDAY(Main[[#This Row],[Tech Start Date]],15),IF(Main[[#This Row],[Class]]="A",WORKDAY(Main[[#This Row],[Tech Start Date]],5),""))))</f>
        <v/>
      </c>
      <c r="P1263" s="77" t="str">
        <f>IF(Main[[#This Row],[Tech Start Date]]&lt;1/1/1990,"",IF(Main[[#This Row],[Class]]="C",WORKDAY(Main[[#This Row],[Tech Start Date]],28),IF(Main[[#This Row],[Class]]="B", WORKDAY(Main[[#This Row],[Tech Start Date]],19),IF(Main[[#This Row],[Class]]="A",WORKDAY(Main[[#This Row],[Tech Start Date]],9),""))))</f>
        <v/>
      </c>
      <c r="Q1263" s="74">
        <v>40466</v>
      </c>
      <c r="R1263" s="74">
        <v>40868</v>
      </c>
      <c r="S1263" s="72" t="s">
        <v>17</v>
      </c>
      <c r="T1263" s="80" t="s">
        <v>4</v>
      </c>
      <c r="U1263" s="72" t="s">
        <v>29</v>
      </c>
      <c r="V1263" s="72" t="s">
        <v>1920</v>
      </c>
      <c r="W1263" s="72" t="s">
        <v>1923</v>
      </c>
      <c r="X1263" s="72" t="s">
        <v>306</v>
      </c>
      <c r="Y1263" s="72" t="s">
        <v>2955</v>
      </c>
      <c r="Z1263" s="72" t="s">
        <v>415</v>
      </c>
      <c r="AA1263" s="146" t="s">
        <v>415</v>
      </c>
    </row>
    <row r="1264" spans="1:27" ht="18.600000000000001" customHeight="1">
      <c r="A1264" s="139" t="str">
        <f>IF(priority(Main[[#This Row],[Comments]])&lt;&gt;0, priority(Main[[#This Row],[Comments]]),"")</f>
        <v/>
      </c>
      <c r="B1264" s="89" t="s">
        <v>1460</v>
      </c>
      <c r="C1264" s="72" t="s">
        <v>197</v>
      </c>
      <c r="D1264" s="73" t="s">
        <v>2523</v>
      </c>
      <c r="E1264" s="74">
        <v>40711.410266203704</v>
      </c>
      <c r="F1264" s="74"/>
      <c r="G1264" s="75" t="str">
        <f>IF(stdProdLT(Main[[#This Row],[Comments]])=0.1,"N/A",IF(stdProdLT(Main[[#This Row],[Comments]])=0,"",stdProdLT(Main[[#This Row],[Comments]])))</f>
        <v/>
      </c>
      <c r="H1264" s="76" t="str">
        <f>IF(AND(Main[[#This Row],[In Stock Date]]&lt;&gt;"",Main[[#This Row],[Revised Due Date]]&lt;&gt;""),Main[[#This Row],[In Stock Date]]-Main[[#This Row],[Revised Due Date]],"")</f>
        <v/>
      </c>
      <c r="I1264" s="72" t="s">
        <v>4</v>
      </c>
      <c r="J1264" s="72" t="s">
        <v>4</v>
      </c>
      <c r="K1264" s="72" t="s">
        <v>4</v>
      </c>
      <c r="L1264" s="74"/>
      <c r="M1264" s="77" t="str">
        <f>IF(Main[[#This Row],[Tech Start Date]]&lt;1/1/1990,"",IF(Main[[#This Row],[Class]]="C",WORKDAY(Main[[#This Row],[Tech Start Date]],9),IF(Main[[#This Row],[Class]]="B", WORKDAY(Main[[#This Row],[Tech Start Date]],6),IF(Main[[#This Row],[Class]]="A",WORKDAY(Main[[#This Row],[Tech Start Date]],2),""))))</f>
        <v/>
      </c>
      <c r="N1264" s="77" t="str">
        <f>IF(Main[[#This Row],[Tech Start Date]]&lt;1/1/1990,"",IF(Main[[#This Row],[Class]]="C",WORKDAY(Main[[#This Row],[Tech Start Date]],19),IF(Main[[#This Row],[Class]]="B", WORKDAY(Main[[#This Row],[Tech Start Date]],12),IF(Main[[#This Row],[Class]]="A",WORKDAY(Main[[#This Row],[Tech Start Date]],4),""))))</f>
        <v/>
      </c>
      <c r="O1264" s="77" t="str">
        <f>IF(Main[[#This Row],[Tech Start Date]]&lt;1/1/1990,"",IF(Main[[#This Row],[Class]]="C",WORKDAY(Main[[#This Row],[Tech Start Date]],23),IF(Main[[#This Row],[Class]]="B", WORKDAY(Main[[#This Row],[Tech Start Date]],15),IF(Main[[#This Row],[Class]]="A",WORKDAY(Main[[#This Row],[Tech Start Date]],5),""))))</f>
        <v/>
      </c>
      <c r="P1264" s="77" t="str">
        <f>IF(Main[[#This Row],[Tech Start Date]]&lt;1/1/1990,"",IF(Main[[#This Row],[Class]]="C",WORKDAY(Main[[#This Row],[Tech Start Date]],28),IF(Main[[#This Row],[Class]]="B", WORKDAY(Main[[#This Row],[Tech Start Date]],19),IF(Main[[#This Row],[Class]]="A",WORKDAY(Main[[#This Row],[Tech Start Date]],9),""))))</f>
        <v/>
      </c>
      <c r="Q1264" s="74">
        <v>40846</v>
      </c>
      <c r="R1264" s="74"/>
      <c r="S1264" s="72" t="s">
        <v>17</v>
      </c>
      <c r="T1264" s="80" t="s">
        <v>4</v>
      </c>
      <c r="U1264" s="72" t="s">
        <v>29</v>
      </c>
      <c r="V1264" s="72" t="s">
        <v>1920</v>
      </c>
      <c r="W1264" s="72" t="s">
        <v>1925</v>
      </c>
      <c r="X1264" s="72" t="s">
        <v>554</v>
      </c>
      <c r="Y1264" s="72" t="s">
        <v>2958</v>
      </c>
      <c r="Z1264" s="72" t="s">
        <v>4</v>
      </c>
      <c r="AA1264" s="146" t="s">
        <v>554</v>
      </c>
    </row>
    <row r="1265" spans="1:27" ht="18.600000000000001" customHeight="1">
      <c r="A1265" s="139" t="str">
        <f>IF(priority(Main[[#This Row],[Comments]])&lt;&gt;0, priority(Main[[#This Row],[Comments]]),"")</f>
        <v/>
      </c>
      <c r="B1265" s="89" t="s">
        <v>2582</v>
      </c>
      <c r="C1265" s="72" t="s">
        <v>4</v>
      </c>
      <c r="D1265" s="73" t="s">
        <v>728</v>
      </c>
      <c r="E1265" s="74"/>
      <c r="F1265" s="74"/>
      <c r="G1265" s="75" t="str">
        <f>IF(stdProdLT(Main[[#This Row],[Comments]])=0.1,"N/A",IF(stdProdLT(Main[[#This Row],[Comments]])=0,"",stdProdLT(Main[[#This Row],[Comments]])))</f>
        <v/>
      </c>
      <c r="H1265" s="76" t="str">
        <f>IF(AND(Main[[#This Row],[In Stock Date]]&lt;&gt;"",Main[[#This Row],[Revised Due Date]]&lt;&gt;""),Main[[#This Row],[In Stock Date]]-Main[[#This Row],[Revised Due Date]],"")</f>
        <v/>
      </c>
      <c r="I1265" s="72" t="s">
        <v>4</v>
      </c>
      <c r="J1265" s="72" t="s">
        <v>4</v>
      </c>
      <c r="K1265" s="72" t="s">
        <v>4</v>
      </c>
      <c r="L1265" s="74"/>
      <c r="M1265" s="77" t="str">
        <f>IF(Main[[#This Row],[Tech Start Date]]&lt;1/1/1990,"",IF(Main[[#This Row],[Class]]="C",WORKDAY(Main[[#This Row],[Tech Start Date]],9),IF(Main[[#This Row],[Class]]="B", WORKDAY(Main[[#This Row],[Tech Start Date]],6),IF(Main[[#This Row],[Class]]="A",WORKDAY(Main[[#This Row],[Tech Start Date]],2),""))))</f>
        <v/>
      </c>
      <c r="N1265" s="77" t="str">
        <f>IF(Main[[#This Row],[Tech Start Date]]&lt;1/1/1990,"",IF(Main[[#This Row],[Class]]="C",WORKDAY(Main[[#This Row],[Tech Start Date]],19),IF(Main[[#This Row],[Class]]="B", WORKDAY(Main[[#This Row],[Tech Start Date]],12),IF(Main[[#This Row],[Class]]="A",WORKDAY(Main[[#This Row],[Tech Start Date]],4),""))))</f>
        <v/>
      </c>
      <c r="O1265" s="77" t="str">
        <f>IF(Main[[#This Row],[Tech Start Date]]&lt;1/1/1990,"",IF(Main[[#This Row],[Class]]="C",WORKDAY(Main[[#This Row],[Tech Start Date]],23),IF(Main[[#This Row],[Class]]="B", WORKDAY(Main[[#This Row],[Tech Start Date]],15),IF(Main[[#This Row],[Class]]="A",WORKDAY(Main[[#This Row],[Tech Start Date]],5),""))))</f>
        <v/>
      </c>
      <c r="P1265" s="77" t="str">
        <f>IF(Main[[#This Row],[Tech Start Date]]&lt;1/1/1990,"",IF(Main[[#This Row],[Class]]="C",WORKDAY(Main[[#This Row],[Tech Start Date]],28),IF(Main[[#This Row],[Class]]="B", WORKDAY(Main[[#This Row],[Tech Start Date]],19),IF(Main[[#This Row],[Class]]="A",WORKDAY(Main[[#This Row],[Tech Start Date]],9),""))))</f>
        <v/>
      </c>
      <c r="Q1265" s="74"/>
      <c r="R1265" s="74"/>
      <c r="S1265" s="72" t="s">
        <v>4</v>
      </c>
      <c r="T1265" s="80" t="s">
        <v>4</v>
      </c>
      <c r="U1265" s="72" t="s">
        <v>14</v>
      </c>
      <c r="V1265" s="72" t="s">
        <v>1920</v>
      </c>
      <c r="W1265" s="72" t="s">
        <v>4</v>
      </c>
      <c r="X1265" s="72" t="s">
        <v>306</v>
      </c>
      <c r="Y1265" s="72" t="s">
        <v>4</v>
      </c>
      <c r="Z1265" s="72" t="s">
        <v>4</v>
      </c>
      <c r="AA1265" s="146" t="s">
        <v>4</v>
      </c>
    </row>
    <row r="1266" spans="1:27" ht="18.600000000000001" customHeight="1">
      <c r="A1266" s="139" t="str">
        <f>IF(priority(Main[[#This Row],[Comments]])&lt;&gt;0, priority(Main[[#This Row],[Comments]]),"")</f>
        <v/>
      </c>
      <c r="B1266" s="89" t="s">
        <v>3373</v>
      </c>
      <c r="C1266" s="72" t="s">
        <v>47</v>
      </c>
      <c r="D1266" s="73" t="s">
        <v>3374</v>
      </c>
      <c r="E1266" s="74">
        <v>40938.56958333333</v>
      </c>
      <c r="F1266" s="74"/>
      <c r="G1266" s="75" t="str">
        <f>IF(stdProdLT(Main[[#This Row],[Comments]])=0.1,"N/A",IF(stdProdLT(Main[[#This Row],[Comments]])=0,"",stdProdLT(Main[[#This Row],[Comments]])))</f>
        <v/>
      </c>
      <c r="H1266" s="76" t="str">
        <f>IF(AND(Main[[#This Row],[In Stock Date]]&lt;&gt;"",Main[[#This Row],[Revised Due Date]]&lt;&gt;""),Main[[#This Row],[In Stock Date]]-Main[[#This Row],[Revised Due Date]],"")</f>
        <v/>
      </c>
      <c r="I1266" s="72" t="s">
        <v>4</v>
      </c>
      <c r="J1266" s="72" t="s">
        <v>4</v>
      </c>
      <c r="K1266" s="72" t="s">
        <v>4</v>
      </c>
      <c r="L1266" s="74"/>
      <c r="M1266" s="77" t="str">
        <f>IF(Main[[#This Row],[Tech Start Date]]&lt;1/1/1990,"",IF(Main[[#This Row],[Class]]="C",WORKDAY(Main[[#This Row],[Tech Start Date]],9),IF(Main[[#This Row],[Class]]="B", WORKDAY(Main[[#This Row],[Tech Start Date]],6),IF(Main[[#This Row],[Class]]="A",WORKDAY(Main[[#This Row],[Tech Start Date]],2),""))))</f>
        <v/>
      </c>
      <c r="N1266" s="77" t="str">
        <f>IF(Main[[#This Row],[Tech Start Date]]&lt;1/1/1990,"",IF(Main[[#This Row],[Class]]="C",WORKDAY(Main[[#This Row],[Tech Start Date]],19),IF(Main[[#This Row],[Class]]="B", WORKDAY(Main[[#This Row],[Tech Start Date]],12),IF(Main[[#This Row],[Class]]="A",WORKDAY(Main[[#This Row],[Tech Start Date]],4),""))))</f>
        <v/>
      </c>
      <c r="O1266" s="77" t="str">
        <f>IF(Main[[#This Row],[Tech Start Date]]&lt;1/1/1990,"",IF(Main[[#This Row],[Class]]="C",WORKDAY(Main[[#This Row],[Tech Start Date]],23),IF(Main[[#This Row],[Class]]="B", WORKDAY(Main[[#This Row],[Tech Start Date]],15),IF(Main[[#This Row],[Class]]="A",WORKDAY(Main[[#This Row],[Tech Start Date]],5),""))))</f>
        <v/>
      </c>
      <c r="P1266" s="77" t="str">
        <f>IF(Main[[#This Row],[Tech Start Date]]&lt;1/1/1990,"",IF(Main[[#This Row],[Class]]="C",WORKDAY(Main[[#This Row],[Tech Start Date]],28),IF(Main[[#This Row],[Class]]="B", WORKDAY(Main[[#This Row],[Tech Start Date]],19),IF(Main[[#This Row],[Class]]="A",WORKDAY(Main[[#This Row],[Tech Start Date]],9),""))))</f>
        <v/>
      </c>
      <c r="Q1266" s="74">
        <v>40964</v>
      </c>
      <c r="R1266" s="74"/>
      <c r="S1266" s="72" t="s">
        <v>6</v>
      </c>
      <c r="T1266" s="80" t="s">
        <v>4</v>
      </c>
      <c r="U1266" s="72" t="s">
        <v>7</v>
      </c>
      <c r="V1266" s="72" t="s">
        <v>2288</v>
      </c>
      <c r="W1266" s="72" t="s">
        <v>4</v>
      </c>
      <c r="X1266" s="72" t="s">
        <v>2871</v>
      </c>
      <c r="Y1266" s="72" t="s">
        <v>3016</v>
      </c>
      <c r="Z1266" s="72" t="s">
        <v>4</v>
      </c>
      <c r="AA1266" s="146" t="s">
        <v>2871</v>
      </c>
    </row>
    <row r="1267" spans="1:27" ht="18.600000000000001" customHeight="1">
      <c r="A1267" s="139" t="str">
        <f>IF(priority(Main[[#This Row],[Comments]])&lt;&gt;0, priority(Main[[#This Row],[Comments]]),"")</f>
        <v/>
      </c>
      <c r="B1267" s="89" t="s">
        <v>1867</v>
      </c>
      <c r="C1267" s="72" t="s">
        <v>47</v>
      </c>
      <c r="D1267" s="73" t="s">
        <v>922</v>
      </c>
      <c r="E1267" s="74">
        <v>39937.596770833334</v>
      </c>
      <c r="F1267" s="74"/>
      <c r="G1267" s="75" t="str">
        <f>IF(stdProdLT(Main[[#This Row],[Comments]])=0.1,"N/A",IF(stdProdLT(Main[[#This Row],[Comments]])=0,"",stdProdLT(Main[[#This Row],[Comments]])))</f>
        <v/>
      </c>
      <c r="H1267" s="76" t="str">
        <f>IF(AND(Main[[#This Row],[In Stock Date]]&lt;&gt;"",Main[[#This Row],[Revised Due Date]]&lt;&gt;""),Main[[#This Row],[In Stock Date]]-Main[[#This Row],[Revised Due Date]],"")</f>
        <v/>
      </c>
      <c r="I1267" s="72" t="s">
        <v>976</v>
      </c>
      <c r="J1267" s="72" t="s">
        <v>4</v>
      </c>
      <c r="K1267" s="81" t="s">
        <v>1929</v>
      </c>
      <c r="L1267" s="74"/>
      <c r="M1267" s="77" t="str">
        <f>IF(Main[[#This Row],[Tech Start Date]]&lt;1/1/1990,"",IF(Main[[#This Row],[Class]]="C",WORKDAY(Main[[#This Row],[Tech Start Date]],9),IF(Main[[#This Row],[Class]]="B", WORKDAY(Main[[#This Row],[Tech Start Date]],6),IF(Main[[#This Row],[Class]]="A",WORKDAY(Main[[#This Row],[Tech Start Date]],2),""))))</f>
        <v/>
      </c>
      <c r="N1267" s="77" t="str">
        <f>IF(Main[[#This Row],[Tech Start Date]]&lt;1/1/1990,"",IF(Main[[#This Row],[Class]]="C",WORKDAY(Main[[#This Row],[Tech Start Date]],19),IF(Main[[#This Row],[Class]]="B", WORKDAY(Main[[#This Row],[Tech Start Date]],12),IF(Main[[#This Row],[Class]]="A",WORKDAY(Main[[#This Row],[Tech Start Date]],4),""))))</f>
        <v/>
      </c>
      <c r="O1267" s="77" t="str">
        <f>IF(Main[[#This Row],[Tech Start Date]]&lt;1/1/1990,"",IF(Main[[#This Row],[Class]]="C",WORKDAY(Main[[#This Row],[Tech Start Date]],23),IF(Main[[#This Row],[Class]]="B", WORKDAY(Main[[#This Row],[Tech Start Date]],15),IF(Main[[#This Row],[Class]]="A",WORKDAY(Main[[#This Row],[Tech Start Date]],5),""))))</f>
        <v/>
      </c>
      <c r="P1267" s="77" t="str">
        <f>IF(Main[[#This Row],[Tech Start Date]]&lt;1/1/1990,"",IF(Main[[#This Row],[Class]]="C",WORKDAY(Main[[#This Row],[Tech Start Date]],28),IF(Main[[#This Row],[Class]]="B", WORKDAY(Main[[#This Row],[Tech Start Date]],19),IF(Main[[#This Row],[Class]]="A",WORKDAY(Main[[#This Row],[Tech Start Date]],9),""))))</f>
        <v/>
      </c>
      <c r="Q1267" s="74"/>
      <c r="R1267" s="74">
        <v>40999</v>
      </c>
      <c r="S1267" s="72" t="s">
        <v>17</v>
      </c>
      <c r="T1267" s="80" t="s">
        <v>4</v>
      </c>
      <c r="U1267" s="72" t="s">
        <v>29</v>
      </c>
      <c r="V1267" s="72" t="s">
        <v>1920</v>
      </c>
      <c r="W1267" s="72" t="s">
        <v>1922</v>
      </c>
      <c r="X1267" s="72" t="s">
        <v>2833</v>
      </c>
      <c r="Y1267" s="72" t="s">
        <v>2954</v>
      </c>
      <c r="Z1267" s="72" t="s">
        <v>415</v>
      </c>
      <c r="AA1267" s="146" t="s">
        <v>2833</v>
      </c>
    </row>
    <row r="1268" spans="1:27" ht="18.600000000000001" customHeight="1">
      <c r="A1268" s="139" t="str">
        <f>IF(priority(Main[[#This Row],[Comments]])&lt;&gt;0, priority(Main[[#This Row],[Comments]]),"")</f>
        <v/>
      </c>
      <c r="B1268" s="89" t="s">
        <v>3375</v>
      </c>
      <c r="C1268" s="72" t="s">
        <v>2359</v>
      </c>
      <c r="D1268" s="73" t="s">
        <v>3346</v>
      </c>
      <c r="E1268" s="74"/>
      <c r="F1268" s="74">
        <v>41030</v>
      </c>
      <c r="G1268" s="75" t="str">
        <f>IF(stdProdLT(Main[[#This Row],[Comments]])=0.1,"N/A",IF(stdProdLT(Main[[#This Row],[Comments]])=0,"",stdProdLT(Main[[#This Row],[Comments]])))</f>
        <v/>
      </c>
      <c r="H1268" s="76" t="str">
        <f>IF(AND(Main[[#This Row],[In Stock Date]]&lt;&gt;"",Main[[#This Row],[Revised Due Date]]&lt;&gt;""),Main[[#This Row],[In Stock Date]]-Main[[#This Row],[Revised Due Date]],"")</f>
        <v/>
      </c>
      <c r="I1268" s="72" t="s">
        <v>4</v>
      </c>
      <c r="J1268" s="72" t="s">
        <v>4</v>
      </c>
      <c r="K1268" s="72" t="s">
        <v>4</v>
      </c>
      <c r="L1268" s="74"/>
      <c r="M1268" s="77" t="str">
        <f>IF(Main[[#This Row],[Tech Start Date]]&lt;1/1/1990,"",IF(Main[[#This Row],[Class]]="C",WORKDAY(Main[[#This Row],[Tech Start Date]],9),IF(Main[[#This Row],[Class]]="B", WORKDAY(Main[[#This Row],[Tech Start Date]],6),IF(Main[[#This Row],[Class]]="A",WORKDAY(Main[[#This Row],[Tech Start Date]],2),""))))</f>
        <v/>
      </c>
      <c r="N1268" s="77" t="str">
        <f>IF(Main[[#This Row],[Tech Start Date]]&lt;1/1/1990,"",IF(Main[[#This Row],[Class]]="C",WORKDAY(Main[[#This Row],[Tech Start Date]],19),IF(Main[[#This Row],[Class]]="B", WORKDAY(Main[[#This Row],[Tech Start Date]],12),IF(Main[[#This Row],[Class]]="A",WORKDAY(Main[[#This Row],[Tech Start Date]],4),""))))</f>
        <v/>
      </c>
      <c r="O1268" s="77" t="str">
        <f>IF(Main[[#This Row],[Tech Start Date]]&lt;1/1/1990,"",IF(Main[[#This Row],[Class]]="C",WORKDAY(Main[[#This Row],[Tech Start Date]],23),IF(Main[[#This Row],[Class]]="B", WORKDAY(Main[[#This Row],[Tech Start Date]],15),IF(Main[[#This Row],[Class]]="A",WORKDAY(Main[[#This Row],[Tech Start Date]],5),""))))</f>
        <v/>
      </c>
      <c r="P1268" s="77" t="str">
        <f>IF(Main[[#This Row],[Tech Start Date]]&lt;1/1/1990,"",IF(Main[[#This Row],[Class]]="C",WORKDAY(Main[[#This Row],[Tech Start Date]],28),IF(Main[[#This Row],[Class]]="B", WORKDAY(Main[[#This Row],[Tech Start Date]],19),IF(Main[[#This Row],[Class]]="A",WORKDAY(Main[[#This Row],[Tech Start Date]],9),""))))</f>
        <v/>
      </c>
      <c r="Q1268" s="74">
        <v>40890</v>
      </c>
      <c r="R1268" s="74"/>
      <c r="S1268" s="72" t="s">
        <v>11</v>
      </c>
      <c r="T1268" s="80" t="s">
        <v>4</v>
      </c>
      <c r="U1268" s="72" t="s">
        <v>12</v>
      </c>
      <c r="V1268" s="72" t="s">
        <v>1927</v>
      </c>
      <c r="W1268" s="72" t="s">
        <v>1925</v>
      </c>
      <c r="X1268" s="72" t="s">
        <v>2849</v>
      </c>
      <c r="Y1268" s="72" t="s">
        <v>4</v>
      </c>
      <c r="Z1268" s="72" t="s">
        <v>4</v>
      </c>
      <c r="AA1268" s="146" t="s">
        <v>2849</v>
      </c>
    </row>
    <row r="1269" spans="1:27" ht="18.600000000000001" customHeight="1">
      <c r="A1269" s="139" t="str">
        <f>IF(priority(Main[[#This Row],[Comments]])&lt;&gt;0, priority(Main[[#This Row],[Comments]]),"")</f>
        <v/>
      </c>
      <c r="B1269" s="89" t="s">
        <v>2167</v>
      </c>
      <c r="C1269" s="72" t="s">
        <v>4</v>
      </c>
      <c r="D1269" s="73" t="s">
        <v>2591</v>
      </c>
      <c r="E1269" s="74">
        <v>40780.676446759258</v>
      </c>
      <c r="F1269" s="74"/>
      <c r="G1269" s="75" t="str">
        <f>IF(stdProdLT(Main[[#This Row],[Comments]])=0.1,"N/A",IF(stdProdLT(Main[[#This Row],[Comments]])=0,"",stdProdLT(Main[[#This Row],[Comments]])))</f>
        <v/>
      </c>
      <c r="H1269" s="76" t="str">
        <f>IF(AND(Main[[#This Row],[In Stock Date]]&lt;&gt;"",Main[[#This Row],[Revised Due Date]]&lt;&gt;""),Main[[#This Row],[In Stock Date]]-Main[[#This Row],[Revised Due Date]],"")</f>
        <v/>
      </c>
      <c r="I1269" s="72" t="s">
        <v>4</v>
      </c>
      <c r="J1269" s="72" t="s">
        <v>4</v>
      </c>
      <c r="K1269" s="72" t="s">
        <v>4</v>
      </c>
      <c r="L1269" s="74"/>
      <c r="M1269" s="77" t="str">
        <f>IF(Main[[#This Row],[Tech Start Date]]&lt;1/1/1990,"",IF(Main[[#This Row],[Class]]="C",WORKDAY(Main[[#This Row],[Tech Start Date]],9),IF(Main[[#This Row],[Class]]="B", WORKDAY(Main[[#This Row],[Tech Start Date]],6),IF(Main[[#This Row],[Class]]="A",WORKDAY(Main[[#This Row],[Tech Start Date]],2),""))))</f>
        <v/>
      </c>
      <c r="N1269" s="77" t="str">
        <f>IF(Main[[#This Row],[Tech Start Date]]&lt;1/1/1990,"",IF(Main[[#This Row],[Class]]="C",WORKDAY(Main[[#This Row],[Tech Start Date]],19),IF(Main[[#This Row],[Class]]="B", WORKDAY(Main[[#This Row],[Tech Start Date]],12),IF(Main[[#This Row],[Class]]="A",WORKDAY(Main[[#This Row],[Tech Start Date]],4),""))))</f>
        <v/>
      </c>
      <c r="O1269" s="77" t="str">
        <f>IF(Main[[#This Row],[Tech Start Date]]&lt;1/1/1990,"",IF(Main[[#This Row],[Class]]="C",WORKDAY(Main[[#This Row],[Tech Start Date]],23),IF(Main[[#This Row],[Class]]="B", WORKDAY(Main[[#This Row],[Tech Start Date]],15),IF(Main[[#This Row],[Class]]="A",WORKDAY(Main[[#This Row],[Tech Start Date]],5),""))))</f>
        <v/>
      </c>
      <c r="P1269" s="77" t="str">
        <f>IF(Main[[#This Row],[Tech Start Date]]&lt;1/1/1990,"",IF(Main[[#This Row],[Class]]="C",WORKDAY(Main[[#This Row],[Tech Start Date]],28),IF(Main[[#This Row],[Class]]="B", WORKDAY(Main[[#This Row],[Tech Start Date]],19),IF(Main[[#This Row],[Class]]="A",WORKDAY(Main[[#This Row],[Tech Start Date]],9),""))))</f>
        <v/>
      </c>
      <c r="Q1269" s="74">
        <v>40787</v>
      </c>
      <c r="R1269" s="74"/>
      <c r="S1269" s="72" t="s">
        <v>6</v>
      </c>
      <c r="T1269" s="80" t="s">
        <v>4</v>
      </c>
      <c r="U1269" s="72" t="s">
        <v>7</v>
      </c>
      <c r="V1269" s="72" t="s">
        <v>1917</v>
      </c>
      <c r="W1269" s="72" t="s">
        <v>1925</v>
      </c>
      <c r="X1269" s="72" t="s">
        <v>2827</v>
      </c>
      <c r="Y1269" s="72" t="s">
        <v>2942</v>
      </c>
      <c r="Z1269" s="72" t="s">
        <v>4</v>
      </c>
      <c r="AA1269" s="146" t="s">
        <v>2827</v>
      </c>
    </row>
    <row r="1270" spans="1:27" ht="18.600000000000001" customHeight="1">
      <c r="A1270" s="139" t="str">
        <f>IF(priority(Main[[#This Row],[Comments]])&lt;&gt;0, priority(Main[[#This Row],[Comments]]),"")</f>
        <v/>
      </c>
      <c r="B1270" s="89" t="s">
        <v>3494</v>
      </c>
      <c r="C1270" s="72" t="s">
        <v>3495</v>
      </c>
      <c r="D1270" s="73" t="s">
        <v>3496</v>
      </c>
      <c r="E1270" s="74">
        <v>40940.978842592594</v>
      </c>
      <c r="F1270" s="74">
        <v>41116</v>
      </c>
      <c r="G1270" s="75">
        <f>IF(stdProdLT(Main[[#This Row],[Comments]])=0.1,"N/A",IF(stdProdLT(Main[[#This Row],[Comments]])=0,"",stdProdLT(Main[[#This Row],[Comments]])))</f>
        <v>140</v>
      </c>
      <c r="H1270" s="76" t="str">
        <f>IF(AND(Main[[#This Row],[In Stock Date]]&lt;&gt;"",Main[[#This Row],[Revised Due Date]]&lt;&gt;""),Main[[#This Row],[In Stock Date]]-Main[[#This Row],[Revised Due Date]],"")</f>
        <v/>
      </c>
      <c r="I1270" s="72" t="s">
        <v>4</v>
      </c>
      <c r="J1270" s="72" t="s">
        <v>4</v>
      </c>
      <c r="K1270" s="72" t="s">
        <v>4</v>
      </c>
      <c r="L1270" s="74"/>
      <c r="M1270" s="77" t="str">
        <f>IF(Main[[#This Row],[Tech Start Date]]&lt;1/1/1990,"",IF(Main[[#This Row],[Class]]="C",WORKDAY(Main[[#This Row],[Tech Start Date]],9),IF(Main[[#This Row],[Class]]="B", WORKDAY(Main[[#This Row],[Tech Start Date]],6),IF(Main[[#This Row],[Class]]="A",WORKDAY(Main[[#This Row],[Tech Start Date]],2),""))))</f>
        <v/>
      </c>
      <c r="N1270" s="77" t="str">
        <f>IF(Main[[#This Row],[Tech Start Date]]&lt;1/1/1990,"",IF(Main[[#This Row],[Class]]="C",WORKDAY(Main[[#This Row],[Tech Start Date]],19),IF(Main[[#This Row],[Class]]="B", WORKDAY(Main[[#This Row],[Tech Start Date]],12),IF(Main[[#This Row],[Class]]="A",WORKDAY(Main[[#This Row],[Tech Start Date]],4),""))))</f>
        <v/>
      </c>
      <c r="O1270" s="77" t="str">
        <f>IF(Main[[#This Row],[Tech Start Date]]&lt;1/1/1990,"",IF(Main[[#This Row],[Class]]="C",WORKDAY(Main[[#This Row],[Tech Start Date]],23),IF(Main[[#This Row],[Class]]="B", WORKDAY(Main[[#This Row],[Tech Start Date]],15),IF(Main[[#This Row],[Class]]="A",WORKDAY(Main[[#This Row],[Tech Start Date]],5),""))))</f>
        <v/>
      </c>
      <c r="P1270" s="77" t="str">
        <f>IF(Main[[#This Row],[Tech Start Date]]&lt;1/1/1990,"",IF(Main[[#This Row],[Class]]="C",WORKDAY(Main[[#This Row],[Tech Start Date]],28),IF(Main[[#This Row],[Class]]="B", WORKDAY(Main[[#This Row],[Tech Start Date]],19),IF(Main[[#This Row],[Class]]="A",WORKDAY(Main[[#This Row],[Tech Start Date]],9),""))))</f>
        <v/>
      </c>
      <c r="Q1270" s="74">
        <v>40976</v>
      </c>
      <c r="R1270" s="74"/>
      <c r="S1270" s="72" t="s">
        <v>11</v>
      </c>
      <c r="T1270" s="80" t="s">
        <v>3593</v>
      </c>
      <c r="U1270" s="72" t="s">
        <v>696</v>
      </c>
      <c r="V1270" s="72" t="s">
        <v>1927</v>
      </c>
      <c r="W1270" s="72" t="s">
        <v>1925</v>
      </c>
      <c r="X1270" s="72" t="s">
        <v>3497</v>
      </c>
      <c r="Y1270" s="72" t="s">
        <v>4</v>
      </c>
      <c r="Z1270" s="72" t="s">
        <v>4</v>
      </c>
      <c r="AA1270" s="146" t="s">
        <v>3497</v>
      </c>
    </row>
    <row r="1271" spans="1:27" ht="18.600000000000001" customHeight="1">
      <c r="A1271" s="139" t="str">
        <f>IF(priority(Main[[#This Row],[Comments]])&lt;&gt;0, priority(Main[[#This Row],[Comments]]),"")</f>
        <v/>
      </c>
      <c r="B1271" s="89" t="s">
        <v>2581</v>
      </c>
      <c r="C1271" s="72" t="s">
        <v>4</v>
      </c>
      <c r="D1271" s="73" t="s">
        <v>2785</v>
      </c>
      <c r="E1271" s="74">
        <v>40870.475462962961</v>
      </c>
      <c r="F1271" s="74"/>
      <c r="G1271" s="75" t="str">
        <f>IF(stdProdLT(Main[[#This Row],[Comments]])=0.1,"N/A",IF(stdProdLT(Main[[#This Row],[Comments]])=0,"",stdProdLT(Main[[#This Row],[Comments]])))</f>
        <v/>
      </c>
      <c r="H1271" s="76" t="str">
        <f>IF(AND(Main[[#This Row],[In Stock Date]]&lt;&gt;"",Main[[#This Row],[Revised Due Date]]&lt;&gt;""),Main[[#This Row],[In Stock Date]]-Main[[#This Row],[Revised Due Date]],"")</f>
        <v/>
      </c>
      <c r="I1271" s="72" t="s">
        <v>429</v>
      </c>
      <c r="J1271" s="72" t="s">
        <v>28</v>
      </c>
      <c r="K1271" s="72" t="s">
        <v>1924</v>
      </c>
      <c r="L1271" s="74"/>
      <c r="M1271" s="77" t="str">
        <f>IF(Main[[#This Row],[Tech Start Date]]&lt;1/1/1990,"",IF(Main[[#This Row],[Class]]="C",WORKDAY(Main[[#This Row],[Tech Start Date]],9),IF(Main[[#This Row],[Class]]="B", WORKDAY(Main[[#This Row],[Tech Start Date]],6),IF(Main[[#This Row],[Class]]="A",WORKDAY(Main[[#This Row],[Tech Start Date]],2),""))))</f>
        <v/>
      </c>
      <c r="N1271" s="77" t="str">
        <f>IF(Main[[#This Row],[Tech Start Date]]&lt;1/1/1990,"",IF(Main[[#This Row],[Class]]="C",WORKDAY(Main[[#This Row],[Tech Start Date]],19),IF(Main[[#This Row],[Class]]="B", WORKDAY(Main[[#This Row],[Tech Start Date]],12),IF(Main[[#This Row],[Class]]="A",WORKDAY(Main[[#This Row],[Tech Start Date]],4),""))))</f>
        <v/>
      </c>
      <c r="O1271" s="77" t="str">
        <f>IF(Main[[#This Row],[Tech Start Date]]&lt;1/1/1990,"",IF(Main[[#This Row],[Class]]="C",WORKDAY(Main[[#This Row],[Tech Start Date]],23),IF(Main[[#This Row],[Class]]="B", WORKDAY(Main[[#This Row],[Tech Start Date]],15),IF(Main[[#This Row],[Class]]="A",WORKDAY(Main[[#This Row],[Tech Start Date]],5),""))))</f>
        <v/>
      </c>
      <c r="P1271" s="77" t="str">
        <f>IF(Main[[#This Row],[Tech Start Date]]&lt;1/1/1990,"",IF(Main[[#This Row],[Class]]="C",WORKDAY(Main[[#This Row],[Tech Start Date]],28),IF(Main[[#This Row],[Class]]="B", WORKDAY(Main[[#This Row],[Tech Start Date]],19),IF(Main[[#This Row],[Class]]="A",WORKDAY(Main[[#This Row],[Tech Start Date]],9),""))))</f>
        <v/>
      </c>
      <c r="Q1271" s="74">
        <v>40905</v>
      </c>
      <c r="R1271" s="74"/>
      <c r="S1271" s="72" t="s">
        <v>6</v>
      </c>
      <c r="T1271" s="80" t="s">
        <v>4</v>
      </c>
      <c r="U1271" s="72" t="s">
        <v>29</v>
      </c>
      <c r="V1271" s="72" t="s">
        <v>1920</v>
      </c>
      <c r="W1271" s="72" t="s">
        <v>1921</v>
      </c>
      <c r="X1271" s="72" t="s">
        <v>2054</v>
      </c>
      <c r="Y1271" s="72" t="s">
        <v>3066</v>
      </c>
      <c r="Z1271" s="72" t="s">
        <v>30</v>
      </c>
      <c r="AA1271" s="146" t="s">
        <v>2901</v>
      </c>
    </row>
    <row r="1272" spans="1:27" ht="18.600000000000001" customHeight="1">
      <c r="A1272" s="139" t="str">
        <f>IF(priority(Main[[#This Row],[Comments]])&lt;&gt;0, priority(Main[[#This Row],[Comments]]),"")</f>
        <v/>
      </c>
      <c r="B1272" s="89" t="s">
        <v>2219</v>
      </c>
      <c r="C1272" s="72" t="s">
        <v>4</v>
      </c>
      <c r="D1272" s="73" t="s">
        <v>2220</v>
      </c>
      <c r="E1272" s="74"/>
      <c r="F1272" s="74"/>
      <c r="G1272" s="75" t="str">
        <f>IF(stdProdLT(Main[[#This Row],[Comments]])=0.1,"N/A",IF(stdProdLT(Main[[#This Row],[Comments]])=0,"",stdProdLT(Main[[#This Row],[Comments]])))</f>
        <v/>
      </c>
      <c r="H1272" s="76" t="str">
        <f>IF(AND(Main[[#This Row],[In Stock Date]]&lt;&gt;"",Main[[#This Row],[Revised Due Date]]&lt;&gt;""),Main[[#This Row],[In Stock Date]]-Main[[#This Row],[Revised Due Date]],"")</f>
        <v/>
      </c>
      <c r="I1272" s="72" t="s">
        <v>530</v>
      </c>
      <c r="J1272" s="72" t="s">
        <v>28</v>
      </c>
      <c r="K1272" s="72" t="s">
        <v>1926</v>
      </c>
      <c r="L1272" s="74"/>
      <c r="M1272" s="77" t="str">
        <f>IF(Main[[#This Row],[Tech Start Date]]&lt;1/1/1990,"",IF(Main[[#This Row],[Class]]="C",WORKDAY(Main[[#This Row],[Tech Start Date]],9),IF(Main[[#This Row],[Class]]="B", WORKDAY(Main[[#This Row],[Tech Start Date]],6),IF(Main[[#This Row],[Class]]="A",WORKDAY(Main[[#This Row],[Tech Start Date]],2),""))))</f>
        <v/>
      </c>
      <c r="N1272" s="77" t="str">
        <f>IF(Main[[#This Row],[Tech Start Date]]&lt;1/1/1990,"",IF(Main[[#This Row],[Class]]="C",WORKDAY(Main[[#This Row],[Tech Start Date]],19),IF(Main[[#This Row],[Class]]="B", WORKDAY(Main[[#This Row],[Tech Start Date]],12),IF(Main[[#This Row],[Class]]="A",WORKDAY(Main[[#This Row],[Tech Start Date]],4),""))))</f>
        <v/>
      </c>
      <c r="O1272" s="77" t="str">
        <f>IF(Main[[#This Row],[Tech Start Date]]&lt;1/1/1990,"",IF(Main[[#This Row],[Class]]="C",WORKDAY(Main[[#This Row],[Tech Start Date]],23),IF(Main[[#This Row],[Class]]="B", WORKDAY(Main[[#This Row],[Tech Start Date]],15),IF(Main[[#This Row],[Class]]="A",WORKDAY(Main[[#This Row],[Tech Start Date]],5),""))))</f>
        <v/>
      </c>
      <c r="P1272" s="77" t="str">
        <f>IF(Main[[#This Row],[Tech Start Date]]&lt;1/1/1990,"",IF(Main[[#This Row],[Class]]="C",WORKDAY(Main[[#This Row],[Tech Start Date]],28),IF(Main[[#This Row],[Class]]="B", WORKDAY(Main[[#This Row],[Tech Start Date]],19),IF(Main[[#This Row],[Class]]="A",WORKDAY(Main[[#This Row],[Tech Start Date]],9),""))))</f>
        <v/>
      </c>
      <c r="Q1272" s="74"/>
      <c r="R1272" s="74"/>
      <c r="S1272" s="72" t="s">
        <v>6</v>
      </c>
      <c r="T1272" s="80" t="s">
        <v>4</v>
      </c>
      <c r="U1272" s="72" t="s">
        <v>14</v>
      </c>
      <c r="V1272" s="72" t="s">
        <v>1920</v>
      </c>
      <c r="W1272" s="72" t="s">
        <v>1921</v>
      </c>
      <c r="X1272" s="72" t="s">
        <v>2825</v>
      </c>
      <c r="Y1272" s="72" t="s">
        <v>2938</v>
      </c>
      <c r="Z1272" s="72" t="s">
        <v>30</v>
      </c>
      <c r="AA1272" s="146" t="s">
        <v>2825</v>
      </c>
    </row>
    <row r="1273" spans="1:27" ht="18.600000000000001" customHeight="1">
      <c r="A1273" s="139" t="str">
        <f>IF(priority(Main[[#This Row],[Comments]])&lt;&gt;0, priority(Main[[#This Row],[Comments]]),"")</f>
        <v/>
      </c>
      <c r="B1273" s="89" t="s">
        <v>2583</v>
      </c>
      <c r="C1273" s="72" t="s">
        <v>4</v>
      </c>
      <c r="D1273" s="73" t="s">
        <v>2584</v>
      </c>
      <c r="E1273" s="74"/>
      <c r="F1273" s="74"/>
      <c r="G1273" s="75" t="str">
        <f>IF(stdProdLT(Main[[#This Row],[Comments]])=0.1,"N/A",IF(stdProdLT(Main[[#This Row],[Comments]])=0,"",stdProdLT(Main[[#This Row],[Comments]])))</f>
        <v/>
      </c>
      <c r="H1273" s="76" t="str">
        <f>IF(AND(Main[[#This Row],[In Stock Date]]&lt;&gt;"",Main[[#This Row],[Revised Due Date]]&lt;&gt;""),Main[[#This Row],[In Stock Date]]-Main[[#This Row],[Revised Due Date]],"")</f>
        <v/>
      </c>
      <c r="I1273" s="72" t="s">
        <v>4</v>
      </c>
      <c r="J1273" s="72" t="s">
        <v>4</v>
      </c>
      <c r="K1273" s="81" t="s">
        <v>4</v>
      </c>
      <c r="L1273" s="74"/>
      <c r="M1273" s="77" t="str">
        <f>IF(Main[[#This Row],[Tech Start Date]]&lt;1/1/1990,"",IF(Main[[#This Row],[Class]]="C",WORKDAY(Main[[#This Row],[Tech Start Date]],9),IF(Main[[#This Row],[Class]]="B", WORKDAY(Main[[#This Row],[Tech Start Date]],6),IF(Main[[#This Row],[Class]]="A",WORKDAY(Main[[#This Row],[Tech Start Date]],2),""))))</f>
        <v/>
      </c>
      <c r="N1273" s="77" t="str">
        <f>IF(Main[[#This Row],[Tech Start Date]]&lt;1/1/1990,"",IF(Main[[#This Row],[Class]]="C",WORKDAY(Main[[#This Row],[Tech Start Date]],19),IF(Main[[#This Row],[Class]]="B", WORKDAY(Main[[#This Row],[Tech Start Date]],12),IF(Main[[#This Row],[Class]]="A",WORKDAY(Main[[#This Row],[Tech Start Date]],4),""))))</f>
        <v/>
      </c>
      <c r="O1273" s="77" t="str">
        <f>IF(Main[[#This Row],[Tech Start Date]]&lt;1/1/1990,"",IF(Main[[#This Row],[Class]]="C",WORKDAY(Main[[#This Row],[Tech Start Date]],23),IF(Main[[#This Row],[Class]]="B", WORKDAY(Main[[#This Row],[Tech Start Date]],15),IF(Main[[#This Row],[Class]]="A",WORKDAY(Main[[#This Row],[Tech Start Date]],5),""))))</f>
        <v/>
      </c>
      <c r="P1273" s="77" t="str">
        <f>IF(Main[[#This Row],[Tech Start Date]]&lt;1/1/1990,"",IF(Main[[#This Row],[Class]]="C",WORKDAY(Main[[#This Row],[Tech Start Date]],28),IF(Main[[#This Row],[Class]]="B", WORKDAY(Main[[#This Row],[Tech Start Date]],19),IF(Main[[#This Row],[Class]]="A",WORKDAY(Main[[#This Row],[Tech Start Date]],9),""))))</f>
        <v/>
      </c>
      <c r="Q1273" s="74"/>
      <c r="R1273" s="74"/>
      <c r="S1273" s="72" t="s">
        <v>6</v>
      </c>
      <c r="T1273" s="80" t="s">
        <v>4</v>
      </c>
      <c r="U1273" s="72" t="s">
        <v>12</v>
      </c>
      <c r="V1273" s="72" t="s">
        <v>1920</v>
      </c>
      <c r="W1273" s="72" t="s">
        <v>1922</v>
      </c>
      <c r="X1273" s="72" t="s">
        <v>2847</v>
      </c>
      <c r="Y1273" s="72" t="s">
        <v>2977</v>
      </c>
      <c r="Z1273" s="72" t="s">
        <v>4</v>
      </c>
      <c r="AA1273" s="146" t="s">
        <v>2847</v>
      </c>
    </row>
    <row r="1274" spans="1:27" ht="18.600000000000001" customHeight="1">
      <c r="A1274" s="139" t="str">
        <f>IF(priority(Main[[#This Row],[Comments]])&lt;&gt;0, priority(Main[[#This Row],[Comments]]),"")</f>
        <v/>
      </c>
      <c r="B1274" s="89" t="s">
        <v>3759</v>
      </c>
      <c r="C1274" s="72" t="s">
        <v>2359</v>
      </c>
      <c r="D1274" s="73" t="s">
        <v>3760</v>
      </c>
      <c r="E1274" s="74"/>
      <c r="F1274" s="74">
        <v>41105</v>
      </c>
      <c r="G1274" s="75" t="str">
        <f>IF(stdProdLT(Main[[#This Row],[Comments]])=0.1,"N/A",IF(stdProdLT(Main[[#This Row],[Comments]])=0,"",stdProdLT(Main[[#This Row],[Comments]])))</f>
        <v/>
      </c>
      <c r="H1274" s="76" t="str">
        <f>IF(AND(Main[[#This Row],[In Stock Date]]&lt;&gt;"",Main[[#This Row],[Revised Due Date]]&lt;&gt;""),Main[[#This Row],[In Stock Date]]-Main[[#This Row],[Revised Due Date]],"")</f>
        <v/>
      </c>
      <c r="I1274" s="72" t="s">
        <v>4</v>
      </c>
      <c r="J1274" s="72" t="s">
        <v>4</v>
      </c>
      <c r="K1274" s="72" t="s">
        <v>4</v>
      </c>
      <c r="L1274" s="74"/>
      <c r="M1274" s="77" t="str">
        <f>IF(Main[[#This Row],[Tech Start Date]]&lt;1/1/1990,"",IF(Main[[#This Row],[Class]]="C",WORKDAY(Main[[#This Row],[Tech Start Date]],9),IF(Main[[#This Row],[Class]]="B", WORKDAY(Main[[#This Row],[Tech Start Date]],6),IF(Main[[#This Row],[Class]]="A",WORKDAY(Main[[#This Row],[Tech Start Date]],2),""))))</f>
        <v/>
      </c>
      <c r="N1274" s="77" t="str">
        <f>IF(Main[[#This Row],[Tech Start Date]]&lt;1/1/1990,"",IF(Main[[#This Row],[Class]]="C",WORKDAY(Main[[#This Row],[Tech Start Date]],19),IF(Main[[#This Row],[Class]]="B", WORKDAY(Main[[#This Row],[Tech Start Date]],12),IF(Main[[#This Row],[Class]]="A",WORKDAY(Main[[#This Row],[Tech Start Date]],4),""))))</f>
        <v/>
      </c>
      <c r="O1274" s="77" t="str">
        <f>IF(Main[[#This Row],[Tech Start Date]]&lt;1/1/1990,"",IF(Main[[#This Row],[Class]]="C",WORKDAY(Main[[#This Row],[Tech Start Date]],23),IF(Main[[#This Row],[Class]]="B", WORKDAY(Main[[#This Row],[Tech Start Date]],15),IF(Main[[#This Row],[Class]]="A",WORKDAY(Main[[#This Row],[Tech Start Date]],5),""))))</f>
        <v/>
      </c>
      <c r="P1274" s="77" t="str">
        <f>IF(Main[[#This Row],[Tech Start Date]]&lt;1/1/1990,"",IF(Main[[#This Row],[Class]]="C",WORKDAY(Main[[#This Row],[Tech Start Date]],28),IF(Main[[#This Row],[Class]]="B", WORKDAY(Main[[#This Row],[Tech Start Date]],19),IF(Main[[#This Row],[Class]]="A",WORKDAY(Main[[#This Row],[Tech Start Date]],9),""))))</f>
        <v/>
      </c>
      <c r="Q1274" s="74">
        <v>40965</v>
      </c>
      <c r="R1274" s="74"/>
      <c r="S1274" s="72" t="s">
        <v>11</v>
      </c>
      <c r="T1274" s="80" t="s">
        <v>4</v>
      </c>
      <c r="U1274" s="72" t="s">
        <v>12</v>
      </c>
      <c r="V1274" s="72" t="s">
        <v>1918</v>
      </c>
      <c r="W1274" s="72" t="s">
        <v>1923</v>
      </c>
      <c r="X1274" s="72" t="s">
        <v>2849</v>
      </c>
      <c r="Y1274" s="72" t="s">
        <v>4</v>
      </c>
      <c r="Z1274" s="72" t="s">
        <v>4</v>
      </c>
      <c r="AA1274" s="146" t="s">
        <v>2849</v>
      </c>
    </row>
    <row r="1275" spans="1:27" ht="18.600000000000001" customHeight="1">
      <c r="A1275" s="139" t="str">
        <f>IF(priority(Main[[#This Row],[Comments]])&lt;&gt;0, priority(Main[[#This Row],[Comments]]),"")</f>
        <v/>
      </c>
      <c r="B1275" s="89" t="s">
        <v>3305</v>
      </c>
      <c r="C1275" s="72" t="s">
        <v>4</v>
      </c>
      <c r="D1275" s="73" t="s">
        <v>3306</v>
      </c>
      <c r="E1275" s="74">
        <v>40934.462071759262</v>
      </c>
      <c r="F1275" s="74"/>
      <c r="G1275" s="75" t="str">
        <f>IF(stdProdLT(Main[[#This Row],[Comments]])=0.1,"N/A",IF(stdProdLT(Main[[#This Row],[Comments]])=0,"",stdProdLT(Main[[#This Row],[Comments]])))</f>
        <v/>
      </c>
      <c r="H1275" s="76" t="str">
        <f>IF(AND(Main[[#This Row],[In Stock Date]]&lt;&gt;"",Main[[#This Row],[Revised Due Date]]&lt;&gt;""),Main[[#This Row],[In Stock Date]]-Main[[#This Row],[Revised Due Date]],"")</f>
        <v/>
      </c>
      <c r="I1275" s="72" t="s">
        <v>4</v>
      </c>
      <c r="J1275" s="72" t="s">
        <v>4</v>
      </c>
      <c r="K1275" s="72" t="s">
        <v>4</v>
      </c>
      <c r="L1275" s="74"/>
      <c r="M1275" s="77" t="str">
        <f>IF(Main[[#This Row],[Tech Start Date]]&lt;1/1/1990,"",IF(Main[[#This Row],[Class]]="C",WORKDAY(Main[[#This Row],[Tech Start Date]],9),IF(Main[[#This Row],[Class]]="B", WORKDAY(Main[[#This Row],[Tech Start Date]],6),IF(Main[[#This Row],[Class]]="A",WORKDAY(Main[[#This Row],[Tech Start Date]],2),""))))</f>
        <v/>
      </c>
      <c r="N1275" s="77" t="str">
        <f>IF(Main[[#This Row],[Tech Start Date]]&lt;1/1/1990,"",IF(Main[[#This Row],[Class]]="C",WORKDAY(Main[[#This Row],[Tech Start Date]],19),IF(Main[[#This Row],[Class]]="B", WORKDAY(Main[[#This Row],[Tech Start Date]],12),IF(Main[[#This Row],[Class]]="A",WORKDAY(Main[[#This Row],[Tech Start Date]],4),""))))</f>
        <v/>
      </c>
      <c r="O1275" s="77" t="str">
        <f>IF(Main[[#This Row],[Tech Start Date]]&lt;1/1/1990,"",IF(Main[[#This Row],[Class]]="C",WORKDAY(Main[[#This Row],[Tech Start Date]],23),IF(Main[[#This Row],[Class]]="B", WORKDAY(Main[[#This Row],[Tech Start Date]],15),IF(Main[[#This Row],[Class]]="A",WORKDAY(Main[[#This Row],[Tech Start Date]],5),""))))</f>
        <v/>
      </c>
      <c r="P1275" s="77" t="str">
        <f>IF(Main[[#This Row],[Tech Start Date]]&lt;1/1/1990,"",IF(Main[[#This Row],[Class]]="C",WORKDAY(Main[[#This Row],[Tech Start Date]],28),IF(Main[[#This Row],[Class]]="B", WORKDAY(Main[[#This Row],[Tech Start Date]],19),IF(Main[[#This Row],[Class]]="A",WORKDAY(Main[[#This Row],[Tech Start Date]],9),""))))</f>
        <v/>
      </c>
      <c r="Q1275" s="74"/>
      <c r="R1275" s="74"/>
      <c r="S1275" s="72" t="s">
        <v>6</v>
      </c>
      <c r="T1275" s="80" t="s">
        <v>4</v>
      </c>
      <c r="U1275" s="72" t="s">
        <v>29</v>
      </c>
      <c r="V1275" s="72" t="s">
        <v>1917</v>
      </c>
      <c r="W1275" s="72" t="s">
        <v>1921</v>
      </c>
      <c r="X1275" s="72" t="s">
        <v>939</v>
      </c>
      <c r="Y1275" s="72" t="s">
        <v>2990</v>
      </c>
      <c r="Z1275" s="72" t="s">
        <v>4</v>
      </c>
      <c r="AA1275" s="146" t="s">
        <v>939</v>
      </c>
    </row>
    <row r="1276" spans="1:27" ht="18.600000000000001" customHeight="1">
      <c r="A1276" s="139" t="str">
        <f>IF(priority(Main[[#This Row],[Comments]])&lt;&gt;0, priority(Main[[#This Row],[Comments]]),"")</f>
        <v/>
      </c>
      <c r="B1276" s="89" t="s">
        <v>1744</v>
      </c>
      <c r="C1276" s="72" t="s">
        <v>37</v>
      </c>
      <c r="D1276" s="73" t="s">
        <v>2586</v>
      </c>
      <c r="E1276" s="74">
        <v>40682.487210648149</v>
      </c>
      <c r="F1276" s="74"/>
      <c r="G1276" s="75" t="str">
        <f>IF(stdProdLT(Main[[#This Row],[Comments]])=0.1,"N/A",IF(stdProdLT(Main[[#This Row],[Comments]])=0,"",stdProdLT(Main[[#This Row],[Comments]])))</f>
        <v/>
      </c>
      <c r="H1276" s="76" t="str">
        <f>IF(AND(Main[[#This Row],[In Stock Date]]&lt;&gt;"",Main[[#This Row],[Revised Due Date]]&lt;&gt;""),Main[[#This Row],[In Stock Date]]-Main[[#This Row],[Revised Due Date]],"")</f>
        <v/>
      </c>
      <c r="I1276" s="72" t="s">
        <v>4</v>
      </c>
      <c r="J1276" s="72" t="s">
        <v>4</v>
      </c>
      <c r="K1276" s="72" t="s">
        <v>4</v>
      </c>
      <c r="L1276" s="74"/>
      <c r="M1276" s="77" t="str">
        <f>IF(Main[[#This Row],[Tech Start Date]]&lt;1/1/1990,"",IF(Main[[#This Row],[Class]]="C",WORKDAY(Main[[#This Row],[Tech Start Date]],9),IF(Main[[#This Row],[Class]]="B", WORKDAY(Main[[#This Row],[Tech Start Date]],6),IF(Main[[#This Row],[Class]]="A",WORKDAY(Main[[#This Row],[Tech Start Date]],2),""))))</f>
        <v/>
      </c>
      <c r="N1276" s="77" t="str">
        <f>IF(Main[[#This Row],[Tech Start Date]]&lt;1/1/1990,"",IF(Main[[#This Row],[Class]]="C",WORKDAY(Main[[#This Row],[Tech Start Date]],19),IF(Main[[#This Row],[Class]]="B", WORKDAY(Main[[#This Row],[Tech Start Date]],12),IF(Main[[#This Row],[Class]]="A",WORKDAY(Main[[#This Row],[Tech Start Date]],4),""))))</f>
        <v/>
      </c>
      <c r="O1276" s="77" t="str">
        <f>IF(Main[[#This Row],[Tech Start Date]]&lt;1/1/1990,"",IF(Main[[#This Row],[Class]]="C",WORKDAY(Main[[#This Row],[Tech Start Date]],23),IF(Main[[#This Row],[Class]]="B", WORKDAY(Main[[#This Row],[Tech Start Date]],15),IF(Main[[#This Row],[Class]]="A",WORKDAY(Main[[#This Row],[Tech Start Date]],5),""))))</f>
        <v/>
      </c>
      <c r="P1276" s="77" t="str">
        <f>IF(Main[[#This Row],[Tech Start Date]]&lt;1/1/1990,"",IF(Main[[#This Row],[Class]]="C",WORKDAY(Main[[#This Row],[Tech Start Date]],28),IF(Main[[#This Row],[Class]]="B", WORKDAY(Main[[#This Row],[Tech Start Date]],19),IF(Main[[#This Row],[Class]]="A",WORKDAY(Main[[#This Row],[Tech Start Date]],9),""))))</f>
        <v/>
      </c>
      <c r="Q1276" s="74">
        <v>40701</v>
      </c>
      <c r="R1276" s="74"/>
      <c r="S1276" s="72" t="s">
        <v>6</v>
      </c>
      <c r="T1276" s="80" t="s">
        <v>4</v>
      </c>
      <c r="U1276" s="72" t="s">
        <v>7</v>
      </c>
      <c r="V1276" s="72" t="s">
        <v>1917</v>
      </c>
      <c r="W1276" s="72" t="s">
        <v>1928</v>
      </c>
      <c r="X1276" s="72" t="s">
        <v>972</v>
      </c>
      <c r="Y1276" s="72" t="s">
        <v>3103</v>
      </c>
      <c r="Z1276" s="72" t="s">
        <v>4</v>
      </c>
      <c r="AA1276" s="146" t="s">
        <v>972</v>
      </c>
    </row>
    <row r="1277" spans="1:27" ht="18.600000000000001" customHeight="1">
      <c r="A1277" s="139" t="str">
        <f>IF(priority(Main[[#This Row],[Comments]])&lt;&gt;0, priority(Main[[#This Row],[Comments]]),"")</f>
        <v/>
      </c>
      <c r="B1277" s="89" t="s">
        <v>1628</v>
      </c>
      <c r="C1277" s="72" t="s">
        <v>4</v>
      </c>
      <c r="D1277" s="73" t="s">
        <v>702</v>
      </c>
      <c r="E1277" s="74">
        <v>40218.669039351851</v>
      </c>
      <c r="F1277" s="74"/>
      <c r="G1277" s="75" t="str">
        <f>IF(stdProdLT(Main[[#This Row],[Comments]])=0.1,"N/A",IF(stdProdLT(Main[[#This Row],[Comments]])=0,"",stdProdLT(Main[[#This Row],[Comments]])))</f>
        <v/>
      </c>
      <c r="H1277" s="76" t="str">
        <f>IF(AND(Main[[#This Row],[In Stock Date]]&lt;&gt;"",Main[[#This Row],[Revised Due Date]]&lt;&gt;""),Main[[#This Row],[In Stock Date]]-Main[[#This Row],[Revised Due Date]],"")</f>
        <v/>
      </c>
      <c r="I1277" s="72" t="s">
        <v>4</v>
      </c>
      <c r="J1277" s="72" t="s">
        <v>4</v>
      </c>
      <c r="K1277" s="72" t="s">
        <v>4</v>
      </c>
      <c r="L1277" s="74"/>
      <c r="M1277" s="77" t="str">
        <f>IF(Main[[#This Row],[Tech Start Date]]&lt;1/1/1990,"",IF(Main[[#This Row],[Class]]="C",WORKDAY(Main[[#This Row],[Tech Start Date]],9),IF(Main[[#This Row],[Class]]="B", WORKDAY(Main[[#This Row],[Tech Start Date]],6),IF(Main[[#This Row],[Class]]="A",WORKDAY(Main[[#This Row],[Tech Start Date]],2),""))))</f>
        <v/>
      </c>
      <c r="N1277" s="77" t="str">
        <f>IF(Main[[#This Row],[Tech Start Date]]&lt;1/1/1990,"",IF(Main[[#This Row],[Class]]="C",WORKDAY(Main[[#This Row],[Tech Start Date]],19),IF(Main[[#This Row],[Class]]="B", WORKDAY(Main[[#This Row],[Tech Start Date]],12),IF(Main[[#This Row],[Class]]="A",WORKDAY(Main[[#This Row],[Tech Start Date]],4),""))))</f>
        <v/>
      </c>
      <c r="O1277" s="77" t="str">
        <f>IF(Main[[#This Row],[Tech Start Date]]&lt;1/1/1990,"",IF(Main[[#This Row],[Class]]="C",WORKDAY(Main[[#This Row],[Tech Start Date]],23),IF(Main[[#This Row],[Class]]="B", WORKDAY(Main[[#This Row],[Tech Start Date]],15),IF(Main[[#This Row],[Class]]="A",WORKDAY(Main[[#This Row],[Tech Start Date]],5),""))))</f>
        <v/>
      </c>
      <c r="P1277" s="77" t="str">
        <f>IF(Main[[#This Row],[Tech Start Date]]&lt;1/1/1990,"",IF(Main[[#This Row],[Class]]="C",WORKDAY(Main[[#This Row],[Tech Start Date]],28),IF(Main[[#This Row],[Class]]="B", WORKDAY(Main[[#This Row],[Tech Start Date]],19),IF(Main[[#This Row],[Class]]="A",WORKDAY(Main[[#This Row],[Tech Start Date]],9),""))))</f>
        <v/>
      </c>
      <c r="Q1277" s="74">
        <v>40237</v>
      </c>
      <c r="R1277" s="74"/>
      <c r="S1277" s="72" t="s">
        <v>17</v>
      </c>
      <c r="T1277" s="80" t="s">
        <v>4</v>
      </c>
      <c r="U1277" s="72" t="s">
        <v>29</v>
      </c>
      <c r="V1277" s="72" t="s">
        <v>1920</v>
      </c>
      <c r="W1277" s="72" t="s">
        <v>4</v>
      </c>
      <c r="X1277" s="72" t="s">
        <v>654</v>
      </c>
      <c r="Y1277" s="72" t="s">
        <v>3132</v>
      </c>
      <c r="Z1277" s="72" t="s">
        <v>4</v>
      </c>
      <c r="AA1277" s="146" t="s">
        <v>654</v>
      </c>
    </row>
    <row r="1278" spans="1:27" ht="18.600000000000001" customHeight="1">
      <c r="A1278" s="139" t="str">
        <f>IF(priority(Main[[#This Row],[Comments]])&lt;&gt;0, priority(Main[[#This Row],[Comments]]),"")</f>
        <v/>
      </c>
      <c r="B1278" s="89" t="s">
        <v>1832</v>
      </c>
      <c r="C1278" s="72" t="s">
        <v>4</v>
      </c>
      <c r="D1278" s="73" t="s">
        <v>883</v>
      </c>
      <c r="E1278" s="74">
        <v>40284.719155092593</v>
      </c>
      <c r="F1278" s="74"/>
      <c r="G1278" s="75" t="str">
        <f>IF(stdProdLT(Main[[#This Row],[Comments]])=0.1,"N/A",IF(stdProdLT(Main[[#This Row],[Comments]])=0,"",stdProdLT(Main[[#This Row],[Comments]])))</f>
        <v/>
      </c>
      <c r="H1278" s="76" t="str">
        <f>IF(AND(Main[[#This Row],[In Stock Date]]&lt;&gt;"",Main[[#This Row],[Revised Due Date]]&lt;&gt;""),Main[[#This Row],[In Stock Date]]-Main[[#This Row],[Revised Due Date]],"")</f>
        <v/>
      </c>
      <c r="I1278" s="72" t="s">
        <v>4</v>
      </c>
      <c r="J1278" s="72" t="s">
        <v>52</v>
      </c>
      <c r="K1278" s="72" t="s">
        <v>1929</v>
      </c>
      <c r="L1278" s="74"/>
      <c r="M1278" s="77" t="str">
        <f>IF(Main[[#This Row],[Tech Start Date]]&lt;1/1/1990,"",IF(Main[[#This Row],[Class]]="C",WORKDAY(Main[[#This Row],[Tech Start Date]],9),IF(Main[[#This Row],[Class]]="B", WORKDAY(Main[[#This Row],[Tech Start Date]],6),IF(Main[[#This Row],[Class]]="A",WORKDAY(Main[[#This Row],[Tech Start Date]],2),""))))</f>
        <v/>
      </c>
      <c r="N1278" s="77" t="str">
        <f>IF(Main[[#This Row],[Tech Start Date]]&lt;1/1/1990,"",IF(Main[[#This Row],[Class]]="C",WORKDAY(Main[[#This Row],[Tech Start Date]],19),IF(Main[[#This Row],[Class]]="B", WORKDAY(Main[[#This Row],[Tech Start Date]],12),IF(Main[[#This Row],[Class]]="A",WORKDAY(Main[[#This Row],[Tech Start Date]],4),""))))</f>
        <v/>
      </c>
      <c r="O1278" s="77" t="str">
        <f>IF(Main[[#This Row],[Tech Start Date]]&lt;1/1/1990,"",IF(Main[[#This Row],[Class]]="C",WORKDAY(Main[[#This Row],[Tech Start Date]],23),IF(Main[[#This Row],[Class]]="B", WORKDAY(Main[[#This Row],[Tech Start Date]],15),IF(Main[[#This Row],[Class]]="A",WORKDAY(Main[[#This Row],[Tech Start Date]],5),""))))</f>
        <v/>
      </c>
      <c r="P1278" s="77" t="str">
        <f>IF(Main[[#This Row],[Tech Start Date]]&lt;1/1/1990,"",IF(Main[[#This Row],[Class]]="C",WORKDAY(Main[[#This Row],[Tech Start Date]],28),IF(Main[[#This Row],[Class]]="B", WORKDAY(Main[[#This Row],[Tech Start Date]],19),IF(Main[[#This Row],[Class]]="A",WORKDAY(Main[[#This Row],[Tech Start Date]],9),""))))</f>
        <v/>
      </c>
      <c r="Q1278" s="74">
        <v>40389</v>
      </c>
      <c r="R1278" s="74">
        <v>40403</v>
      </c>
      <c r="S1278" s="72" t="s">
        <v>17</v>
      </c>
      <c r="T1278" s="80" t="s">
        <v>4</v>
      </c>
      <c r="U1278" s="72" t="s">
        <v>29</v>
      </c>
      <c r="V1278" s="72" t="s">
        <v>1917</v>
      </c>
      <c r="W1278" s="72" t="s">
        <v>1931</v>
      </c>
      <c r="X1278" s="72" t="s">
        <v>2827</v>
      </c>
      <c r="Y1278" s="72" t="s">
        <v>2942</v>
      </c>
      <c r="Z1278" s="72" t="s">
        <v>129</v>
      </c>
      <c r="AA1278" s="146" t="s">
        <v>2827</v>
      </c>
    </row>
    <row r="1279" spans="1:27" ht="18.600000000000001" customHeight="1">
      <c r="A1279" s="139" t="str">
        <f>IF(priority(Main[[#This Row],[Comments]])&lt;&gt;0, priority(Main[[#This Row],[Comments]]),"")</f>
        <v/>
      </c>
      <c r="B1279" s="89" t="s">
        <v>1505</v>
      </c>
      <c r="C1279" s="72" t="s">
        <v>578</v>
      </c>
      <c r="D1279" s="73" t="s">
        <v>2587</v>
      </c>
      <c r="E1279" s="74"/>
      <c r="F1279" s="74"/>
      <c r="G1279" s="75" t="str">
        <f>IF(stdProdLT(Main[[#This Row],[Comments]])=0.1,"N/A",IF(stdProdLT(Main[[#This Row],[Comments]])=0,"",stdProdLT(Main[[#This Row],[Comments]])))</f>
        <v/>
      </c>
      <c r="H1279" s="76" t="str">
        <f>IF(AND(Main[[#This Row],[In Stock Date]]&lt;&gt;"",Main[[#This Row],[Revised Due Date]]&lt;&gt;""),Main[[#This Row],[In Stock Date]]-Main[[#This Row],[Revised Due Date]],"")</f>
        <v/>
      </c>
      <c r="I1279" s="72" t="s">
        <v>4</v>
      </c>
      <c r="J1279" s="72" t="s">
        <v>28</v>
      </c>
      <c r="K1279" s="72" t="s">
        <v>1924</v>
      </c>
      <c r="L1279" s="74"/>
      <c r="M1279" s="77" t="str">
        <f>IF(Main[[#This Row],[Tech Start Date]]&lt;1/1/1990,"",IF(Main[[#This Row],[Class]]="C",WORKDAY(Main[[#This Row],[Tech Start Date]],9),IF(Main[[#This Row],[Class]]="B", WORKDAY(Main[[#This Row],[Tech Start Date]],6),IF(Main[[#This Row],[Class]]="A",WORKDAY(Main[[#This Row],[Tech Start Date]],2),""))))</f>
        <v/>
      </c>
      <c r="N1279" s="77" t="str">
        <f>IF(Main[[#This Row],[Tech Start Date]]&lt;1/1/1990,"",IF(Main[[#This Row],[Class]]="C",WORKDAY(Main[[#This Row],[Tech Start Date]],19),IF(Main[[#This Row],[Class]]="B", WORKDAY(Main[[#This Row],[Tech Start Date]],12),IF(Main[[#This Row],[Class]]="A",WORKDAY(Main[[#This Row],[Tech Start Date]],4),""))))</f>
        <v/>
      </c>
      <c r="O1279" s="77" t="str">
        <f>IF(Main[[#This Row],[Tech Start Date]]&lt;1/1/1990,"",IF(Main[[#This Row],[Class]]="C",WORKDAY(Main[[#This Row],[Tech Start Date]],23),IF(Main[[#This Row],[Class]]="B", WORKDAY(Main[[#This Row],[Tech Start Date]],15),IF(Main[[#This Row],[Class]]="A",WORKDAY(Main[[#This Row],[Tech Start Date]],5),""))))</f>
        <v/>
      </c>
      <c r="P1279" s="77" t="str">
        <f>IF(Main[[#This Row],[Tech Start Date]]&lt;1/1/1990,"",IF(Main[[#This Row],[Class]]="C",WORKDAY(Main[[#This Row],[Tech Start Date]],28),IF(Main[[#This Row],[Class]]="B", WORKDAY(Main[[#This Row],[Tech Start Date]],19),IF(Main[[#This Row],[Class]]="A",WORKDAY(Main[[#This Row],[Tech Start Date]],9),""))))</f>
        <v/>
      </c>
      <c r="Q1279" s="74">
        <v>40486</v>
      </c>
      <c r="R1279" s="74"/>
      <c r="S1279" s="72" t="s">
        <v>6</v>
      </c>
      <c r="T1279" s="80" t="s">
        <v>4</v>
      </c>
      <c r="U1279" s="72" t="s">
        <v>14</v>
      </c>
      <c r="V1279" s="72" t="s">
        <v>1917</v>
      </c>
      <c r="W1279" s="72" t="s">
        <v>1921</v>
      </c>
      <c r="X1279" s="72" t="s">
        <v>2827</v>
      </c>
      <c r="Y1279" s="72" t="s">
        <v>2942</v>
      </c>
      <c r="Z1279" s="72" t="s">
        <v>129</v>
      </c>
      <c r="AA1279" s="146" t="s">
        <v>2827</v>
      </c>
    </row>
    <row r="1280" spans="1:27" ht="18.600000000000001" customHeight="1">
      <c r="A1280" s="139" t="str">
        <f>IF(priority(Main[[#This Row],[Comments]])&lt;&gt;0, priority(Main[[#This Row],[Comments]]),"")</f>
        <v/>
      </c>
      <c r="B1280" s="89" t="s">
        <v>2094</v>
      </c>
      <c r="C1280" s="72" t="s">
        <v>4</v>
      </c>
      <c r="D1280" s="73" t="s">
        <v>2588</v>
      </c>
      <c r="E1280" s="74">
        <v>40760.553842592592</v>
      </c>
      <c r="F1280" s="74"/>
      <c r="G1280" s="75" t="str">
        <f>IF(stdProdLT(Main[[#This Row],[Comments]])=0.1,"N/A",IF(stdProdLT(Main[[#This Row],[Comments]])=0,"",stdProdLT(Main[[#This Row],[Comments]])))</f>
        <v/>
      </c>
      <c r="H1280" s="76" t="str">
        <f>IF(AND(Main[[#This Row],[In Stock Date]]&lt;&gt;"",Main[[#This Row],[Revised Due Date]]&lt;&gt;""),Main[[#This Row],[In Stock Date]]-Main[[#This Row],[Revised Due Date]],"")</f>
        <v/>
      </c>
      <c r="I1280" s="72" t="s">
        <v>4</v>
      </c>
      <c r="J1280" s="72" t="s">
        <v>4</v>
      </c>
      <c r="K1280" s="72" t="s">
        <v>4</v>
      </c>
      <c r="L1280" s="74"/>
      <c r="M1280" s="77" t="str">
        <f>IF(Main[[#This Row],[Tech Start Date]]&lt;1/1/1990,"",IF(Main[[#This Row],[Class]]="C",WORKDAY(Main[[#This Row],[Tech Start Date]],9),IF(Main[[#This Row],[Class]]="B", WORKDAY(Main[[#This Row],[Tech Start Date]],6),IF(Main[[#This Row],[Class]]="A",WORKDAY(Main[[#This Row],[Tech Start Date]],2),""))))</f>
        <v/>
      </c>
      <c r="N1280" s="77" t="str">
        <f>IF(Main[[#This Row],[Tech Start Date]]&lt;1/1/1990,"",IF(Main[[#This Row],[Class]]="C",WORKDAY(Main[[#This Row],[Tech Start Date]],19),IF(Main[[#This Row],[Class]]="B", WORKDAY(Main[[#This Row],[Tech Start Date]],12),IF(Main[[#This Row],[Class]]="A",WORKDAY(Main[[#This Row],[Tech Start Date]],4),""))))</f>
        <v/>
      </c>
      <c r="O1280" s="77" t="str">
        <f>IF(Main[[#This Row],[Tech Start Date]]&lt;1/1/1990,"",IF(Main[[#This Row],[Class]]="C",WORKDAY(Main[[#This Row],[Tech Start Date]],23),IF(Main[[#This Row],[Class]]="B", WORKDAY(Main[[#This Row],[Tech Start Date]],15),IF(Main[[#This Row],[Class]]="A",WORKDAY(Main[[#This Row],[Tech Start Date]],5),""))))</f>
        <v/>
      </c>
      <c r="P1280" s="77" t="str">
        <f>IF(Main[[#This Row],[Tech Start Date]]&lt;1/1/1990,"",IF(Main[[#This Row],[Class]]="C",WORKDAY(Main[[#This Row],[Tech Start Date]],28),IF(Main[[#This Row],[Class]]="B", WORKDAY(Main[[#This Row],[Tech Start Date]],19),IF(Main[[#This Row],[Class]]="A",WORKDAY(Main[[#This Row],[Tech Start Date]],9),""))))</f>
        <v/>
      </c>
      <c r="Q1280" s="74"/>
      <c r="R1280" s="74"/>
      <c r="S1280" s="72" t="s">
        <v>6</v>
      </c>
      <c r="T1280" s="80" t="s">
        <v>4</v>
      </c>
      <c r="U1280" s="72" t="s">
        <v>7</v>
      </c>
      <c r="V1280" s="72" t="s">
        <v>1917</v>
      </c>
      <c r="W1280" s="72" t="s">
        <v>1921</v>
      </c>
      <c r="X1280" s="72" t="s">
        <v>306</v>
      </c>
      <c r="Y1280" s="72" t="s">
        <v>4</v>
      </c>
      <c r="Z1280" s="72" t="s">
        <v>4</v>
      </c>
      <c r="AA1280" s="146" t="s">
        <v>4</v>
      </c>
    </row>
    <row r="1281" spans="1:27" ht="18.600000000000001" customHeight="1">
      <c r="A1281" s="139" t="str">
        <f>IF(priority(Main[[#This Row],[Comments]])&lt;&gt;0, priority(Main[[#This Row],[Comments]]),"")</f>
        <v/>
      </c>
      <c r="B1281" s="89" t="s">
        <v>1114</v>
      </c>
      <c r="C1281" s="72" t="s">
        <v>161</v>
      </c>
      <c r="D1281" s="73" t="s">
        <v>162</v>
      </c>
      <c r="E1281" s="74"/>
      <c r="F1281" s="74">
        <v>40238</v>
      </c>
      <c r="G1281" s="75" t="str">
        <f>IF(stdProdLT(Main[[#This Row],[Comments]])=0.1,"N/A",IF(stdProdLT(Main[[#This Row],[Comments]])=0,"",stdProdLT(Main[[#This Row],[Comments]])))</f>
        <v/>
      </c>
      <c r="H1281" s="76" t="str">
        <f>IF(AND(Main[[#This Row],[In Stock Date]]&lt;&gt;"",Main[[#This Row],[Revised Due Date]]&lt;&gt;""),Main[[#This Row],[In Stock Date]]-Main[[#This Row],[Revised Due Date]],"")</f>
        <v/>
      </c>
      <c r="I1281" s="72" t="s">
        <v>4</v>
      </c>
      <c r="J1281" s="72" t="s">
        <v>4</v>
      </c>
      <c r="K1281" s="81" t="s">
        <v>4</v>
      </c>
      <c r="L1281" s="74"/>
      <c r="M1281" s="77" t="str">
        <f>IF(Main[[#This Row],[Tech Start Date]]&lt;1/1/1990,"",IF(Main[[#This Row],[Class]]="C",WORKDAY(Main[[#This Row],[Tech Start Date]],9),IF(Main[[#This Row],[Class]]="B", WORKDAY(Main[[#This Row],[Tech Start Date]],6),IF(Main[[#This Row],[Class]]="A",WORKDAY(Main[[#This Row],[Tech Start Date]],2),""))))</f>
        <v/>
      </c>
      <c r="N1281" s="77" t="str">
        <f>IF(Main[[#This Row],[Tech Start Date]]&lt;1/1/1990,"",IF(Main[[#This Row],[Class]]="C",WORKDAY(Main[[#This Row],[Tech Start Date]],19),IF(Main[[#This Row],[Class]]="B", WORKDAY(Main[[#This Row],[Tech Start Date]],12),IF(Main[[#This Row],[Class]]="A",WORKDAY(Main[[#This Row],[Tech Start Date]],4),""))))</f>
        <v/>
      </c>
      <c r="O1281" s="77" t="str">
        <f>IF(Main[[#This Row],[Tech Start Date]]&lt;1/1/1990,"",IF(Main[[#This Row],[Class]]="C",WORKDAY(Main[[#This Row],[Tech Start Date]],23),IF(Main[[#This Row],[Class]]="B", WORKDAY(Main[[#This Row],[Tech Start Date]],15),IF(Main[[#This Row],[Class]]="A",WORKDAY(Main[[#This Row],[Tech Start Date]],5),""))))</f>
        <v/>
      </c>
      <c r="P1281" s="77" t="str">
        <f>IF(Main[[#This Row],[Tech Start Date]]&lt;1/1/1990,"",IF(Main[[#This Row],[Class]]="C",WORKDAY(Main[[#This Row],[Tech Start Date]],28),IF(Main[[#This Row],[Class]]="B", WORKDAY(Main[[#This Row],[Tech Start Date]],19),IF(Main[[#This Row],[Class]]="A",WORKDAY(Main[[#This Row],[Tech Start Date]],9),""))))</f>
        <v/>
      </c>
      <c r="Q1281" s="74">
        <v>40167</v>
      </c>
      <c r="R1281" s="74"/>
      <c r="S1281" s="72" t="s">
        <v>17</v>
      </c>
      <c r="T1281" s="80" t="s">
        <v>4</v>
      </c>
      <c r="U1281" s="72" t="s">
        <v>14</v>
      </c>
      <c r="V1281" s="72" t="s">
        <v>1920</v>
      </c>
      <c r="W1281" s="72" t="s">
        <v>1925</v>
      </c>
      <c r="X1281" s="72" t="s">
        <v>50</v>
      </c>
      <c r="Y1281" s="72" t="s">
        <v>2949</v>
      </c>
      <c r="Z1281" s="72" t="s">
        <v>854</v>
      </c>
      <c r="AA1281" s="146" t="s">
        <v>2830</v>
      </c>
    </row>
    <row r="1282" spans="1:27" ht="18.600000000000001" customHeight="1">
      <c r="A1282" s="139" t="str">
        <f>IF(priority(Main[[#This Row],[Comments]])&lt;&gt;0, priority(Main[[#This Row],[Comments]]),"")</f>
        <v/>
      </c>
      <c r="B1282" s="89" t="s">
        <v>3196</v>
      </c>
      <c r="C1282" s="72" t="s">
        <v>31</v>
      </c>
      <c r="D1282" s="73" t="s">
        <v>3197</v>
      </c>
      <c r="E1282" s="74"/>
      <c r="F1282" s="74">
        <v>41122</v>
      </c>
      <c r="G1282" s="75" t="str">
        <f>IF(stdProdLT(Main[[#This Row],[Comments]])=0.1,"N/A",IF(stdProdLT(Main[[#This Row],[Comments]])=0,"",stdProdLT(Main[[#This Row],[Comments]])))</f>
        <v/>
      </c>
      <c r="H1282" s="76" t="str">
        <f>IF(AND(Main[[#This Row],[In Stock Date]]&lt;&gt;"",Main[[#This Row],[Revised Due Date]]&lt;&gt;""),Main[[#This Row],[In Stock Date]]-Main[[#This Row],[Revised Due Date]],"")</f>
        <v/>
      </c>
      <c r="I1282" s="72" t="s">
        <v>4</v>
      </c>
      <c r="J1282" s="72" t="s">
        <v>4</v>
      </c>
      <c r="K1282" s="72" t="s">
        <v>4</v>
      </c>
      <c r="L1282" s="74"/>
      <c r="M1282" s="77" t="str">
        <f>IF(Main[[#This Row],[Tech Start Date]]&lt;1/1/1990,"",IF(Main[[#This Row],[Class]]="C",WORKDAY(Main[[#This Row],[Tech Start Date]],9),IF(Main[[#This Row],[Class]]="B", WORKDAY(Main[[#This Row],[Tech Start Date]],6),IF(Main[[#This Row],[Class]]="A",WORKDAY(Main[[#This Row],[Tech Start Date]],2),""))))</f>
        <v/>
      </c>
      <c r="N1282" s="77" t="str">
        <f>IF(Main[[#This Row],[Tech Start Date]]&lt;1/1/1990,"",IF(Main[[#This Row],[Class]]="C",WORKDAY(Main[[#This Row],[Tech Start Date]],19),IF(Main[[#This Row],[Class]]="B", WORKDAY(Main[[#This Row],[Tech Start Date]],12),IF(Main[[#This Row],[Class]]="A",WORKDAY(Main[[#This Row],[Tech Start Date]],4),""))))</f>
        <v/>
      </c>
      <c r="O1282" s="77" t="str">
        <f>IF(Main[[#This Row],[Tech Start Date]]&lt;1/1/1990,"",IF(Main[[#This Row],[Class]]="C",WORKDAY(Main[[#This Row],[Tech Start Date]],23),IF(Main[[#This Row],[Class]]="B", WORKDAY(Main[[#This Row],[Tech Start Date]],15),IF(Main[[#This Row],[Class]]="A",WORKDAY(Main[[#This Row],[Tech Start Date]],5),""))))</f>
        <v/>
      </c>
      <c r="P1282" s="77" t="str">
        <f>IF(Main[[#This Row],[Tech Start Date]]&lt;1/1/1990,"",IF(Main[[#This Row],[Class]]="C",WORKDAY(Main[[#This Row],[Tech Start Date]],28),IF(Main[[#This Row],[Class]]="B", WORKDAY(Main[[#This Row],[Tech Start Date]],19),IF(Main[[#This Row],[Class]]="A",WORKDAY(Main[[#This Row],[Tech Start Date]],9),""))))</f>
        <v/>
      </c>
      <c r="Q1282" s="74">
        <v>40940</v>
      </c>
      <c r="R1282" s="74"/>
      <c r="S1282" s="72" t="s">
        <v>11</v>
      </c>
      <c r="T1282" s="80" t="s">
        <v>4</v>
      </c>
      <c r="U1282" s="72" t="s">
        <v>12</v>
      </c>
      <c r="V1282" s="72" t="s">
        <v>1920</v>
      </c>
      <c r="W1282" s="72" t="s">
        <v>1928</v>
      </c>
      <c r="X1282" s="72" t="s">
        <v>2852</v>
      </c>
      <c r="Y1282" s="72" t="s">
        <v>4</v>
      </c>
      <c r="Z1282" s="72" t="s">
        <v>4</v>
      </c>
      <c r="AA1282" s="146" t="s">
        <v>2852</v>
      </c>
    </row>
    <row r="1283" spans="1:27" ht="18.600000000000001" customHeight="1">
      <c r="A1283" s="139" t="str">
        <f>IF(priority(Main[[#This Row],[Comments]])&lt;&gt;0, priority(Main[[#This Row],[Comments]]),"")</f>
        <v/>
      </c>
      <c r="B1283" s="89" t="s">
        <v>3319</v>
      </c>
      <c r="C1283" s="72" t="s">
        <v>4</v>
      </c>
      <c r="D1283" s="73" t="s">
        <v>3320</v>
      </c>
      <c r="E1283" s="74">
        <v>40933.744606481479</v>
      </c>
      <c r="F1283" s="74"/>
      <c r="G1283" s="75" t="str">
        <f>IF(stdProdLT(Main[[#This Row],[Comments]])=0.1,"N/A",IF(stdProdLT(Main[[#This Row],[Comments]])=0,"",stdProdLT(Main[[#This Row],[Comments]])))</f>
        <v/>
      </c>
      <c r="H1283" s="76" t="str">
        <f>IF(AND(Main[[#This Row],[In Stock Date]]&lt;&gt;"",Main[[#This Row],[Revised Due Date]]&lt;&gt;""),Main[[#This Row],[In Stock Date]]-Main[[#This Row],[Revised Due Date]],"")</f>
        <v/>
      </c>
      <c r="I1283" s="72" t="s">
        <v>4</v>
      </c>
      <c r="J1283" s="72" t="s">
        <v>28</v>
      </c>
      <c r="K1283" s="72" t="s">
        <v>1926</v>
      </c>
      <c r="L1283" s="74"/>
      <c r="M1283" s="77" t="str">
        <f>IF(Main[[#This Row],[Tech Start Date]]&lt;1/1/1990,"",IF(Main[[#This Row],[Class]]="C",WORKDAY(Main[[#This Row],[Tech Start Date]],9),IF(Main[[#This Row],[Class]]="B", WORKDAY(Main[[#This Row],[Tech Start Date]],6),IF(Main[[#This Row],[Class]]="A",WORKDAY(Main[[#This Row],[Tech Start Date]],2),""))))</f>
        <v/>
      </c>
      <c r="N1283" s="77" t="str">
        <f>IF(Main[[#This Row],[Tech Start Date]]&lt;1/1/1990,"",IF(Main[[#This Row],[Class]]="C",WORKDAY(Main[[#This Row],[Tech Start Date]],19),IF(Main[[#This Row],[Class]]="B", WORKDAY(Main[[#This Row],[Tech Start Date]],12),IF(Main[[#This Row],[Class]]="A",WORKDAY(Main[[#This Row],[Tech Start Date]],4),""))))</f>
        <v/>
      </c>
      <c r="O1283" s="77" t="str">
        <f>IF(Main[[#This Row],[Tech Start Date]]&lt;1/1/1990,"",IF(Main[[#This Row],[Class]]="C",WORKDAY(Main[[#This Row],[Tech Start Date]],23),IF(Main[[#This Row],[Class]]="B", WORKDAY(Main[[#This Row],[Tech Start Date]],15),IF(Main[[#This Row],[Class]]="A",WORKDAY(Main[[#This Row],[Tech Start Date]],5),""))))</f>
        <v/>
      </c>
      <c r="P1283" s="77" t="str">
        <f>IF(Main[[#This Row],[Tech Start Date]]&lt;1/1/1990,"",IF(Main[[#This Row],[Class]]="C",WORKDAY(Main[[#This Row],[Tech Start Date]],28),IF(Main[[#This Row],[Class]]="B", WORKDAY(Main[[#This Row],[Tech Start Date]],19),IF(Main[[#This Row],[Class]]="A",WORKDAY(Main[[#This Row],[Tech Start Date]],9),""))))</f>
        <v/>
      </c>
      <c r="Q1283" s="74">
        <v>40934</v>
      </c>
      <c r="R1283" s="74"/>
      <c r="S1283" s="72" t="s">
        <v>6</v>
      </c>
      <c r="T1283" s="80" t="s">
        <v>4</v>
      </c>
      <c r="U1283" s="72" t="s">
        <v>29</v>
      </c>
      <c r="V1283" s="72" t="s">
        <v>1917</v>
      </c>
      <c r="W1283" s="72" t="s">
        <v>1921</v>
      </c>
      <c r="X1283" s="72" t="s">
        <v>2901</v>
      </c>
      <c r="Y1283" s="72" t="s">
        <v>3066</v>
      </c>
      <c r="Z1283" s="72" t="s">
        <v>4</v>
      </c>
      <c r="AA1283" s="146" t="s">
        <v>2901</v>
      </c>
    </row>
    <row r="1284" spans="1:27" ht="18.600000000000001" customHeight="1">
      <c r="A1284" s="139" t="str">
        <f>IF(priority(Main[[#This Row],[Comments]])&lt;&gt;0, priority(Main[[#This Row],[Comments]]),"")</f>
        <v/>
      </c>
      <c r="B1284" s="89" t="s">
        <v>3585</v>
      </c>
      <c r="C1284" s="72" t="s">
        <v>4</v>
      </c>
      <c r="D1284" s="73" t="s">
        <v>3761</v>
      </c>
      <c r="E1284" s="74">
        <v>40952.339131944442</v>
      </c>
      <c r="F1284" s="74"/>
      <c r="G1284" s="75" t="str">
        <f>IF(stdProdLT(Main[[#This Row],[Comments]])=0.1,"N/A",IF(stdProdLT(Main[[#This Row],[Comments]])=0,"",stdProdLT(Main[[#This Row],[Comments]])))</f>
        <v/>
      </c>
      <c r="H1284" s="76" t="str">
        <f>IF(AND(Main[[#This Row],[In Stock Date]]&lt;&gt;"",Main[[#This Row],[Revised Due Date]]&lt;&gt;""),Main[[#This Row],[In Stock Date]]-Main[[#This Row],[Revised Due Date]],"")</f>
        <v/>
      </c>
      <c r="I1284" s="72" t="s">
        <v>69</v>
      </c>
      <c r="J1284" s="72" t="s">
        <v>70</v>
      </c>
      <c r="K1284" s="72" t="s">
        <v>1926</v>
      </c>
      <c r="L1284" s="74"/>
      <c r="M1284" s="77" t="str">
        <f>IF(Main[[#This Row],[Tech Start Date]]&lt;1/1/1990,"",IF(Main[[#This Row],[Class]]="C",WORKDAY(Main[[#This Row],[Tech Start Date]],9),IF(Main[[#This Row],[Class]]="B", WORKDAY(Main[[#This Row],[Tech Start Date]],6),IF(Main[[#This Row],[Class]]="A",WORKDAY(Main[[#This Row],[Tech Start Date]],2),""))))</f>
        <v/>
      </c>
      <c r="N1284" s="77" t="str">
        <f>IF(Main[[#This Row],[Tech Start Date]]&lt;1/1/1990,"",IF(Main[[#This Row],[Class]]="C",WORKDAY(Main[[#This Row],[Tech Start Date]],19),IF(Main[[#This Row],[Class]]="B", WORKDAY(Main[[#This Row],[Tech Start Date]],12),IF(Main[[#This Row],[Class]]="A",WORKDAY(Main[[#This Row],[Tech Start Date]],4),""))))</f>
        <v/>
      </c>
      <c r="O1284" s="77" t="str">
        <f>IF(Main[[#This Row],[Tech Start Date]]&lt;1/1/1990,"",IF(Main[[#This Row],[Class]]="C",WORKDAY(Main[[#This Row],[Tech Start Date]],23),IF(Main[[#This Row],[Class]]="B", WORKDAY(Main[[#This Row],[Tech Start Date]],15),IF(Main[[#This Row],[Class]]="A",WORKDAY(Main[[#This Row],[Tech Start Date]],5),""))))</f>
        <v/>
      </c>
      <c r="P1284" s="77" t="str">
        <f>IF(Main[[#This Row],[Tech Start Date]]&lt;1/1/1990,"",IF(Main[[#This Row],[Class]]="C",WORKDAY(Main[[#This Row],[Tech Start Date]],28),IF(Main[[#This Row],[Class]]="B", WORKDAY(Main[[#This Row],[Tech Start Date]],19),IF(Main[[#This Row],[Class]]="A",WORKDAY(Main[[#This Row],[Tech Start Date]],9),""))))</f>
        <v/>
      </c>
      <c r="Q1284" s="74">
        <v>40984</v>
      </c>
      <c r="R1284" s="74"/>
      <c r="S1284" s="72" t="s">
        <v>6</v>
      </c>
      <c r="T1284" s="80" t="s">
        <v>4</v>
      </c>
      <c r="U1284" s="72" t="s">
        <v>29</v>
      </c>
      <c r="V1284" s="72" t="s">
        <v>1920</v>
      </c>
      <c r="W1284" s="72" t="s">
        <v>1921</v>
      </c>
      <c r="X1284" s="72" t="s">
        <v>2909</v>
      </c>
      <c r="Y1284" s="72" t="s">
        <v>3089</v>
      </c>
      <c r="Z1284" s="72" t="s">
        <v>30</v>
      </c>
      <c r="AA1284" s="146" t="s">
        <v>2909</v>
      </c>
    </row>
    <row r="1285" spans="1:27" ht="18.600000000000001" customHeight="1">
      <c r="A1285" s="139" t="str">
        <f>IF(priority(Main[[#This Row],[Comments]])&lt;&gt;0, priority(Main[[#This Row],[Comments]]),"")</f>
        <v/>
      </c>
      <c r="B1285" s="89" t="s">
        <v>1851</v>
      </c>
      <c r="C1285" s="72" t="s">
        <v>4</v>
      </c>
      <c r="D1285" s="73" t="s">
        <v>906</v>
      </c>
      <c r="E1285" s="74">
        <v>39968.569513888891</v>
      </c>
      <c r="F1285" s="74">
        <v>40298</v>
      </c>
      <c r="G1285" s="75" t="str">
        <f>IF(stdProdLT(Main[[#This Row],[Comments]])=0.1,"N/A",IF(stdProdLT(Main[[#This Row],[Comments]])=0,"",stdProdLT(Main[[#This Row],[Comments]])))</f>
        <v/>
      </c>
      <c r="H1285" s="76">
        <f>IF(AND(Main[[#This Row],[In Stock Date]]&lt;&gt;"",Main[[#This Row],[Revised Due Date]]&lt;&gt;""),Main[[#This Row],[In Stock Date]]-Main[[#This Row],[Revised Due Date]],"")</f>
        <v>-704</v>
      </c>
      <c r="I1285" s="72" t="s">
        <v>976</v>
      </c>
      <c r="J1285" s="72" t="s">
        <v>4</v>
      </c>
      <c r="K1285" s="72" t="s">
        <v>1929</v>
      </c>
      <c r="L1285" s="74"/>
      <c r="M1285" s="77" t="str">
        <f>IF(Main[[#This Row],[Tech Start Date]]&lt;1/1/1990,"",IF(Main[[#This Row],[Class]]="C",WORKDAY(Main[[#This Row],[Tech Start Date]],9),IF(Main[[#This Row],[Class]]="B", WORKDAY(Main[[#This Row],[Tech Start Date]],6),IF(Main[[#This Row],[Class]]="A",WORKDAY(Main[[#This Row],[Tech Start Date]],2),""))))</f>
        <v/>
      </c>
      <c r="N1285" s="77" t="str">
        <f>IF(Main[[#This Row],[Tech Start Date]]&lt;1/1/1990,"",IF(Main[[#This Row],[Class]]="C",WORKDAY(Main[[#This Row],[Tech Start Date]],19),IF(Main[[#This Row],[Class]]="B", WORKDAY(Main[[#This Row],[Tech Start Date]],12),IF(Main[[#This Row],[Class]]="A",WORKDAY(Main[[#This Row],[Tech Start Date]],4),""))))</f>
        <v/>
      </c>
      <c r="O1285" s="77" t="str">
        <f>IF(Main[[#This Row],[Tech Start Date]]&lt;1/1/1990,"",IF(Main[[#This Row],[Class]]="C",WORKDAY(Main[[#This Row],[Tech Start Date]],23),IF(Main[[#This Row],[Class]]="B", WORKDAY(Main[[#This Row],[Tech Start Date]],15),IF(Main[[#This Row],[Class]]="A",WORKDAY(Main[[#This Row],[Tech Start Date]],5),""))))</f>
        <v/>
      </c>
      <c r="P1285" s="77" t="str">
        <f>IF(Main[[#This Row],[Tech Start Date]]&lt;1/1/1990,"",IF(Main[[#This Row],[Class]]="C",WORKDAY(Main[[#This Row],[Tech Start Date]],28),IF(Main[[#This Row],[Class]]="B", WORKDAY(Main[[#This Row],[Tech Start Date]],19),IF(Main[[#This Row],[Class]]="A",WORKDAY(Main[[#This Row],[Tech Start Date]],9),""))))</f>
        <v/>
      </c>
      <c r="Q1285" s="74">
        <v>40165</v>
      </c>
      <c r="R1285" s="74">
        <v>41002</v>
      </c>
      <c r="S1285" s="72" t="s">
        <v>17</v>
      </c>
      <c r="T1285" s="80" t="s">
        <v>4</v>
      </c>
      <c r="U1285" s="72" t="s">
        <v>29</v>
      </c>
      <c r="V1285" s="72" t="s">
        <v>1920</v>
      </c>
      <c r="W1285" s="72" t="s">
        <v>1922</v>
      </c>
      <c r="X1285" s="72" t="s">
        <v>970</v>
      </c>
      <c r="Y1285" s="72" t="s">
        <v>3121</v>
      </c>
      <c r="Z1285" s="72" t="s">
        <v>415</v>
      </c>
      <c r="AA1285" s="146" t="s">
        <v>970</v>
      </c>
    </row>
    <row r="1286" spans="1:27" ht="18.600000000000001" customHeight="1">
      <c r="A1286" s="139" t="str">
        <f>IF(priority(Main[[#This Row],[Comments]])&lt;&gt;0, priority(Main[[#This Row],[Comments]]),"")</f>
        <v/>
      </c>
      <c r="B1286" s="89" t="s">
        <v>2790</v>
      </c>
      <c r="C1286" s="72" t="s">
        <v>4</v>
      </c>
      <c r="D1286" s="73" t="s">
        <v>2791</v>
      </c>
      <c r="E1286" s="74">
        <v>40905.712777777779</v>
      </c>
      <c r="F1286" s="74"/>
      <c r="G1286" s="75" t="str">
        <f>IF(stdProdLT(Main[[#This Row],[Comments]])=0.1,"N/A",IF(stdProdLT(Main[[#This Row],[Comments]])=0,"",stdProdLT(Main[[#This Row],[Comments]])))</f>
        <v/>
      </c>
      <c r="H1286" s="76" t="str">
        <f>IF(AND(Main[[#This Row],[In Stock Date]]&lt;&gt;"",Main[[#This Row],[Revised Due Date]]&lt;&gt;""),Main[[#This Row],[In Stock Date]]-Main[[#This Row],[Revised Due Date]],"")</f>
        <v/>
      </c>
      <c r="I1286" s="72" t="s">
        <v>4</v>
      </c>
      <c r="J1286" s="72" t="s">
        <v>4</v>
      </c>
      <c r="K1286" s="72" t="s">
        <v>4</v>
      </c>
      <c r="L1286" s="74"/>
      <c r="M1286" s="77" t="str">
        <f>IF(Main[[#This Row],[Tech Start Date]]&lt;1/1/1990,"",IF(Main[[#This Row],[Class]]="C",WORKDAY(Main[[#This Row],[Tech Start Date]],9),IF(Main[[#This Row],[Class]]="B", WORKDAY(Main[[#This Row],[Tech Start Date]],6),IF(Main[[#This Row],[Class]]="A",WORKDAY(Main[[#This Row],[Tech Start Date]],2),""))))</f>
        <v/>
      </c>
      <c r="N1286" s="77" t="str">
        <f>IF(Main[[#This Row],[Tech Start Date]]&lt;1/1/1990,"",IF(Main[[#This Row],[Class]]="C",WORKDAY(Main[[#This Row],[Tech Start Date]],19),IF(Main[[#This Row],[Class]]="B", WORKDAY(Main[[#This Row],[Tech Start Date]],12),IF(Main[[#This Row],[Class]]="A",WORKDAY(Main[[#This Row],[Tech Start Date]],4),""))))</f>
        <v/>
      </c>
      <c r="O1286" s="77" t="str">
        <f>IF(Main[[#This Row],[Tech Start Date]]&lt;1/1/1990,"",IF(Main[[#This Row],[Class]]="C",WORKDAY(Main[[#This Row],[Tech Start Date]],23),IF(Main[[#This Row],[Class]]="B", WORKDAY(Main[[#This Row],[Tech Start Date]],15),IF(Main[[#This Row],[Class]]="A",WORKDAY(Main[[#This Row],[Tech Start Date]],5),""))))</f>
        <v/>
      </c>
      <c r="P1286" s="77" t="str">
        <f>IF(Main[[#This Row],[Tech Start Date]]&lt;1/1/1990,"",IF(Main[[#This Row],[Class]]="C",WORKDAY(Main[[#This Row],[Tech Start Date]],28),IF(Main[[#This Row],[Class]]="B", WORKDAY(Main[[#This Row],[Tech Start Date]],19),IF(Main[[#This Row],[Class]]="A",WORKDAY(Main[[#This Row],[Tech Start Date]],9),""))))</f>
        <v/>
      </c>
      <c r="Q1286" s="74">
        <v>40939</v>
      </c>
      <c r="R1286" s="74"/>
      <c r="S1286" s="72" t="s">
        <v>6</v>
      </c>
      <c r="T1286" s="80" t="s">
        <v>4</v>
      </c>
      <c r="U1286" s="72" t="s">
        <v>7</v>
      </c>
      <c r="V1286" s="72" t="s">
        <v>1917</v>
      </c>
      <c r="W1286" s="72" t="s">
        <v>4</v>
      </c>
      <c r="X1286" s="72" t="s">
        <v>2825</v>
      </c>
      <c r="Y1286" s="72" t="s">
        <v>2938</v>
      </c>
      <c r="Z1286" s="72" t="s">
        <v>4</v>
      </c>
      <c r="AA1286" s="146" t="s">
        <v>2825</v>
      </c>
    </row>
    <row r="1287" spans="1:27" ht="18.600000000000001" customHeight="1">
      <c r="A1287" s="139" t="str">
        <f>IF(priority(Main[[#This Row],[Comments]])&lt;&gt;0, priority(Main[[#This Row],[Comments]]),"")</f>
        <v/>
      </c>
      <c r="B1287" s="89" t="s">
        <v>2580</v>
      </c>
      <c r="C1287" s="72" t="s">
        <v>4</v>
      </c>
      <c r="D1287" s="73" t="s">
        <v>2792</v>
      </c>
      <c r="E1287" s="74">
        <v>40870.473611111112</v>
      </c>
      <c r="F1287" s="74"/>
      <c r="G1287" s="75" t="str">
        <f>IF(stdProdLT(Main[[#This Row],[Comments]])=0.1,"N/A",IF(stdProdLT(Main[[#This Row],[Comments]])=0,"",stdProdLT(Main[[#This Row],[Comments]])))</f>
        <v/>
      </c>
      <c r="H1287" s="76" t="str">
        <f>IF(AND(Main[[#This Row],[In Stock Date]]&lt;&gt;"",Main[[#This Row],[Revised Due Date]]&lt;&gt;""),Main[[#This Row],[In Stock Date]]-Main[[#This Row],[Revised Due Date]],"")</f>
        <v/>
      </c>
      <c r="I1287" s="72" t="s">
        <v>429</v>
      </c>
      <c r="J1287" s="72" t="s">
        <v>28</v>
      </c>
      <c r="K1287" s="72" t="s">
        <v>1926</v>
      </c>
      <c r="L1287" s="74"/>
      <c r="M1287" s="77" t="str">
        <f>IF(Main[[#This Row],[Tech Start Date]]&lt;1/1/1990,"",IF(Main[[#This Row],[Class]]="C",WORKDAY(Main[[#This Row],[Tech Start Date]],9),IF(Main[[#This Row],[Class]]="B", WORKDAY(Main[[#This Row],[Tech Start Date]],6),IF(Main[[#This Row],[Class]]="A",WORKDAY(Main[[#This Row],[Tech Start Date]],2),""))))</f>
        <v/>
      </c>
      <c r="N1287" s="77" t="str">
        <f>IF(Main[[#This Row],[Tech Start Date]]&lt;1/1/1990,"",IF(Main[[#This Row],[Class]]="C",WORKDAY(Main[[#This Row],[Tech Start Date]],19),IF(Main[[#This Row],[Class]]="B", WORKDAY(Main[[#This Row],[Tech Start Date]],12),IF(Main[[#This Row],[Class]]="A",WORKDAY(Main[[#This Row],[Tech Start Date]],4),""))))</f>
        <v/>
      </c>
      <c r="O1287" s="77" t="str">
        <f>IF(Main[[#This Row],[Tech Start Date]]&lt;1/1/1990,"",IF(Main[[#This Row],[Class]]="C",WORKDAY(Main[[#This Row],[Tech Start Date]],23),IF(Main[[#This Row],[Class]]="B", WORKDAY(Main[[#This Row],[Tech Start Date]],15),IF(Main[[#This Row],[Class]]="A",WORKDAY(Main[[#This Row],[Tech Start Date]],5),""))))</f>
        <v/>
      </c>
      <c r="P1287" s="77" t="str">
        <f>IF(Main[[#This Row],[Tech Start Date]]&lt;1/1/1990,"",IF(Main[[#This Row],[Class]]="C",WORKDAY(Main[[#This Row],[Tech Start Date]],28),IF(Main[[#This Row],[Class]]="B", WORKDAY(Main[[#This Row],[Tech Start Date]],19),IF(Main[[#This Row],[Class]]="A",WORKDAY(Main[[#This Row],[Tech Start Date]],9),""))))</f>
        <v/>
      </c>
      <c r="Q1287" s="74">
        <v>40905</v>
      </c>
      <c r="R1287" s="74"/>
      <c r="S1287" s="72" t="s">
        <v>6</v>
      </c>
      <c r="T1287" s="80" t="s">
        <v>4</v>
      </c>
      <c r="U1287" s="72" t="s">
        <v>29</v>
      </c>
      <c r="V1287" s="72" t="s">
        <v>1920</v>
      </c>
      <c r="W1287" s="72" t="s">
        <v>1921</v>
      </c>
      <c r="X1287" s="72" t="s">
        <v>2054</v>
      </c>
      <c r="Y1287" s="72" t="s">
        <v>3066</v>
      </c>
      <c r="Z1287" s="72" t="s">
        <v>30</v>
      </c>
      <c r="AA1287" s="146" t="s">
        <v>2901</v>
      </c>
    </row>
    <row r="1288" spans="1:27" ht="18.600000000000001" customHeight="1">
      <c r="A1288" s="139" t="str">
        <f>IF(priority(Main[[#This Row],[Comments]])&lt;&gt;0, priority(Main[[#This Row],[Comments]]),"")</f>
        <v/>
      </c>
      <c r="B1288" s="89" t="s">
        <v>1039</v>
      </c>
      <c r="C1288" s="72" t="s">
        <v>33</v>
      </c>
      <c r="D1288" s="73" t="s">
        <v>3764</v>
      </c>
      <c r="E1288" s="74">
        <v>40345.428090277775</v>
      </c>
      <c r="F1288" s="74"/>
      <c r="G1288" s="75" t="str">
        <f>IF(stdProdLT(Main[[#This Row],[Comments]])=0.1,"N/A",IF(stdProdLT(Main[[#This Row],[Comments]])=0,"",stdProdLT(Main[[#This Row],[Comments]])))</f>
        <v/>
      </c>
      <c r="H1288" s="76" t="str">
        <f>IF(AND(Main[[#This Row],[In Stock Date]]&lt;&gt;"",Main[[#This Row],[Revised Due Date]]&lt;&gt;""),Main[[#This Row],[In Stock Date]]-Main[[#This Row],[Revised Due Date]],"")</f>
        <v/>
      </c>
      <c r="I1288" s="72" t="s">
        <v>971</v>
      </c>
      <c r="J1288" s="72" t="s">
        <v>28</v>
      </c>
      <c r="K1288" s="72" t="s">
        <v>4</v>
      </c>
      <c r="L1288" s="74"/>
      <c r="M1288" s="77" t="str">
        <f>IF(Main[[#This Row],[Tech Start Date]]&lt;1/1/1990,"",IF(Main[[#This Row],[Class]]="C",WORKDAY(Main[[#This Row],[Tech Start Date]],9),IF(Main[[#This Row],[Class]]="B", WORKDAY(Main[[#This Row],[Tech Start Date]],6),IF(Main[[#This Row],[Class]]="A",WORKDAY(Main[[#This Row],[Tech Start Date]],2),""))))</f>
        <v/>
      </c>
      <c r="N1288" s="77" t="str">
        <f>IF(Main[[#This Row],[Tech Start Date]]&lt;1/1/1990,"",IF(Main[[#This Row],[Class]]="C",WORKDAY(Main[[#This Row],[Tech Start Date]],19),IF(Main[[#This Row],[Class]]="B", WORKDAY(Main[[#This Row],[Tech Start Date]],12),IF(Main[[#This Row],[Class]]="A",WORKDAY(Main[[#This Row],[Tech Start Date]],4),""))))</f>
        <v/>
      </c>
      <c r="O1288" s="77" t="str">
        <f>IF(Main[[#This Row],[Tech Start Date]]&lt;1/1/1990,"",IF(Main[[#This Row],[Class]]="C",WORKDAY(Main[[#This Row],[Tech Start Date]],23),IF(Main[[#This Row],[Class]]="B", WORKDAY(Main[[#This Row],[Tech Start Date]],15),IF(Main[[#This Row],[Class]]="A",WORKDAY(Main[[#This Row],[Tech Start Date]],5),""))))</f>
        <v/>
      </c>
      <c r="P1288" s="77" t="str">
        <f>IF(Main[[#This Row],[Tech Start Date]]&lt;1/1/1990,"",IF(Main[[#This Row],[Class]]="C",WORKDAY(Main[[#This Row],[Tech Start Date]],28),IF(Main[[#This Row],[Class]]="B", WORKDAY(Main[[#This Row],[Tech Start Date]],19),IF(Main[[#This Row],[Class]]="A",WORKDAY(Main[[#This Row],[Tech Start Date]],9),""))))</f>
        <v/>
      </c>
      <c r="Q1288" s="74">
        <v>40384</v>
      </c>
      <c r="R1288" s="74">
        <v>41029</v>
      </c>
      <c r="S1288" s="72" t="s">
        <v>17</v>
      </c>
      <c r="T1288" s="80" t="s">
        <v>2325</v>
      </c>
      <c r="U1288" s="72" t="s">
        <v>29</v>
      </c>
      <c r="V1288" s="72" t="s">
        <v>1917</v>
      </c>
      <c r="W1288" s="72" t="s">
        <v>1922</v>
      </c>
      <c r="X1288" s="72" t="s">
        <v>2881</v>
      </c>
      <c r="Y1288" s="72" t="s">
        <v>3027</v>
      </c>
      <c r="Z1288" s="72" t="s">
        <v>129</v>
      </c>
      <c r="AA1288" s="146" t="s">
        <v>2881</v>
      </c>
    </row>
    <row r="1289" spans="1:27" ht="18.600000000000001" customHeight="1">
      <c r="A1289" s="139" t="str">
        <f>IF(priority(Main[[#This Row],[Comments]])&lt;&gt;0, priority(Main[[#This Row],[Comments]]),"")</f>
        <v/>
      </c>
      <c r="B1289" s="89" t="s">
        <v>3284</v>
      </c>
      <c r="C1289" s="72" t="s">
        <v>4</v>
      </c>
      <c r="D1289" s="73" t="s">
        <v>3765</v>
      </c>
      <c r="E1289" s="74">
        <v>40932.302083333336</v>
      </c>
      <c r="F1289" s="74"/>
      <c r="G1289" s="75" t="str">
        <f>IF(stdProdLT(Main[[#This Row],[Comments]])=0.1,"N/A",IF(stdProdLT(Main[[#This Row],[Comments]])=0,"",stdProdLT(Main[[#This Row],[Comments]])))</f>
        <v/>
      </c>
      <c r="H1289" s="76" t="str">
        <f>IF(AND(Main[[#This Row],[In Stock Date]]&lt;&gt;"",Main[[#This Row],[Revised Due Date]]&lt;&gt;""),Main[[#This Row],[In Stock Date]]-Main[[#This Row],[Revised Due Date]],"")</f>
        <v/>
      </c>
      <c r="I1289" s="72" t="s">
        <v>69</v>
      </c>
      <c r="J1289" s="72" t="s">
        <v>70</v>
      </c>
      <c r="K1289" s="72" t="s">
        <v>1926</v>
      </c>
      <c r="L1289" s="74"/>
      <c r="M1289" s="77" t="str">
        <f>IF(Main[[#This Row],[Tech Start Date]]&lt;1/1/1990,"",IF(Main[[#This Row],[Class]]="C",WORKDAY(Main[[#This Row],[Tech Start Date]],9),IF(Main[[#This Row],[Class]]="B", WORKDAY(Main[[#This Row],[Tech Start Date]],6),IF(Main[[#This Row],[Class]]="A",WORKDAY(Main[[#This Row],[Tech Start Date]],2),""))))</f>
        <v/>
      </c>
      <c r="N1289" s="77" t="str">
        <f>IF(Main[[#This Row],[Tech Start Date]]&lt;1/1/1990,"",IF(Main[[#This Row],[Class]]="C",WORKDAY(Main[[#This Row],[Tech Start Date]],19),IF(Main[[#This Row],[Class]]="B", WORKDAY(Main[[#This Row],[Tech Start Date]],12),IF(Main[[#This Row],[Class]]="A",WORKDAY(Main[[#This Row],[Tech Start Date]],4),""))))</f>
        <v/>
      </c>
      <c r="O1289" s="77" t="str">
        <f>IF(Main[[#This Row],[Tech Start Date]]&lt;1/1/1990,"",IF(Main[[#This Row],[Class]]="C",WORKDAY(Main[[#This Row],[Tech Start Date]],23),IF(Main[[#This Row],[Class]]="B", WORKDAY(Main[[#This Row],[Tech Start Date]],15),IF(Main[[#This Row],[Class]]="A",WORKDAY(Main[[#This Row],[Tech Start Date]],5),""))))</f>
        <v/>
      </c>
      <c r="P1289" s="77" t="str">
        <f>IF(Main[[#This Row],[Tech Start Date]]&lt;1/1/1990,"",IF(Main[[#This Row],[Class]]="C",WORKDAY(Main[[#This Row],[Tech Start Date]],28),IF(Main[[#This Row],[Class]]="B", WORKDAY(Main[[#This Row],[Tech Start Date]],19),IF(Main[[#This Row],[Class]]="A",WORKDAY(Main[[#This Row],[Tech Start Date]],9),""))))</f>
        <v/>
      </c>
      <c r="Q1289" s="74">
        <v>40999</v>
      </c>
      <c r="R1289" s="74"/>
      <c r="S1289" s="72" t="s">
        <v>6</v>
      </c>
      <c r="T1289" s="80" t="s">
        <v>4</v>
      </c>
      <c r="U1289" s="72" t="s">
        <v>29</v>
      </c>
      <c r="V1289" s="72" t="s">
        <v>1920</v>
      </c>
      <c r="W1289" s="72" t="s">
        <v>1921</v>
      </c>
      <c r="X1289" s="72" t="s">
        <v>2909</v>
      </c>
      <c r="Y1289" s="72" t="s">
        <v>3089</v>
      </c>
      <c r="Z1289" s="72" t="s">
        <v>30</v>
      </c>
      <c r="AA1289" s="146" t="s">
        <v>2909</v>
      </c>
    </row>
    <row r="1290" spans="1:27" ht="18.600000000000001" customHeight="1">
      <c r="A1290" s="139" t="str">
        <f>IF(priority(Main[[#This Row],[Comments]])&lt;&gt;0, priority(Main[[#This Row],[Comments]]),"")</f>
        <v/>
      </c>
      <c r="B1290" s="89" t="s">
        <v>3766</v>
      </c>
      <c r="C1290" s="72" t="s">
        <v>4</v>
      </c>
      <c r="D1290" s="73" t="s">
        <v>3767</v>
      </c>
      <c r="E1290" s="74">
        <v>40961.570833333331</v>
      </c>
      <c r="F1290" s="74"/>
      <c r="G1290" s="75" t="str">
        <f>IF(stdProdLT(Main[[#This Row],[Comments]])=0.1,"N/A",IF(stdProdLT(Main[[#This Row],[Comments]])=0,"",stdProdLT(Main[[#This Row],[Comments]])))</f>
        <v/>
      </c>
      <c r="H1290" s="76" t="str">
        <f>IF(AND(Main[[#This Row],[In Stock Date]]&lt;&gt;"",Main[[#This Row],[Revised Due Date]]&lt;&gt;""),Main[[#This Row],[In Stock Date]]-Main[[#This Row],[Revised Due Date]],"")</f>
        <v/>
      </c>
      <c r="I1290" s="72" t="s">
        <v>2054</v>
      </c>
      <c r="J1290" s="72" t="s">
        <v>28</v>
      </c>
      <c r="K1290" s="72" t="s">
        <v>1926</v>
      </c>
      <c r="L1290" s="74"/>
      <c r="M1290" s="77" t="str">
        <f>IF(Main[[#This Row],[Tech Start Date]]&lt;1/1/1990,"",IF(Main[[#This Row],[Class]]="C",WORKDAY(Main[[#This Row],[Tech Start Date]],9),IF(Main[[#This Row],[Class]]="B", WORKDAY(Main[[#This Row],[Tech Start Date]],6),IF(Main[[#This Row],[Class]]="A",WORKDAY(Main[[#This Row],[Tech Start Date]],2),""))))</f>
        <v/>
      </c>
      <c r="N1290" s="77" t="str">
        <f>IF(Main[[#This Row],[Tech Start Date]]&lt;1/1/1990,"",IF(Main[[#This Row],[Class]]="C",WORKDAY(Main[[#This Row],[Tech Start Date]],19),IF(Main[[#This Row],[Class]]="B", WORKDAY(Main[[#This Row],[Tech Start Date]],12),IF(Main[[#This Row],[Class]]="A",WORKDAY(Main[[#This Row],[Tech Start Date]],4),""))))</f>
        <v/>
      </c>
      <c r="O1290" s="77" t="str">
        <f>IF(Main[[#This Row],[Tech Start Date]]&lt;1/1/1990,"",IF(Main[[#This Row],[Class]]="C",WORKDAY(Main[[#This Row],[Tech Start Date]],23),IF(Main[[#This Row],[Class]]="B", WORKDAY(Main[[#This Row],[Tech Start Date]],15),IF(Main[[#This Row],[Class]]="A",WORKDAY(Main[[#This Row],[Tech Start Date]],5),""))))</f>
        <v/>
      </c>
      <c r="P1290" s="77" t="str">
        <f>IF(Main[[#This Row],[Tech Start Date]]&lt;1/1/1990,"",IF(Main[[#This Row],[Class]]="C",WORKDAY(Main[[#This Row],[Tech Start Date]],28),IF(Main[[#This Row],[Class]]="B", WORKDAY(Main[[#This Row],[Tech Start Date]],19),IF(Main[[#This Row],[Class]]="A",WORKDAY(Main[[#This Row],[Tech Start Date]],9),""))))</f>
        <v/>
      </c>
      <c r="Q1290" s="74"/>
      <c r="R1290" s="74"/>
      <c r="S1290" s="72" t="s">
        <v>6</v>
      </c>
      <c r="T1290" s="80" t="s">
        <v>4</v>
      </c>
      <c r="U1290" s="72" t="s">
        <v>29</v>
      </c>
      <c r="V1290" s="72" t="s">
        <v>1920</v>
      </c>
      <c r="W1290" s="72" t="s">
        <v>1921</v>
      </c>
      <c r="X1290" s="72" t="s">
        <v>2847</v>
      </c>
      <c r="Y1290" s="72" t="s">
        <v>2977</v>
      </c>
      <c r="Z1290" s="72" t="s">
        <v>30</v>
      </c>
      <c r="AA1290" s="146" t="s">
        <v>2847</v>
      </c>
    </row>
    <row r="1291" spans="1:27" ht="18.600000000000001" customHeight="1">
      <c r="A1291" s="139" t="str">
        <f>IF(priority(Main[[#This Row],[Comments]])&lt;&gt;0, priority(Main[[#This Row],[Comments]]),"")</f>
        <v/>
      </c>
      <c r="B1291" s="89" t="s">
        <v>3292</v>
      </c>
      <c r="C1291" s="72" t="s">
        <v>4</v>
      </c>
      <c r="D1291" s="73" t="s">
        <v>3768</v>
      </c>
      <c r="E1291" s="74">
        <v>40932.643865740742</v>
      </c>
      <c r="F1291" s="74"/>
      <c r="G1291" s="75" t="str">
        <f>IF(stdProdLT(Main[[#This Row],[Comments]])=0.1,"N/A",IF(stdProdLT(Main[[#This Row],[Comments]])=0,"",stdProdLT(Main[[#This Row],[Comments]])))</f>
        <v/>
      </c>
      <c r="H1291" s="76" t="str">
        <f>IF(AND(Main[[#This Row],[In Stock Date]]&lt;&gt;"",Main[[#This Row],[Revised Due Date]]&lt;&gt;""),Main[[#This Row],[In Stock Date]]-Main[[#This Row],[Revised Due Date]],"")</f>
        <v/>
      </c>
      <c r="I1291" s="72" t="s">
        <v>69</v>
      </c>
      <c r="J1291" s="72" t="s">
        <v>4</v>
      </c>
      <c r="K1291" s="72" t="s">
        <v>4</v>
      </c>
      <c r="L1291" s="74"/>
      <c r="M1291" s="77" t="str">
        <f>IF(Main[[#This Row],[Tech Start Date]]&lt;1/1/1990,"",IF(Main[[#This Row],[Class]]="C",WORKDAY(Main[[#This Row],[Tech Start Date]],9),IF(Main[[#This Row],[Class]]="B", WORKDAY(Main[[#This Row],[Tech Start Date]],6),IF(Main[[#This Row],[Class]]="A",WORKDAY(Main[[#This Row],[Tech Start Date]],2),""))))</f>
        <v/>
      </c>
      <c r="N1291" s="77" t="str">
        <f>IF(Main[[#This Row],[Tech Start Date]]&lt;1/1/1990,"",IF(Main[[#This Row],[Class]]="C",WORKDAY(Main[[#This Row],[Tech Start Date]],19),IF(Main[[#This Row],[Class]]="B", WORKDAY(Main[[#This Row],[Tech Start Date]],12),IF(Main[[#This Row],[Class]]="A",WORKDAY(Main[[#This Row],[Tech Start Date]],4),""))))</f>
        <v/>
      </c>
      <c r="O1291" s="77" t="str">
        <f>IF(Main[[#This Row],[Tech Start Date]]&lt;1/1/1990,"",IF(Main[[#This Row],[Class]]="C",WORKDAY(Main[[#This Row],[Tech Start Date]],23),IF(Main[[#This Row],[Class]]="B", WORKDAY(Main[[#This Row],[Tech Start Date]],15),IF(Main[[#This Row],[Class]]="A",WORKDAY(Main[[#This Row],[Tech Start Date]],5),""))))</f>
        <v/>
      </c>
      <c r="P1291" s="77" t="str">
        <f>IF(Main[[#This Row],[Tech Start Date]]&lt;1/1/1990,"",IF(Main[[#This Row],[Class]]="C",WORKDAY(Main[[#This Row],[Tech Start Date]],28),IF(Main[[#This Row],[Class]]="B", WORKDAY(Main[[#This Row],[Tech Start Date]],19),IF(Main[[#This Row],[Class]]="A",WORKDAY(Main[[#This Row],[Tech Start Date]],9),""))))</f>
        <v/>
      </c>
      <c r="Q1291" s="74">
        <v>40968</v>
      </c>
      <c r="R1291" s="74"/>
      <c r="S1291" s="72" t="s">
        <v>6</v>
      </c>
      <c r="T1291" s="80" t="s">
        <v>4</v>
      </c>
      <c r="U1291" s="72" t="s">
        <v>29</v>
      </c>
      <c r="V1291" s="72" t="s">
        <v>1927</v>
      </c>
      <c r="W1291" s="72" t="s">
        <v>1921</v>
      </c>
      <c r="X1291" s="72" t="s">
        <v>2825</v>
      </c>
      <c r="Y1291" s="72" t="s">
        <v>2938</v>
      </c>
      <c r="Z1291" s="72" t="s">
        <v>30</v>
      </c>
      <c r="AA1291" s="146" t="s">
        <v>2825</v>
      </c>
    </row>
    <row r="1292" spans="1:27" ht="18.600000000000001" customHeight="1">
      <c r="A1292" s="139" t="str">
        <f>IF(priority(Main[[#This Row],[Comments]])&lt;&gt;0, priority(Main[[#This Row],[Comments]]),"")</f>
        <v/>
      </c>
      <c r="B1292" s="89" t="s">
        <v>3769</v>
      </c>
      <c r="C1292" s="72" t="s">
        <v>4</v>
      </c>
      <c r="D1292" s="73" t="s">
        <v>3770</v>
      </c>
      <c r="E1292" s="74">
        <v>40961.263599537036</v>
      </c>
      <c r="F1292" s="74"/>
      <c r="G1292" s="75" t="str">
        <f>IF(stdProdLT(Main[[#This Row],[Comments]])=0.1,"N/A",IF(stdProdLT(Main[[#This Row],[Comments]])=0,"",stdProdLT(Main[[#This Row],[Comments]])))</f>
        <v/>
      </c>
      <c r="H1292" s="76" t="str">
        <f>IF(AND(Main[[#This Row],[In Stock Date]]&lt;&gt;"",Main[[#This Row],[Revised Due Date]]&lt;&gt;""),Main[[#This Row],[In Stock Date]]-Main[[#This Row],[Revised Due Date]],"")</f>
        <v/>
      </c>
      <c r="I1292" s="72" t="s">
        <v>4</v>
      </c>
      <c r="J1292" s="72" t="s">
        <v>4</v>
      </c>
      <c r="K1292" s="72" t="s">
        <v>4</v>
      </c>
      <c r="L1292" s="74"/>
      <c r="M1292" s="77" t="str">
        <f>IF(Main[[#This Row],[Tech Start Date]]&lt;1/1/1990,"",IF(Main[[#This Row],[Class]]="C",WORKDAY(Main[[#This Row],[Tech Start Date]],9),IF(Main[[#This Row],[Class]]="B", WORKDAY(Main[[#This Row],[Tech Start Date]],6),IF(Main[[#This Row],[Class]]="A",WORKDAY(Main[[#This Row],[Tech Start Date]],2),""))))</f>
        <v/>
      </c>
      <c r="N1292" s="77" t="str">
        <f>IF(Main[[#This Row],[Tech Start Date]]&lt;1/1/1990,"",IF(Main[[#This Row],[Class]]="C",WORKDAY(Main[[#This Row],[Tech Start Date]],19),IF(Main[[#This Row],[Class]]="B", WORKDAY(Main[[#This Row],[Tech Start Date]],12),IF(Main[[#This Row],[Class]]="A",WORKDAY(Main[[#This Row],[Tech Start Date]],4),""))))</f>
        <v/>
      </c>
      <c r="O1292" s="77" t="str">
        <f>IF(Main[[#This Row],[Tech Start Date]]&lt;1/1/1990,"",IF(Main[[#This Row],[Class]]="C",WORKDAY(Main[[#This Row],[Tech Start Date]],23),IF(Main[[#This Row],[Class]]="B", WORKDAY(Main[[#This Row],[Tech Start Date]],15),IF(Main[[#This Row],[Class]]="A",WORKDAY(Main[[#This Row],[Tech Start Date]],5),""))))</f>
        <v/>
      </c>
      <c r="P1292" s="77" t="str">
        <f>IF(Main[[#This Row],[Tech Start Date]]&lt;1/1/1990,"",IF(Main[[#This Row],[Class]]="C",WORKDAY(Main[[#This Row],[Tech Start Date]],28),IF(Main[[#This Row],[Class]]="B", WORKDAY(Main[[#This Row],[Tech Start Date]],19),IF(Main[[#This Row],[Class]]="A",WORKDAY(Main[[#This Row],[Tech Start Date]],9),""))))</f>
        <v/>
      </c>
      <c r="Q1292" s="74">
        <v>40990</v>
      </c>
      <c r="R1292" s="74"/>
      <c r="S1292" s="72" t="s">
        <v>6</v>
      </c>
      <c r="T1292" s="80" t="s">
        <v>4</v>
      </c>
      <c r="U1292" s="72" t="s">
        <v>7</v>
      </c>
      <c r="V1292" s="72" t="s">
        <v>1917</v>
      </c>
      <c r="W1292" s="72" t="s">
        <v>4</v>
      </c>
      <c r="X1292" s="72" t="s">
        <v>2828</v>
      </c>
      <c r="Y1292" s="72" t="s">
        <v>2944</v>
      </c>
      <c r="Z1292" s="72" t="s">
        <v>4</v>
      </c>
      <c r="AA1292" s="146" t="s">
        <v>2828</v>
      </c>
    </row>
    <row r="1293" spans="1:27" ht="18.600000000000001" customHeight="1">
      <c r="A1293" s="139" t="str">
        <f>IF(priority(Main[[#This Row],[Comments]])&lt;&gt;0, priority(Main[[#This Row],[Comments]]),"")</f>
        <v/>
      </c>
      <c r="B1293" s="89" t="s">
        <v>2682</v>
      </c>
      <c r="C1293" s="72" t="s">
        <v>4</v>
      </c>
      <c r="D1293" s="73" t="s">
        <v>3771</v>
      </c>
      <c r="E1293" s="74">
        <v>40882.142546296294</v>
      </c>
      <c r="F1293" s="74"/>
      <c r="G1293" s="75" t="str">
        <f>IF(stdProdLT(Main[[#This Row],[Comments]])=0.1,"N/A",IF(stdProdLT(Main[[#This Row],[Comments]])=0,"",stdProdLT(Main[[#This Row],[Comments]])))</f>
        <v/>
      </c>
      <c r="H1293" s="76" t="str">
        <f>IF(AND(Main[[#This Row],[In Stock Date]]&lt;&gt;"",Main[[#This Row],[Revised Due Date]]&lt;&gt;""),Main[[#This Row],[In Stock Date]]-Main[[#This Row],[Revised Due Date]],"")</f>
        <v/>
      </c>
      <c r="I1293" s="72" t="s">
        <v>69</v>
      </c>
      <c r="J1293" s="72" t="s">
        <v>70</v>
      </c>
      <c r="K1293" s="72" t="s">
        <v>1926</v>
      </c>
      <c r="L1293" s="74"/>
      <c r="M1293" s="77" t="str">
        <f>IF(Main[[#This Row],[Tech Start Date]]&lt;1/1/1990,"",IF(Main[[#This Row],[Class]]="C",WORKDAY(Main[[#This Row],[Tech Start Date]],9),IF(Main[[#This Row],[Class]]="B", WORKDAY(Main[[#This Row],[Tech Start Date]],6),IF(Main[[#This Row],[Class]]="A",WORKDAY(Main[[#This Row],[Tech Start Date]],2),""))))</f>
        <v/>
      </c>
      <c r="N1293" s="77" t="str">
        <f>IF(Main[[#This Row],[Tech Start Date]]&lt;1/1/1990,"",IF(Main[[#This Row],[Class]]="C",WORKDAY(Main[[#This Row],[Tech Start Date]],19),IF(Main[[#This Row],[Class]]="B", WORKDAY(Main[[#This Row],[Tech Start Date]],12),IF(Main[[#This Row],[Class]]="A",WORKDAY(Main[[#This Row],[Tech Start Date]],4),""))))</f>
        <v/>
      </c>
      <c r="O1293" s="77" t="str">
        <f>IF(Main[[#This Row],[Tech Start Date]]&lt;1/1/1990,"",IF(Main[[#This Row],[Class]]="C",WORKDAY(Main[[#This Row],[Tech Start Date]],23),IF(Main[[#This Row],[Class]]="B", WORKDAY(Main[[#This Row],[Tech Start Date]],15),IF(Main[[#This Row],[Class]]="A",WORKDAY(Main[[#This Row],[Tech Start Date]],5),""))))</f>
        <v/>
      </c>
      <c r="P1293" s="77" t="str">
        <f>IF(Main[[#This Row],[Tech Start Date]]&lt;1/1/1990,"",IF(Main[[#This Row],[Class]]="C",WORKDAY(Main[[#This Row],[Tech Start Date]],28),IF(Main[[#This Row],[Class]]="B", WORKDAY(Main[[#This Row],[Tech Start Date]],19),IF(Main[[#This Row],[Class]]="A",WORKDAY(Main[[#This Row],[Tech Start Date]],9),""))))</f>
        <v/>
      </c>
      <c r="Q1293" s="74">
        <v>40913</v>
      </c>
      <c r="R1293" s="74"/>
      <c r="S1293" s="72" t="s">
        <v>6</v>
      </c>
      <c r="T1293" s="80" t="s">
        <v>4</v>
      </c>
      <c r="U1293" s="72" t="s">
        <v>29</v>
      </c>
      <c r="V1293" s="72" t="s">
        <v>1920</v>
      </c>
      <c r="W1293" s="72" t="s">
        <v>1921</v>
      </c>
      <c r="X1293" s="72" t="s">
        <v>2828</v>
      </c>
      <c r="Y1293" s="72" t="s">
        <v>2944</v>
      </c>
      <c r="Z1293" s="72" t="s">
        <v>30</v>
      </c>
      <c r="AA1293" s="146" t="s">
        <v>2828</v>
      </c>
    </row>
    <row r="1294" spans="1:27" ht="18.600000000000001" customHeight="1">
      <c r="A1294" s="139" t="str">
        <f>IF(priority(Main[[#This Row],[Comments]])&lt;&gt;0, priority(Main[[#This Row],[Comments]]),"")</f>
        <v/>
      </c>
      <c r="B1294" s="89" t="s">
        <v>2683</v>
      </c>
      <c r="C1294" s="72" t="s">
        <v>4</v>
      </c>
      <c r="D1294" s="73" t="s">
        <v>3775</v>
      </c>
      <c r="E1294" s="74">
        <v>40882.367037037038</v>
      </c>
      <c r="F1294" s="74"/>
      <c r="G1294" s="75" t="str">
        <f>IF(stdProdLT(Main[[#This Row],[Comments]])=0.1,"N/A",IF(stdProdLT(Main[[#This Row],[Comments]])=0,"",stdProdLT(Main[[#This Row],[Comments]])))</f>
        <v/>
      </c>
      <c r="H1294" s="76" t="str">
        <f>IF(AND(Main[[#This Row],[In Stock Date]]&lt;&gt;"",Main[[#This Row],[Revised Due Date]]&lt;&gt;""),Main[[#This Row],[In Stock Date]]-Main[[#This Row],[Revised Due Date]],"")</f>
        <v/>
      </c>
      <c r="I1294" s="72" t="s">
        <v>69</v>
      </c>
      <c r="J1294" s="72" t="s">
        <v>70</v>
      </c>
      <c r="K1294" s="72" t="s">
        <v>1926</v>
      </c>
      <c r="L1294" s="74"/>
      <c r="M1294" s="77" t="str">
        <f>IF(Main[[#This Row],[Tech Start Date]]&lt;1/1/1990,"",IF(Main[[#This Row],[Class]]="C",WORKDAY(Main[[#This Row],[Tech Start Date]],9),IF(Main[[#This Row],[Class]]="B", WORKDAY(Main[[#This Row],[Tech Start Date]],6),IF(Main[[#This Row],[Class]]="A",WORKDAY(Main[[#This Row],[Tech Start Date]],2),""))))</f>
        <v/>
      </c>
      <c r="N1294" s="77" t="str">
        <f>IF(Main[[#This Row],[Tech Start Date]]&lt;1/1/1990,"",IF(Main[[#This Row],[Class]]="C",WORKDAY(Main[[#This Row],[Tech Start Date]],19),IF(Main[[#This Row],[Class]]="B", WORKDAY(Main[[#This Row],[Tech Start Date]],12),IF(Main[[#This Row],[Class]]="A",WORKDAY(Main[[#This Row],[Tech Start Date]],4),""))))</f>
        <v/>
      </c>
      <c r="O1294" s="77" t="str">
        <f>IF(Main[[#This Row],[Tech Start Date]]&lt;1/1/1990,"",IF(Main[[#This Row],[Class]]="C",WORKDAY(Main[[#This Row],[Tech Start Date]],23),IF(Main[[#This Row],[Class]]="B", WORKDAY(Main[[#This Row],[Tech Start Date]],15),IF(Main[[#This Row],[Class]]="A",WORKDAY(Main[[#This Row],[Tech Start Date]],5),""))))</f>
        <v/>
      </c>
      <c r="P1294" s="77" t="str">
        <f>IF(Main[[#This Row],[Tech Start Date]]&lt;1/1/1990,"",IF(Main[[#This Row],[Class]]="C",WORKDAY(Main[[#This Row],[Tech Start Date]],28),IF(Main[[#This Row],[Class]]="B", WORKDAY(Main[[#This Row],[Tech Start Date]],19),IF(Main[[#This Row],[Class]]="A",WORKDAY(Main[[#This Row],[Tech Start Date]],9),""))))</f>
        <v/>
      </c>
      <c r="Q1294" s="74">
        <v>40928</v>
      </c>
      <c r="R1294" s="74"/>
      <c r="S1294" s="72" t="s">
        <v>6</v>
      </c>
      <c r="T1294" s="80" t="s">
        <v>4</v>
      </c>
      <c r="U1294" s="72" t="s">
        <v>29</v>
      </c>
      <c r="V1294" s="72" t="s">
        <v>1920</v>
      </c>
      <c r="W1294" s="72" t="s">
        <v>1921</v>
      </c>
      <c r="X1294" s="72" t="s">
        <v>2824</v>
      </c>
      <c r="Y1294" s="72" t="s">
        <v>2935</v>
      </c>
      <c r="Z1294" s="72" t="s">
        <v>30</v>
      </c>
      <c r="AA1294" s="146" t="s">
        <v>2824</v>
      </c>
    </row>
    <row r="1295" spans="1:27" ht="18.600000000000001" customHeight="1">
      <c r="A1295" s="139" t="str">
        <f>IF(priority(Main[[#This Row],[Comments]])&lt;&gt;0, priority(Main[[#This Row],[Comments]]),"")</f>
        <v/>
      </c>
      <c r="B1295" s="89" t="s">
        <v>3503</v>
      </c>
      <c r="C1295" s="72" t="s">
        <v>4</v>
      </c>
      <c r="D1295" s="73" t="s">
        <v>3504</v>
      </c>
      <c r="E1295" s="74"/>
      <c r="F1295" s="74"/>
      <c r="G1295" s="75" t="str">
        <f>IF(stdProdLT(Main[[#This Row],[Comments]])=0.1,"N/A",IF(stdProdLT(Main[[#This Row],[Comments]])=0,"",stdProdLT(Main[[#This Row],[Comments]])))</f>
        <v/>
      </c>
      <c r="H1295" s="76" t="str">
        <f>IF(AND(Main[[#This Row],[In Stock Date]]&lt;&gt;"",Main[[#This Row],[Revised Due Date]]&lt;&gt;""),Main[[#This Row],[In Stock Date]]-Main[[#This Row],[Revised Due Date]],"")</f>
        <v/>
      </c>
      <c r="I1295" s="72" t="s">
        <v>530</v>
      </c>
      <c r="J1295" s="72" t="s">
        <v>28</v>
      </c>
      <c r="K1295" s="72" t="s">
        <v>1926</v>
      </c>
      <c r="L1295" s="74"/>
      <c r="M1295" s="77" t="str">
        <f>IF(Main[[#This Row],[Tech Start Date]]&lt;1/1/1990,"",IF(Main[[#This Row],[Class]]="C",WORKDAY(Main[[#This Row],[Tech Start Date]],9),IF(Main[[#This Row],[Class]]="B", WORKDAY(Main[[#This Row],[Tech Start Date]],6),IF(Main[[#This Row],[Class]]="A",WORKDAY(Main[[#This Row],[Tech Start Date]],2),""))))</f>
        <v/>
      </c>
      <c r="N1295" s="77" t="str">
        <f>IF(Main[[#This Row],[Tech Start Date]]&lt;1/1/1990,"",IF(Main[[#This Row],[Class]]="C",WORKDAY(Main[[#This Row],[Tech Start Date]],19),IF(Main[[#This Row],[Class]]="B", WORKDAY(Main[[#This Row],[Tech Start Date]],12),IF(Main[[#This Row],[Class]]="A",WORKDAY(Main[[#This Row],[Tech Start Date]],4),""))))</f>
        <v/>
      </c>
      <c r="O1295" s="77" t="str">
        <f>IF(Main[[#This Row],[Tech Start Date]]&lt;1/1/1990,"",IF(Main[[#This Row],[Class]]="C",WORKDAY(Main[[#This Row],[Tech Start Date]],23),IF(Main[[#This Row],[Class]]="B", WORKDAY(Main[[#This Row],[Tech Start Date]],15),IF(Main[[#This Row],[Class]]="A",WORKDAY(Main[[#This Row],[Tech Start Date]],5),""))))</f>
        <v/>
      </c>
      <c r="P1295" s="77" t="str">
        <f>IF(Main[[#This Row],[Tech Start Date]]&lt;1/1/1990,"",IF(Main[[#This Row],[Class]]="C",WORKDAY(Main[[#This Row],[Tech Start Date]],28),IF(Main[[#This Row],[Class]]="B", WORKDAY(Main[[#This Row],[Tech Start Date]],19),IF(Main[[#This Row],[Class]]="A",WORKDAY(Main[[#This Row],[Tech Start Date]],9),""))))</f>
        <v/>
      </c>
      <c r="Q1295" s="74">
        <v>40970</v>
      </c>
      <c r="R1295" s="74"/>
      <c r="S1295" s="72" t="s">
        <v>6</v>
      </c>
      <c r="T1295" s="80" t="s">
        <v>4</v>
      </c>
      <c r="U1295" s="72" t="s">
        <v>14</v>
      </c>
      <c r="V1295" s="72" t="s">
        <v>1920</v>
      </c>
      <c r="W1295" s="72" t="s">
        <v>1921</v>
      </c>
      <c r="X1295" s="72" t="s">
        <v>2828</v>
      </c>
      <c r="Y1295" s="72" t="s">
        <v>2944</v>
      </c>
      <c r="Z1295" s="72" t="s">
        <v>30</v>
      </c>
      <c r="AA1295" s="146" t="s">
        <v>2828</v>
      </c>
    </row>
    <row r="1296" spans="1:27" ht="18.600000000000001" customHeight="1">
      <c r="A1296" s="139" t="str">
        <f>IF(priority(Main[[#This Row],[Comments]])&lt;&gt;0, priority(Main[[#This Row],[Comments]]),"")</f>
        <v/>
      </c>
      <c r="B1296" s="89" t="s">
        <v>2746</v>
      </c>
      <c r="C1296" s="72" t="s">
        <v>4</v>
      </c>
      <c r="D1296" s="73" t="s">
        <v>2747</v>
      </c>
      <c r="E1296" s="74">
        <v>40897.524594907409</v>
      </c>
      <c r="F1296" s="74"/>
      <c r="G1296" s="75" t="str">
        <f>IF(stdProdLT(Main[[#This Row],[Comments]])=0.1,"N/A",IF(stdProdLT(Main[[#This Row],[Comments]])=0,"",stdProdLT(Main[[#This Row],[Comments]])))</f>
        <v/>
      </c>
      <c r="H1296" s="76" t="str">
        <f>IF(AND(Main[[#This Row],[In Stock Date]]&lt;&gt;"",Main[[#This Row],[Revised Due Date]]&lt;&gt;""),Main[[#This Row],[In Stock Date]]-Main[[#This Row],[Revised Due Date]],"")</f>
        <v/>
      </c>
      <c r="I1296" s="72" t="s">
        <v>69</v>
      </c>
      <c r="J1296" s="72" t="s">
        <v>28</v>
      </c>
      <c r="K1296" s="72" t="s">
        <v>1926</v>
      </c>
      <c r="L1296" s="74"/>
      <c r="M1296" s="77" t="str">
        <f>IF(Main[[#This Row],[Tech Start Date]]&lt;1/1/1990,"",IF(Main[[#This Row],[Class]]="C",WORKDAY(Main[[#This Row],[Tech Start Date]],9),IF(Main[[#This Row],[Class]]="B", WORKDAY(Main[[#This Row],[Tech Start Date]],6),IF(Main[[#This Row],[Class]]="A",WORKDAY(Main[[#This Row],[Tech Start Date]],2),""))))</f>
        <v/>
      </c>
      <c r="N1296" s="77" t="str">
        <f>IF(Main[[#This Row],[Tech Start Date]]&lt;1/1/1990,"",IF(Main[[#This Row],[Class]]="C",WORKDAY(Main[[#This Row],[Tech Start Date]],19),IF(Main[[#This Row],[Class]]="B", WORKDAY(Main[[#This Row],[Tech Start Date]],12),IF(Main[[#This Row],[Class]]="A",WORKDAY(Main[[#This Row],[Tech Start Date]],4),""))))</f>
        <v/>
      </c>
      <c r="O1296" s="77" t="str">
        <f>IF(Main[[#This Row],[Tech Start Date]]&lt;1/1/1990,"",IF(Main[[#This Row],[Class]]="C",WORKDAY(Main[[#This Row],[Tech Start Date]],23),IF(Main[[#This Row],[Class]]="B", WORKDAY(Main[[#This Row],[Tech Start Date]],15),IF(Main[[#This Row],[Class]]="A",WORKDAY(Main[[#This Row],[Tech Start Date]],5),""))))</f>
        <v/>
      </c>
      <c r="P1296" s="77" t="str">
        <f>IF(Main[[#This Row],[Tech Start Date]]&lt;1/1/1990,"",IF(Main[[#This Row],[Class]]="C",WORKDAY(Main[[#This Row],[Tech Start Date]],28),IF(Main[[#This Row],[Class]]="B", WORKDAY(Main[[#This Row],[Tech Start Date]],19),IF(Main[[#This Row],[Class]]="A",WORKDAY(Main[[#This Row],[Tech Start Date]],9),""))))</f>
        <v/>
      </c>
      <c r="Q1296" s="74">
        <v>40966</v>
      </c>
      <c r="R1296" s="74"/>
      <c r="S1296" s="72" t="s">
        <v>6</v>
      </c>
      <c r="T1296" s="80" t="s">
        <v>4</v>
      </c>
      <c r="U1296" s="72" t="s">
        <v>29</v>
      </c>
      <c r="V1296" s="72" t="s">
        <v>1927</v>
      </c>
      <c r="W1296" s="72" t="s">
        <v>1921</v>
      </c>
      <c r="X1296" s="72" t="s">
        <v>2872</v>
      </c>
      <c r="Y1296" s="72" t="s">
        <v>3006</v>
      </c>
      <c r="Z1296" s="72" t="s">
        <v>30</v>
      </c>
      <c r="AA1296" s="146" t="s">
        <v>2872</v>
      </c>
    </row>
    <row r="1297" spans="1:27" ht="18.600000000000001" customHeight="1">
      <c r="A1297" s="139" t="str">
        <f>IF(priority(Main[[#This Row],[Comments]])&lt;&gt;0, priority(Main[[#This Row],[Comments]]),"")</f>
        <v/>
      </c>
      <c r="B1297" s="89" t="s">
        <v>3776</v>
      </c>
      <c r="C1297" s="72" t="s">
        <v>79</v>
      </c>
      <c r="D1297" s="73" t="s">
        <v>3777</v>
      </c>
      <c r="E1297" s="74"/>
      <c r="F1297" s="74">
        <v>41004</v>
      </c>
      <c r="G1297" s="75" t="str">
        <f>IF(stdProdLT(Main[[#This Row],[Comments]])=0.1,"N/A",IF(stdProdLT(Main[[#This Row],[Comments]])=0,"",stdProdLT(Main[[#This Row],[Comments]])))</f>
        <v/>
      </c>
      <c r="H1297" s="76" t="str">
        <f>IF(AND(Main[[#This Row],[In Stock Date]]&lt;&gt;"",Main[[#This Row],[Revised Due Date]]&lt;&gt;""),Main[[#This Row],[In Stock Date]]-Main[[#This Row],[Revised Due Date]],"")</f>
        <v/>
      </c>
      <c r="I1297" s="72" t="s">
        <v>4</v>
      </c>
      <c r="J1297" s="72" t="s">
        <v>4</v>
      </c>
      <c r="K1297" s="72" t="s">
        <v>4</v>
      </c>
      <c r="L1297" s="74"/>
      <c r="M1297" s="77" t="str">
        <f>IF(Main[[#This Row],[Tech Start Date]]&lt;1/1/1990,"",IF(Main[[#This Row],[Class]]="C",WORKDAY(Main[[#This Row],[Tech Start Date]],9),IF(Main[[#This Row],[Class]]="B", WORKDAY(Main[[#This Row],[Tech Start Date]],6),IF(Main[[#This Row],[Class]]="A",WORKDAY(Main[[#This Row],[Tech Start Date]],2),""))))</f>
        <v/>
      </c>
      <c r="N1297" s="77" t="str">
        <f>IF(Main[[#This Row],[Tech Start Date]]&lt;1/1/1990,"",IF(Main[[#This Row],[Class]]="C",WORKDAY(Main[[#This Row],[Tech Start Date]],19),IF(Main[[#This Row],[Class]]="B", WORKDAY(Main[[#This Row],[Tech Start Date]],12),IF(Main[[#This Row],[Class]]="A",WORKDAY(Main[[#This Row],[Tech Start Date]],4),""))))</f>
        <v/>
      </c>
      <c r="O1297" s="77" t="str">
        <f>IF(Main[[#This Row],[Tech Start Date]]&lt;1/1/1990,"",IF(Main[[#This Row],[Class]]="C",WORKDAY(Main[[#This Row],[Tech Start Date]],23),IF(Main[[#This Row],[Class]]="B", WORKDAY(Main[[#This Row],[Tech Start Date]],15),IF(Main[[#This Row],[Class]]="A",WORKDAY(Main[[#This Row],[Tech Start Date]],5),""))))</f>
        <v/>
      </c>
      <c r="P1297" s="77" t="str">
        <f>IF(Main[[#This Row],[Tech Start Date]]&lt;1/1/1990,"",IF(Main[[#This Row],[Class]]="C",WORKDAY(Main[[#This Row],[Tech Start Date]],28),IF(Main[[#This Row],[Class]]="B", WORKDAY(Main[[#This Row],[Tech Start Date]],19),IF(Main[[#This Row],[Class]]="A",WORKDAY(Main[[#This Row],[Tech Start Date]],9),""))))</f>
        <v/>
      </c>
      <c r="Q1297" s="74">
        <v>40960</v>
      </c>
      <c r="R1297" s="74"/>
      <c r="S1297" s="72" t="s">
        <v>11</v>
      </c>
      <c r="T1297" s="80" t="s">
        <v>4</v>
      </c>
      <c r="U1297" s="72" t="s">
        <v>12</v>
      </c>
      <c r="V1297" s="72" t="s">
        <v>1917</v>
      </c>
      <c r="W1297" s="72" t="s">
        <v>1923</v>
      </c>
      <c r="X1297" s="72" t="s">
        <v>2911</v>
      </c>
      <c r="Y1297" s="72" t="s">
        <v>2949</v>
      </c>
      <c r="Z1297" s="72" t="s">
        <v>4</v>
      </c>
      <c r="AA1297" s="146" t="s">
        <v>2830</v>
      </c>
    </row>
    <row r="1298" spans="1:27" ht="18.600000000000001" customHeight="1">
      <c r="A1298" s="139" t="str">
        <f>IF(priority(Main[[#This Row],[Comments]])&lt;&gt;0, priority(Main[[#This Row],[Comments]]),"")</f>
        <v/>
      </c>
      <c r="B1298" s="89" t="s">
        <v>2734</v>
      </c>
      <c r="C1298" s="72" t="s">
        <v>4</v>
      </c>
      <c r="D1298" s="73" t="s">
        <v>2735</v>
      </c>
      <c r="E1298" s="74"/>
      <c r="F1298" s="74"/>
      <c r="G1298" s="75" t="str">
        <f>IF(stdProdLT(Main[[#This Row],[Comments]])=0.1,"N/A",IF(stdProdLT(Main[[#This Row],[Comments]])=0,"",stdProdLT(Main[[#This Row],[Comments]])))</f>
        <v/>
      </c>
      <c r="H1298" s="76" t="str">
        <f>IF(AND(Main[[#This Row],[In Stock Date]]&lt;&gt;"",Main[[#This Row],[Revised Due Date]]&lt;&gt;""),Main[[#This Row],[In Stock Date]]-Main[[#This Row],[Revised Due Date]],"")</f>
        <v/>
      </c>
      <c r="I1298" s="72" t="s">
        <v>4</v>
      </c>
      <c r="J1298" s="72" t="s">
        <v>4</v>
      </c>
      <c r="K1298" s="72" t="s">
        <v>4</v>
      </c>
      <c r="L1298" s="74"/>
      <c r="M1298" s="77" t="str">
        <f>IF(Main[[#This Row],[Tech Start Date]]&lt;1/1/1990,"",IF(Main[[#This Row],[Class]]="C",WORKDAY(Main[[#This Row],[Tech Start Date]],9),IF(Main[[#This Row],[Class]]="B", WORKDAY(Main[[#This Row],[Tech Start Date]],6),IF(Main[[#This Row],[Class]]="A",WORKDAY(Main[[#This Row],[Tech Start Date]],2),""))))</f>
        <v/>
      </c>
      <c r="N1298" s="77" t="str">
        <f>IF(Main[[#This Row],[Tech Start Date]]&lt;1/1/1990,"",IF(Main[[#This Row],[Class]]="C",WORKDAY(Main[[#This Row],[Tech Start Date]],19),IF(Main[[#This Row],[Class]]="B", WORKDAY(Main[[#This Row],[Tech Start Date]],12),IF(Main[[#This Row],[Class]]="A",WORKDAY(Main[[#This Row],[Tech Start Date]],4),""))))</f>
        <v/>
      </c>
      <c r="O1298" s="77" t="str">
        <f>IF(Main[[#This Row],[Tech Start Date]]&lt;1/1/1990,"",IF(Main[[#This Row],[Class]]="C",WORKDAY(Main[[#This Row],[Tech Start Date]],23),IF(Main[[#This Row],[Class]]="B", WORKDAY(Main[[#This Row],[Tech Start Date]],15),IF(Main[[#This Row],[Class]]="A",WORKDAY(Main[[#This Row],[Tech Start Date]],5),""))))</f>
        <v/>
      </c>
      <c r="P1298" s="77" t="str">
        <f>IF(Main[[#This Row],[Tech Start Date]]&lt;1/1/1990,"",IF(Main[[#This Row],[Class]]="C",WORKDAY(Main[[#This Row],[Tech Start Date]],28),IF(Main[[#This Row],[Class]]="B", WORKDAY(Main[[#This Row],[Tech Start Date]],19),IF(Main[[#This Row],[Class]]="A",WORKDAY(Main[[#This Row],[Tech Start Date]],9),""))))</f>
        <v/>
      </c>
      <c r="Q1298" s="74"/>
      <c r="R1298" s="74"/>
      <c r="S1298" s="72" t="s">
        <v>6</v>
      </c>
      <c r="T1298" s="80" t="s">
        <v>4</v>
      </c>
      <c r="U1298" s="72" t="s">
        <v>14</v>
      </c>
      <c r="V1298" s="72" t="s">
        <v>1917</v>
      </c>
      <c r="W1298" s="72" t="s">
        <v>1921</v>
      </c>
      <c r="X1298" s="72" t="s">
        <v>2908</v>
      </c>
      <c r="Y1298" s="72" t="s">
        <v>3087</v>
      </c>
      <c r="Z1298" s="72" t="s">
        <v>4</v>
      </c>
      <c r="AA1298" s="146" t="s">
        <v>2908</v>
      </c>
    </row>
    <row r="1299" spans="1:27" ht="18.600000000000001" customHeight="1">
      <c r="A1299" s="139" t="str">
        <f>IF(priority(Main[[#This Row],[Comments]])&lt;&gt;0, priority(Main[[#This Row],[Comments]]),"")</f>
        <v/>
      </c>
      <c r="B1299" s="89" t="s">
        <v>2788</v>
      </c>
      <c r="C1299" s="72" t="s">
        <v>4</v>
      </c>
      <c r="D1299" s="73" t="s">
        <v>2789</v>
      </c>
      <c r="E1299" s="74">
        <v>40913.323819444442</v>
      </c>
      <c r="F1299" s="74"/>
      <c r="G1299" s="75" t="str">
        <f>IF(stdProdLT(Main[[#This Row],[Comments]])=0.1,"N/A",IF(stdProdLT(Main[[#This Row],[Comments]])=0,"",stdProdLT(Main[[#This Row],[Comments]])))</f>
        <v/>
      </c>
      <c r="H1299" s="76" t="str">
        <f>IF(AND(Main[[#This Row],[In Stock Date]]&lt;&gt;"",Main[[#This Row],[Revised Due Date]]&lt;&gt;""),Main[[#This Row],[In Stock Date]]-Main[[#This Row],[Revised Due Date]],"")</f>
        <v/>
      </c>
      <c r="I1299" s="72" t="s">
        <v>4</v>
      </c>
      <c r="J1299" s="72" t="s">
        <v>4</v>
      </c>
      <c r="K1299" s="72" t="s">
        <v>4</v>
      </c>
      <c r="L1299" s="74"/>
      <c r="M1299" s="77" t="str">
        <f>IF(Main[[#This Row],[Tech Start Date]]&lt;1/1/1990,"",IF(Main[[#This Row],[Class]]="C",WORKDAY(Main[[#This Row],[Tech Start Date]],9),IF(Main[[#This Row],[Class]]="B", WORKDAY(Main[[#This Row],[Tech Start Date]],6),IF(Main[[#This Row],[Class]]="A",WORKDAY(Main[[#This Row],[Tech Start Date]],2),""))))</f>
        <v/>
      </c>
      <c r="N1299" s="77" t="str">
        <f>IF(Main[[#This Row],[Tech Start Date]]&lt;1/1/1990,"",IF(Main[[#This Row],[Class]]="C",WORKDAY(Main[[#This Row],[Tech Start Date]],19),IF(Main[[#This Row],[Class]]="B", WORKDAY(Main[[#This Row],[Tech Start Date]],12),IF(Main[[#This Row],[Class]]="A",WORKDAY(Main[[#This Row],[Tech Start Date]],4),""))))</f>
        <v/>
      </c>
      <c r="O1299" s="77" t="str">
        <f>IF(Main[[#This Row],[Tech Start Date]]&lt;1/1/1990,"",IF(Main[[#This Row],[Class]]="C",WORKDAY(Main[[#This Row],[Tech Start Date]],23),IF(Main[[#This Row],[Class]]="B", WORKDAY(Main[[#This Row],[Tech Start Date]],15),IF(Main[[#This Row],[Class]]="A",WORKDAY(Main[[#This Row],[Tech Start Date]],5),""))))</f>
        <v/>
      </c>
      <c r="P1299" s="77" t="str">
        <f>IF(Main[[#This Row],[Tech Start Date]]&lt;1/1/1990,"",IF(Main[[#This Row],[Class]]="C",WORKDAY(Main[[#This Row],[Tech Start Date]],28),IF(Main[[#This Row],[Class]]="B", WORKDAY(Main[[#This Row],[Tech Start Date]],19),IF(Main[[#This Row],[Class]]="A",WORKDAY(Main[[#This Row],[Tech Start Date]],9),""))))</f>
        <v/>
      </c>
      <c r="Q1299" s="74">
        <v>40945</v>
      </c>
      <c r="R1299" s="74"/>
      <c r="S1299" s="72" t="s">
        <v>6</v>
      </c>
      <c r="T1299" s="80" t="s">
        <v>4</v>
      </c>
      <c r="U1299" s="72" t="s">
        <v>7</v>
      </c>
      <c r="V1299" s="72" t="s">
        <v>1917</v>
      </c>
      <c r="W1299" s="72" t="s">
        <v>4</v>
      </c>
      <c r="X1299" s="72" t="s">
        <v>2825</v>
      </c>
      <c r="Y1299" s="72" t="s">
        <v>2938</v>
      </c>
      <c r="Z1299" s="72" t="s">
        <v>4</v>
      </c>
      <c r="AA1299" s="146" t="s">
        <v>2825</v>
      </c>
    </row>
    <row r="1300" spans="1:27" ht="18.600000000000001" customHeight="1">
      <c r="A1300" s="139" t="str">
        <f>IF(priority(Main[[#This Row],[Comments]])&lt;&gt;0, priority(Main[[#This Row],[Comments]]),"")</f>
        <v/>
      </c>
      <c r="B1300" s="89" t="s">
        <v>2754</v>
      </c>
      <c r="C1300" s="72" t="s">
        <v>2755</v>
      </c>
      <c r="D1300" s="73" t="s">
        <v>3778</v>
      </c>
      <c r="E1300" s="74">
        <v>40883.362615740742</v>
      </c>
      <c r="F1300" s="74"/>
      <c r="G1300" s="75" t="str">
        <f>IF(stdProdLT(Main[[#This Row],[Comments]])=0.1,"N/A",IF(stdProdLT(Main[[#This Row],[Comments]])=0,"",stdProdLT(Main[[#This Row],[Comments]])))</f>
        <v/>
      </c>
      <c r="H1300" s="76" t="str">
        <f>IF(AND(Main[[#This Row],[In Stock Date]]&lt;&gt;"",Main[[#This Row],[Revised Due Date]]&lt;&gt;""),Main[[#This Row],[In Stock Date]]-Main[[#This Row],[Revised Due Date]],"")</f>
        <v/>
      </c>
      <c r="I1300" s="72" t="s">
        <v>4</v>
      </c>
      <c r="J1300" s="72" t="s">
        <v>4</v>
      </c>
      <c r="K1300" s="72" t="s">
        <v>4</v>
      </c>
      <c r="L1300" s="74"/>
      <c r="M1300" s="77" t="str">
        <f>IF(Main[[#This Row],[Tech Start Date]]&lt;1/1/1990,"",IF(Main[[#This Row],[Class]]="C",WORKDAY(Main[[#This Row],[Tech Start Date]],9),IF(Main[[#This Row],[Class]]="B", WORKDAY(Main[[#This Row],[Tech Start Date]],6),IF(Main[[#This Row],[Class]]="A",WORKDAY(Main[[#This Row],[Tech Start Date]],2),""))))</f>
        <v/>
      </c>
      <c r="N1300" s="77" t="str">
        <f>IF(Main[[#This Row],[Tech Start Date]]&lt;1/1/1990,"",IF(Main[[#This Row],[Class]]="C",WORKDAY(Main[[#This Row],[Tech Start Date]],19),IF(Main[[#This Row],[Class]]="B", WORKDAY(Main[[#This Row],[Tech Start Date]],12),IF(Main[[#This Row],[Class]]="A",WORKDAY(Main[[#This Row],[Tech Start Date]],4),""))))</f>
        <v/>
      </c>
      <c r="O1300" s="77" t="str">
        <f>IF(Main[[#This Row],[Tech Start Date]]&lt;1/1/1990,"",IF(Main[[#This Row],[Class]]="C",WORKDAY(Main[[#This Row],[Tech Start Date]],23),IF(Main[[#This Row],[Class]]="B", WORKDAY(Main[[#This Row],[Tech Start Date]],15),IF(Main[[#This Row],[Class]]="A",WORKDAY(Main[[#This Row],[Tech Start Date]],5),""))))</f>
        <v/>
      </c>
      <c r="P1300" s="77" t="str">
        <f>IF(Main[[#This Row],[Tech Start Date]]&lt;1/1/1990,"",IF(Main[[#This Row],[Class]]="C",WORKDAY(Main[[#This Row],[Tech Start Date]],28),IF(Main[[#This Row],[Class]]="B", WORKDAY(Main[[#This Row],[Tech Start Date]],19),IF(Main[[#This Row],[Class]]="A",WORKDAY(Main[[#This Row],[Tech Start Date]],9),""))))</f>
        <v/>
      </c>
      <c r="Q1300" s="74"/>
      <c r="R1300" s="74"/>
      <c r="S1300" s="72" t="s">
        <v>17</v>
      </c>
      <c r="T1300" s="80" t="s">
        <v>4</v>
      </c>
      <c r="U1300" s="72" t="s">
        <v>7</v>
      </c>
      <c r="V1300" s="72" t="s">
        <v>1920</v>
      </c>
      <c r="W1300" s="72" t="s">
        <v>1922</v>
      </c>
      <c r="X1300" s="72" t="s">
        <v>654</v>
      </c>
      <c r="Y1300" s="72" t="s">
        <v>3132</v>
      </c>
      <c r="Z1300" s="72" t="s">
        <v>4</v>
      </c>
      <c r="AA1300" s="146" t="s">
        <v>654</v>
      </c>
    </row>
    <row r="1301" spans="1:27" ht="18.600000000000001" customHeight="1">
      <c r="A1301" s="139" t="str">
        <f>IF(priority(Main[[#This Row],[Comments]])&lt;&gt;0, priority(Main[[#This Row],[Comments]]),"")</f>
        <v/>
      </c>
      <c r="B1301" s="89" t="s">
        <v>1608</v>
      </c>
      <c r="C1301" s="72" t="s">
        <v>4</v>
      </c>
      <c r="D1301" s="73" t="s">
        <v>3779</v>
      </c>
      <c r="E1301" s="74">
        <v>40666.673935185187</v>
      </c>
      <c r="F1301" s="74"/>
      <c r="G1301" s="75" t="str">
        <f>IF(stdProdLT(Main[[#This Row],[Comments]])=0.1,"N/A",IF(stdProdLT(Main[[#This Row],[Comments]])=0,"",stdProdLT(Main[[#This Row],[Comments]])))</f>
        <v/>
      </c>
      <c r="H1301" s="76" t="str">
        <f>IF(AND(Main[[#This Row],[In Stock Date]]&lt;&gt;"",Main[[#This Row],[Revised Due Date]]&lt;&gt;""),Main[[#This Row],[In Stock Date]]-Main[[#This Row],[Revised Due Date]],"")</f>
        <v/>
      </c>
      <c r="I1301" s="72" t="s">
        <v>2211</v>
      </c>
      <c r="J1301" s="72" t="s">
        <v>75</v>
      </c>
      <c r="K1301" s="72" t="s">
        <v>1926</v>
      </c>
      <c r="L1301" s="74"/>
      <c r="M1301" s="77" t="str">
        <f>IF(Main[[#This Row],[Tech Start Date]]&lt;1/1/1990,"",IF(Main[[#This Row],[Class]]="C",WORKDAY(Main[[#This Row],[Tech Start Date]],9),IF(Main[[#This Row],[Class]]="B", WORKDAY(Main[[#This Row],[Tech Start Date]],6),IF(Main[[#This Row],[Class]]="A",WORKDAY(Main[[#This Row],[Tech Start Date]],2),""))))</f>
        <v/>
      </c>
      <c r="N1301" s="77" t="str">
        <f>IF(Main[[#This Row],[Tech Start Date]]&lt;1/1/1990,"",IF(Main[[#This Row],[Class]]="C",WORKDAY(Main[[#This Row],[Tech Start Date]],19),IF(Main[[#This Row],[Class]]="B", WORKDAY(Main[[#This Row],[Tech Start Date]],12),IF(Main[[#This Row],[Class]]="A",WORKDAY(Main[[#This Row],[Tech Start Date]],4),""))))</f>
        <v/>
      </c>
      <c r="O1301" s="77" t="str">
        <f>IF(Main[[#This Row],[Tech Start Date]]&lt;1/1/1990,"",IF(Main[[#This Row],[Class]]="C",WORKDAY(Main[[#This Row],[Tech Start Date]],23),IF(Main[[#This Row],[Class]]="B", WORKDAY(Main[[#This Row],[Tech Start Date]],15),IF(Main[[#This Row],[Class]]="A",WORKDAY(Main[[#This Row],[Tech Start Date]],5),""))))</f>
        <v/>
      </c>
      <c r="P1301" s="77" t="str">
        <f>IF(Main[[#This Row],[Tech Start Date]]&lt;1/1/1990,"",IF(Main[[#This Row],[Class]]="C",WORKDAY(Main[[#This Row],[Tech Start Date]],28),IF(Main[[#This Row],[Class]]="B", WORKDAY(Main[[#This Row],[Tech Start Date]],19),IF(Main[[#This Row],[Class]]="A",WORKDAY(Main[[#This Row],[Tech Start Date]],9),""))))</f>
        <v/>
      </c>
      <c r="Q1301" s="74"/>
      <c r="R1301" s="154"/>
      <c r="S1301" s="72" t="s">
        <v>6</v>
      </c>
      <c r="T1301" s="80" t="s">
        <v>4</v>
      </c>
      <c r="U1301" s="72" t="s">
        <v>29</v>
      </c>
      <c r="V1301" s="72" t="s">
        <v>1920</v>
      </c>
      <c r="W1301" s="72" t="s">
        <v>1921</v>
      </c>
      <c r="X1301" s="72" t="s">
        <v>74</v>
      </c>
      <c r="Y1301" s="72" t="s">
        <v>3037</v>
      </c>
      <c r="Z1301" s="72" t="s">
        <v>415</v>
      </c>
      <c r="AA1301" s="146" t="s">
        <v>74</v>
      </c>
    </row>
    <row r="1302" spans="1:27" ht="18.600000000000001" customHeight="1">
      <c r="A1302" s="139" t="str">
        <f>IF(priority(Main[[#This Row],[Comments]])&lt;&gt;0, priority(Main[[#This Row],[Comments]]),"")</f>
        <v/>
      </c>
      <c r="B1302" s="89" t="s">
        <v>3780</v>
      </c>
      <c r="C1302" s="72" t="s">
        <v>2359</v>
      </c>
      <c r="D1302" s="73" t="s">
        <v>3781</v>
      </c>
      <c r="E1302" s="74"/>
      <c r="F1302" s="74">
        <v>41014</v>
      </c>
      <c r="G1302" s="75" t="str">
        <f>IF(stdProdLT(Main[[#This Row],[Comments]])=0.1,"N/A",IF(stdProdLT(Main[[#This Row],[Comments]])=0,"",stdProdLT(Main[[#This Row],[Comments]])))</f>
        <v/>
      </c>
      <c r="H1302" s="76" t="str">
        <f>IF(AND(Main[[#This Row],[In Stock Date]]&lt;&gt;"",Main[[#This Row],[Revised Due Date]]&lt;&gt;""),Main[[#This Row],[In Stock Date]]-Main[[#This Row],[Revised Due Date]],"")</f>
        <v/>
      </c>
      <c r="I1302" s="72" t="s">
        <v>4</v>
      </c>
      <c r="J1302" s="72" t="s">
        <v>4</v>
      </c>
      <c r="K1302" s="72" t="s">
        <v>4</v>
      </c>
      <c r="L1302" s="74"/>
      <c r="M1302" s="77" t="str">
        <f>IF(Main[[#This Row],[Tech Start Date]]&lt;1/1/1990,"",IF(Main[[#This Row],[Class]]="C",WORKDAY(Main[[#This Row],[Tech Start Date]],9),IF(Main[[#This Row],[Class]]="B", WORKDAY(Main[[#This Row],[Tech Start Date]],6),IF(Main[[#This Row],[Class]]="A",WORKDAY(Main[[#This Row],[Tech Start Date]],2),""))))</f>
        <v/>
      </c>
      <c r="N1302" s="77" t="str">
        <f>IF(Main[[#This Row],[Tech Start Date]]&lt;1/1/1990,"",IF(Main[[#This Row],[Class]]="C",WORKDAY(Main[[#This Row],[Tech Start Date]],19),IF(Main[[#This Row],[Class]]="B", WORKDAY(Main[[#This Row],[Tech Start Date]],12),IF(Main[[#This Row],[Class]]="A",WORKDAY(Main[[#This Row],[Tech Start Date]],4),""))))</f>
        <v/>
      </c>
      <c r="O1302" s="77" t="str">
        <f>IF(Main[[#This Row],[Tech Start Date]]&lt;1/1/1990,"",IF(Main[[#This Row],[Class]]="C",WORKDAY(Main[[#This Row],[Tech Start Date]],23),IF(Main[[#This Row],[Class]]="B", WORKDAY(Main[[#This Row],[Tech Start Date]],15),IF(Main[[#This Row],[Class]]="A",WORKDAY(Main[[#This Row],[Tech Start Date]],5),""))))</f>
        <v/>
      </c>
      <c r="P1302" s="77" t="str">
        <f>IF(Main[[#This Row],[Tech Start Date]]&lt;1/1/1990,"",IF(Main[[#This Row],[Class]]="C",WORKDAY(Main[[#This Row],[Tech Start Date]],28),IF(Main[[#This Row],[Class]]="B", WORKDAY(Main[[#This Row],[Tech Start Date]],19),IF(Main[[#This Row],[Class]]="A",WORKDAY(Main[[#This Row],[Tech Start Date]],9),""))))</f>
        <v/>
      </c>
      <c r="Q1302" s="74">
        <v>40916</v>
      </c>
      <c r="R1302" s="74"/>
      <c r="S1302" s="72" t="s">
        <v>11</v>
      </c>
      <c r="T1302" s="80" t="s">
        <v>4</v>
      </c>
      <c r="U1302" s="72" t="s">
        <v>12</v>
      </c>
      <c r="V1302" s="72" t="s">
        <v>1927</v>
      </c>
      <c r="W1302" s="72" t="s">
        <v>1925</v>
      </c>
      <c r="X1302" s="72" t="s">
        <v>2849</v>
      </c>
      <c r="Y1302" s="72" t="s">
        <v>4</v>
      </c>
      <c r="Z1302" s="72" t="s">
        <v>4</v>
      </c>
      <c r="AA1302" s="146" t="s">
        <v>2849</v>
      </c>
    </row>
    <row r="1303" spans="1:27" ht="18.600000000000001" customHeight="1">
      <c r="A1303" s="139" t="str">
        <f>IF(priority(Main[[#This Row],[Comments]])&lt;&gt;0, priority(Main[[#This Row],[Comments]]),"")</f>
        <v/>
      </c>
      <c r="B1303" s="89" t="s">
        <v>3782</v>
      </c>
      <c r="C1303" s="72" t="s">
        <v>2359</v>
      </c>
      <c r="D1303" s="73" t="s">
        <v>3783</v>
      </c>
      <c r="E1303" s="74"/>
      <c r="F1303" s="74">
        <v>41014</v>
      </c>
      <c r="G1303" s="75" t="str">
        <f>IF(stdProdLT(Main[[#This Row],[Comments]])=0.1,"N/A",IF(stdProdLT(Main[[#This Row],[Comments]])=0,"",stdProdLT(Main[[#This Row],[Comments]])))</f>
        <v/>
      </c>
      <c r="H1303" s="76" t="str">
        <f>IF(AND(Main[[#This Row],[In Stock Date]]&lt;&gt;"",Main[[#This Row],[Revised Due Date]]&lt;&gt;""),Main[[#This Row],[In Stock Date]]-Main[[#This Row],[Revised Due Date]],"")</f>
        <v/>
      </c>
      <c r="I1303" s="72" t="s">
        <v>4</v>
      </c>
      <c r="J1303" s="72" t="s">
        <v>4</v>
      </c>
      <c r="K1303" s="81" t="s">
        <v>4</v>
      </c>
      <c r="L1303" s="74"/>
      <c r="M1303" s="77" t="str">
        <f>IF(Main[[#This Row],[Tech Start Date]]&lt;1/1/1990,"",IF(Main[[#This Row],[Class]]="C",WORKDAY(Main[[#This Row],[Tech Start Date]],9),IF(Main[[#This Row],[Class]]="B", WORKDAY(Main[[#This Row],[Tech Start Date]],6),IF(Main[[#This Row],[Class]]="A",WORKDAY(Main[[#This Row],[Tech Start Date]],2),""))))</f>
        <v/>
      </c>
      <c r="N1303" s="77" t="str">
        <f>IF(Main[[#This Row],[Tech Start Date]]&lt;1/1/1990,"",IF(Main[[#This Row],[Class]]="C",WORKDAY(Main[[#This Row],[Tech Start Date]],19),IF(Main[[#This Row],[Class]]="B", WORKDAY(Main[[#This Row],[Tech Start Date]],12),IF(Main[[#This Row],[Class]]="A",WORKDAY(Main[[#This Row],[Tech Start Date]],4),""))))</f>
        <v/>
      </c>
      <c r="O1303" s="77" t="str">
        <f>IF(Main[[#This Row],[Tech Start Date]]&lt;1/1/1990,"",IF(Main[[#This Row],[Class]]="C",WORKDAY(Main[[#This Row],[Tech Start Date]],23),IF(Main[[#This Row],[Class]]="B", WORKDAY(Main[[#This Row],[Tech Start Date]],15),IF(Main[[#This Row],[Class]]="A",WORKDAY(Main[[#This Row],[Tech Start Date]],5),""))))</f>
        <v/>
      </c>
      <c r="P1303" s="77" t="str">
        <f>IF(Main[[#This Row],[Tech Start Date]]&lt;1/1/1990,"",IF(Main[[#This Row],[Class]]="C",WORKDAY(Main[[#This Row],[Tech Start Date]],28),IF(Main[[#This Row],[Class]]="B", WORKDAY(Main[[#This Row],[Tech Start Date]],19),IF(Main[[#This Row],[Class]]="A",WORKDAY(Main[[#This Row],[Tech Start Date]],9),""))))</f>
        <v/>
      </c>
      <c r="Q1303" s="74">
        <v>40916</v>
      </c>
      <c r="R1303" s="74"/>
      <c r="S1303" s="72" t="s">
        <v>11</v>
      </c>
      <c r="T1303" s="80" t="s">
        <v>4</v>
      </c>
      <c r="U1303" s="72" t="s">
        <v>12</v>
      </c>
      <c r="V1303" s="72" t="s">
        <v>1927</v>
      </c>
      <c r="W1303" s="72" t="s">
        <v>1922</v>
      </c>
      <c r="X1303" s="72" t="s">
        <v>2849</v>
      </c>
      <c r="Y1303" s="72" t="s">
        <v>4</v>
      </c>
      <c r="Z1303" s="72" t="s">
        <v>4</v>
      </c>
      <c r="AA1303" s="146" t="s">
        <v>2849</v>
      </c>
    </row>
    <row r="1304" spans="1:27" ht="18.600000000000001" customHeight="1">
      <c r="A1304" s="139" t="str">
        <f>IF(priority(Main[[#This Row],[Comments]])&lt;&gt;0, priority(Main[[#This Row],[Comments]]),"")</f>
        <v/>
      </c>
      <c r="B1304" s="89" t="s">
        <v>2549</v>
      </c>
      <c r="C1304" s="72" t="s">
        <v>4</v>
      </c>
      <c r="D1304" s="73" t="s">
        <v>2550</v>
      </c>
      <c r="E1304" s="74">
        <v>40834.332835648151</v>
      </c>
      <c r="F1304" s="74"/>
      <c r="G1304" s="75" t="str">
        <f>IF(stdProdLT(Main[[#This Row],[Comments]])=0.1,"N/A",IF(stdProdLT(Main[[#This Row],[Comments]])=0,"",stdProdLT(Main[[#This Row],[Comments]])))</f>
        <v/>
      </c>
      <c r="H1304" s="76" t="str">
        <f>IF(AND(Main[[#This Row],[In Stock Date]]&lt;&gt;"",Main[[#This Row],[Revised Due Date]]&lt;&gt;""),Main[[#This Row],[In Stock Date]]-Main[[#This Row],[Revised Due Date]],"")</f>
        <v/>
      </c>
      <c r="I1304" s="72" t="s">
        <v>885</v>
      </c>
      <c r="J1304" s="72" t="s">
        <v>51</v>
      </c>
      <c r="K1304" s="81" t="s">
        <v>4</v>
      </c>
      <c r="L1304" s="74"/>
      <c r="M1304" s="77" t="str">
        <f>IF(Main[[#This Row],[Tech Start Date]]&lt;1/1/1990,"",IF(Main[[#This Row],[Class]]="C",WORKDAY(Main[[#This Row],[Tech Start Date]],9),IF(Main[[#This Row],[Class]]="B", WORKDAY(Main[[#This Row],[Tech Start Date]],6),IF(Main[[#This Row],[Class]]="A",WORKDAY(Main[[#This Row],[Tech Start Date]],2),""))))</f>
        <v/>
      </c>
      <c r="N1304" s="77" t="str">
        <f>IF(Main[[#This Row],[Tech Start Date]]&lt;1/1/1990,"",IF(Main[[#This Row],[Class]]="C",WORKDAY(Main[[#This Row],[Tech Start Date]],19),IF(Main[[#This Row],[Class]]="B", WORKDAY(Main[[#This Row],[Tech Start Date]],12),IF(Main[[#This Row],[Class]]="A",WORKDAY(Main[[#This Row],[Tech Start Date]],4),""))))</f>
        <v/>
      </c>
      <c r="O1304" s="77" t="str">
        <f>IF(Main[[#This Row],[Tech Start Date]]&lt;1/1/1990,"",IF(Main[[#This Row],[Class]]="C",WORKDAY(Main[[#This Row],[Tech Start Date]],23),IF(Main[[#This Row],[Class]]="B", WORKDAY(Main[[#This Row],[Tech Start Date]],15),IF(Main[[#This Row],[Class]]="A",WORKDAY(Main[[#This Row],[Tech Start Date]],5),""))))</f>
        <v/>
      </c>
      <c r="P1304" s="77" t="str">
        <f>IF(Main[[#This Row],[Tech Start Date]]&lt;1/1/1990,"",IF(Main[[#This Row],[Class]]="C",WORKDAY(Main[[#This Row],[Tech Start Date]],28),IF(Main[[#This Row],[Class]]="B", WORKDAY(Main[[#This Row],[Tech Start Date]],19),IF(Main[[#This Row],[Class]]="A",WORKDAY(Main[[#This Row],[Tech Start Date]],9),""))))</f>
        <v/>
      </c>
      <c r="Q1304" s="74"/>
      <c r="R1304" s="74"/>
      <c r="S1304" s="72" t="s">
        <v>6</v>
      </c>
      <c r="T1304" s="80" t="s">
        <v>4</v>
      </c>
      <c r="U1304" s="72" t="s">
        <v>29</v>
      </c>
      <c r="V1304" s="72" t="s">
        <v>1920</v>
      </c>
      <c r="W1304" s="72" t="s">
        <v>1921</v>
      </c>
      <c r="X1304" s="72" t="s">
        <v>399</v>
      </c>
      <c r="Y1304" s="72" t="s">
        <v>4</v>
      </c>
      <c r="Z1304" s="72" t="s">
        <v>4</v>
      </c>
      <c r="AA1304" s="146" t="s">
        <v>306</v>
      </c>
    </row>
    <row r="1305" spans="1:27" ht="18.600000000000001" customHeight="1">
      <c r="A1305" s="139" t="str">
        <f>IF(priority(Main[[#This Row],[Comments]])&lt;&gt;0, priority(Main[[#This Row],[Comments]]),"")</f>
        <v/>
      </c>
      <c r="B1305" s="89" t="s">
        <v>3784</v>
      </c>
      <c r="C1305" s="72" t="s">
        <v>148</v>
      </c>
      <c r="D1305" s="73" t="s">
        <v>3785</v>
      </c>
      <c r="E1305" s="74">
        <v>40967.383240740739</v>
      </c>
      <c r="F1305" s="74">
        <v>41096</v>
      </c>
      <c r="G1305" s="75" t="str">
        <f>IF(stdProdLT(Main[[#This Row],[Comments]])=0.1,"N/A",IF(stdProdLT(Main[[#This Row],[Comments]])=0,"",stdProdLT(Main[[#This Row],[Comments]])))</f>
        <v/>
      </c>
      <c r="H1305" s="76" t="str">
        <f>IF(AND(Main[[#This Row],[In Stock Date]]&lt;&gt;"",Main[[#This Row],[Revised Due Date]]&lt;&gt;""),Main[[#This Row],[In Stock Date]]-Main[[#This Row],[Revised Due Date]],"")</f>
        <v/>
      </c>
      <c r="I1305" s="72" t="s">
        <v>4</v>
      </c>
      <c r="J1305" s="72" t="s">
        <v>4</v>
      </c>
      <c r="K1305" s="81" t="s">
        <v>4</v>
      </c>
      <c r="L1305" s="74"/>
      <c r="M1305" s="77" t="str">
        <f>IF(Main[[#This Row],[Tech Start Date]]&lt;1/1/1990,"",IF(Main[[#This Row],[Class]]="C",WORKDAY(Main[[#This Row],[Tech Start Date]],9),IF(Main[[#This Row],[Class]]="B", WORKDAY(Main[[#This Row],[Tech Start Date]],6),IF(Main[[#This Row],[Class]]="A",WORKDAY(Main[[#This Row],[Tech Start Date]],2),""))))</f>
        <v/>
      </c>
      <c r="N1305" s="77" t="str">
        <f>IF(Main[[#This Row],[Tech Start Date]]&lt;1/1/1990,"",IF(Main[[#This Row],[Class]]="C",WORKDAY(Main[[#This Row],[Tech Start Date]],19),IF(Main[[#This Row],[Class]]="B", WORKDAY(Main[[#This Row],[Tech Start Date]],12),IF(Main[[#This Row],[Class]]="A",WORKDAY(Main[[#This Row],[Tech Start Date]],4),""))))</f>
        <v/>
      </c>
      <c r="O1305" s="77" t="str">
        <f>IF(Main[[#This Row],[Tech Start Date]]&lt;1/1/1990,"",IF(Main[[#This Row],[Class]]="C",WORKDAY(Main[[#This Row],[Tech Start Date]],23),IF(Main[[#This Row],[Class]]="B", WORKDAY(Main[[#This Row],[Tech Start Date]],15),IF(Main[[#This Row],[Class]]="A",WORKDAY(Main[[#This Row],[Tech Start Date]],5),""))))</f>
        <v/>
      </c>
      <c r="P1305" s="77" t="str">
        <f>IF(Main[[#This Row],[Tech Start Date]]&lt;1/1/1990,"",IF(Main[[#This Row],[Class]]="C",WORKDAY(Main[[#This Row],[Tech Start Date]],28),IF(Main[[#This Row],[Class]]="B", WORKDAY(Main[[#This Row],[Tech Start Date]],19),IF(Main[[#This Row],[Class]]="A",WORKDAY(Main[[#This Row],[Tech Start Date]],9),""))))</f>
        <v/>
      </c>
      <c r="Q1305" s="74"/>
      <c r="R1305" s="74"/>
      <c r="S1305" s="72" t="s">
        <v>11</v>
      </c>
      <c r="T1305" s="80" t="s">
        <v>4</v>
      </c>
      <c r="U1305" s="72" t="s">
        <v>7</v>
      </c>
      <c r="V1305" s="72" t="s">
        <v>1920</v>
      </c>
      <c r="W1305" s="72" t="s">
        <v>1925</v>
      </c>
      <c r="X1305" s="72" t="s">
        <v>50</v>
      </c>
      <c r="Y1305" s="72" t="s">
        <v>3787</v>
      </c>
      <c r="Z1305" s="72" t="s">
        <v>4</v>
      </c>
      <c r="AA1305" s="146" t="s">
        <v>3786</v>
      </c>
    </row>
    <row r="1306" spans="1:27" ht="18.600000000000001" customHeight="1">
      <c r="A1306" s="139" t="str">
        <f>IF(priority(Main[[#This Row],[Comments]])&lt;&gt;0, priority(Main[[#This Row],[Comments]]),"")</f>
        <v/>
      </c>
      <c r="B1306" s="89" t="s">
        <v>2463</v>
      </c>
      <c r="C1306" s="72" t="s">
        <v>4</v>
      </c>
      <c r="D1306" s="73" t="s">
        <v>2464</v>
      </c>
      <c r="E1306" s="74">
        <v>40855.432083333333</v>
      </c>
      <c r="F1306" s="74">
        <v>40877</v>
      </c>
      <c r="G1306" s="75" t="str">
        <f>IF(stdProdLT(Main[[#This Row],[Comments]])=0.1,"N/A",IF(stdProdLT(Main[[#This Row],[Comments]])=0,"",stdProdLT(Main[[#This Row],[Comments]])))</f>
        <v/>
      </c>
      <c r="H1306" s="76" t="str">
        <f>IF(AND(Main[[#This Row],[In Stock Date]]&lt;&gt;"",Main[[#This Row],[Revised Due Date]]&lt;&gt;""),Main[[#This Row],[In Stock Date]]-Main[[#This Row],[Revised Due Date]],"")</f>
        <v/>
      </c>
      <c r="I1306" s="72" t="s">
        <v>4</v>
      </c>
      <c r="J1306" s="72" t="s">
        <v>4</v>
      </c>
      <c r="K1306" s="72" t="s">
        <v>4</v>
      </c>
      <c r="L1306" s="74"/>
      <c r="M1306" s="77" t="str">
        <f>IF(Main[[#This Row],[Tech Start Date]]&lt;1/1/1990,"",IF(Main[[#This Row],[Class]]="C",WORKDAY(Main[[#This Row],[Tech Start Date]],9),IF(Main[[#This Row],[Class]]="B", WORKDAY(Main[[#This Row],[Tech Start Date]],6),IF(Main[[#This Row],[Class]]="A",WORKDAY(Main[[#This Row],[Tech Start Date]],2),""))))</f>
        <v/>
      </c>
      <c r="N1306" s="77" t="str">
        <f>IF(Main[[#This Row],[Tech Start Date]]&lt;1/1/1990,"",IF(Main[[#This Row],[Class]]="C",WORKDAY(Main[[#This Row],[Tech Start Date]],19),IF(Main[[#This Row],[Class]]="B", WORKDAY(Main[[#This Row],[Tech Start Date]],12),IF(Main[[#This Row],[Class]]="A",WORKDAY(Main[[#This Row],[Tech Start Date]],4),""))))</f>
        <v/>
      </c>
      <c r="O1306" s="77" t="str">
        <f>IF(Main[[#This Row],[Tech Start Date]]&lt;1/1/1990,"",IF(Main[[#This Row],[Class]]="C",WORKDAY(Main[[#This Row],[Tech Start Date]],23),IF(Main[[#This Row],[Class]]="B", WORKDAY(Main[[#This Row],[Tech Start Date]],15),IF(Main[[#This Row],[Class]]="A",WORKDAY(Main[[#This Row],[Tech Start Date]],5),""))))</f>
        <v/>
      </c>
      <c r="P1306" s="77" t="str">
        <f>IF(Main[[#This Row],[Tech Start Date]]&lt;1/1/1990,"",IF(Main[[#This Row],[Class]]="C",WORKDAY(Main[[#This Row],[Tech Start Date]],28),IF(Main[[#This Row],[Class]]="B", WORKDAY(Main[[#This Row],[Tech Start Date]],19),IF(Main[[#This Row],[Class]]="A",WORKDAY(Main[[#This Row],[Tech Start Date]],9),""))))</f>
        <v/>
      </c>
      <c r="Q1306" s="74">
        <v>40865</v>
      </c>
      <c r="R1306" s="74"/>
      <c r="S1306" s="72" t="s">
        <v>11</v>
      </c>
      <c r="T1306" s="80" t="s">
        <v>4</v>
      </c>
      <c r="U1306" s="72" t="s">
        <v>7</v>
      </c>
      <c r="V1306" s="72" t="s">
        <v>2288</v>
      </c>
      <c r="W1306" s="72" t="s">
        <v>1925</v>
      </c>
      <c r="X1306" s="72" t="s">
        <v>2919</v>
      </c>
      <c r="Y1306" s="72" t="s">
        <v>3142</v>
      </c>
      <c r="Z1306" s="72" t="s">
        <v>4</v>
      </c>
      <c r="AA1306" s="146" t="s">
        <v>3478</v>
      </c>
    </row>
    <row r="1307" spans="1:27" ht="18.600000000000001" customHeight="1">
      <c r="A1307" s="139" t="str">
        <f>IF(priority(Main[[#This Row],[Comments]])&lt;&gt;0, priority(Main[[#This Row],[Comments]]),"")</f>
        <v/>
      </c>
      <c r="B1307" s="89" t="s">
        <v>2490</v>
      </c>
      <c r="C1307" s="72" t="s">
        <v>4</v>
      </c>
      <c r="D1307" s="73" t="s">
        <v>2491</v>
      </c>
      <c r="E1307" s="74">
        <v>40864.625219907408</v>
      </c>
      <c r="F1307" s="74"/>
      <c r="G1307" s="75" t="str">
        <f>IF(stdProdLT(Main[[#This Row],[Comments]])=0.1,"N/A",IF(stdProdLT(Main[[#This Row],[Comments]])=0,"",stdProdLT(Main[[#This Row],[Comments]])))</f>
        <v/>
      </c>
      <c r="H1307" s="76" t="str">
        <f>IF(AND(Main[[#This Row],[In Stock Date]]&lt;&gt;"",Main[[#This Row],[Revised Due Date]]&lt;&gt;""),Main[[#This Row],[In Stock Date]]-Main[[#This Row],[Revised Due Date]],"")</f>
        <v/>
      </c>
      <c r="I1307" s="72" t="s">
        <v>4</v>
      </c>
      <c r="J1307" s="72" t="s">
        <v>4</v>
      </c>
      <c r="K1307" s="72" t="s">
        <v>4</v>
      </c>
      <c r="L1307" s="74"/>
      <c r="M1307" s="77" t="str">
        <f>IF(Main[[#This Row],[Tech Start Date]]&lt;1/1/1990,"",IF(Main[[#This Row],[Class]]="C",WORKDAY(Main[[#This Row],[Tech Start Date]],9),IF(Main[[#This Row],[Class]]="B", WORKDAY(Main[[#This Row],[Tech Start Date]],6),IF(Main[[#This Row],[Class]]="A",WORKDAY(Main[[#This Row],[Tech Start Date]],2),""))))</f>
        <v/>
      </c>
      <c r="N1307" s="77" t="str">
        <f>IF(Main[[#This Row],[Tech Start Date]]&lt;1/1/1990,"",IF(Main[[#This Row],[Class]]="C",WORKDAY(Main[[#This Row],[Tech Start Date]],19),IF(Main[[#This Row],[Class]]="B", WORKDAY(Main[[#This Row],[Tech Start Date]],12),IF(Main[[#This Row],[Class]]="A",WORKDAY(Main[[#This Row],[Tech Start Date]],4),""))))</f>
        <v/>
      </c>
      <c r="O1307" s="77" t="str">
        <f>IF(Main[[#This Row],[Tech Start Date]]&lt;1/1/1990,"",IF(Main[[#This Row],[Class]]="C",WORKDAY(Main[[#This Row],[Tech Start Date]],23),IF(Main[[#This Row],[Class]]="B", WORKDAY(Main[[#This Row],[Tech Start Date]],15),IF(Main[[#This Row],[Class]]="A",WORKDAY(Main[[#This Row],[Tech Start Date]],5),""))))</f>
        <v/>
      </c>
      <c r="P1307" s="77" t="str">
        <f>IF(Main[[#This Row],[Tech Start Date]]&lt;1/1/1990,"",IF(Main[[#This Row],[Class]]="C",WORKDAY(Main[[#This Row],[Tech Start Date]],28),IF(Main[[#This Row],[Class]]="B", WORKDAY(Main[[#This Row],[Tech Start Date]],19),IF(Main[[#This Row],[Class]]="A",WORKDAY(Main[[#This Row],[Tech Start Date]],9),""))))</f>
        <v/>
      </c>
      <c r="Q1307" s="74"/>
      <c r="R1307" s="74"/>
      <c r="S1307" s="72" t="s">
        <v>17</v>
      </c>
      <c r="T1307" s="80" t="s">
        <v>4</v>
      </c>
      <c r="U1307" s="72" t="s">
        <v>7</v>
      </c>
      <c r="V1307" s="72" t="s">
        <v>1918</v>
      </c>
      <c r="W1307" s="72" t="s">
        <v>1921</v>
      </c>
      <c r="X1307" s="72" t="s">
        <v>2872</v>
      </c>
      <c r="Y1307" s="72" t="s">
        <v>3006</v>
      </c>
      <c r="Z1307" s="72" t="s">
        <v>4</v>
      </c>
      <c r="AA1307" s="146" t="s">
        <v>2872</v>
      </c>
    </row>
    <row r="1308" spans="1:27" ht="18.600000000000001" customHeight="1">
      <c r="A1308" s="139" t="str">
        <f>IF(priority(Main[[#This Row],[Comments]])&lt;&gt;0, priority(Main[[#This Row],[Comments]]),"")</f>
        <v/>
      </c>
      <c r="B1308" s="89" t="s">
        <v>2237</v>
      </c>
      <c r="C1308" s="72" t="s">
        <v>4</v>
      </c>
      <c r="D1308" s="73" t="s">
        <v>2577</v>
      </c>
      <c r="E1308" s="74">
        <v>40798.47016203704</v>
      </c>
      <c r="F1308" s="74"/>
      <c r="G1308" s="75" t="str">
        <f>IF(stdProdLT(Main[[#This Row],[Comments]])=0.1,"N/A",IF(stdProdLT(Main[[#This Row],[Comments]])=0,"",stdProdLT(Main[[#This Row],[Comments]])))</f>
        <v/>
      </c>
      <c r="H1308" s="76" t="str">
        <f>IF(AND(Main[[#This Row],[In Stock Date]]&lt;&gt;"",Main[[#This Row],[Revised Due Date]]&lt;&gt;""),Main[[#This Row],[In Stock Date]]-Main[[#This Row],[Revised Due Date]],"")</f>
        <v/>
      </c>
      <c r="I1308" s="72" t="s">
        <v>130</v>
      </c>
      <c r="J1308" s="72" t="s">
        <v>28</v>
      </c>
      <c r="K1308" s="72" t="s">
        <v>1926</v>
      </c>
      <c r="L1308" s="74"/>
      <c r="M1308" s="77" t="str">
        <f>IF(Main[[#This Row],[Tech Start Date]]&lt;1/1/1990,"",IF(Main[[#This Row],[Class]]="C",WORKDAY(Main[[#This Row],[Tech Start Date]],9),IF(Main[[#This Row],[Class]]="B", WORKDAY(Main[[#This Row],[Tech Start Date]],6),IF(Main[[#This Row],[Class]]="A",WORKDAY(Main[[#This Row],[Tech Start Date]],2),""))))</f>
        <v/>
      </c>
      <c r="N1308" s="77" t="str">
        <f>IF(Main[[#This Row],[Tech Start Date]]&lt;1/1/1990,"",IF(Main[[#This Row],[Class]]="C",WORKDAY(Main[[#This Row],[Tech Start Date]],19),IF(Main[[#This Row],[Class]]="B", WORKDAY(Main[[#This Row],[Tech Start Date]],12),IF(Main[[#This Row],[Class]]="A",WORKDAY(Main[[#This Row],[Tech Start Date]],4),""))))</f>
        <v/>
      </c>
      <c r="O1308" s="77" t="str">
        <f>IF(Main[[#This Row],[Tech Start Date]]&lt;1/1/1990,"",IF(Main[[#This Row],[Class]]="C",WORKDAY(Main[[#This Row],[Tech Start Date]],23),IF(Main[[#This Row],[Class]]="B", WORKDAY(Main[[#This Row],[Tech Start Date]],15),IF(Main[[#This Row],[Class]]="A",WORKDAY(Main[[#This Row],[Tech Start Date]],5),""))))</f>
        <v/>
      </c>
      <c r="P1308" s="77" t="str">
        <f>IF(Main[[#This Row],[Tech Start Date]]&lt;1/1/1990,"",IF(Main[[#This Row],[Class]]="C",WORKDAY(Main[[#This Row],[Tech Start Date]],28),IF(Main[[#This Row],[Class]]="B", WORKDAY(Main[[#This Row],[Tech Start Date]],19),IF(Main[[#This Row],[Class]]="A",WORKDAY(Main[[#This Row],[Tech Start Date]],9),""))))</f>
        <v/>
      </c>
      <c r="Q1308" s="74">
        <v>40847</v>
      </c>
      <c r="R1308" s="74"/>
      <c r="S1308" s="72" t="s">
        <v>6</v>
      </c>
      <c r="T1308" s="80" t="s">
        <v>4</v>
      </c>
      <c r="U1308" s="72" t="s">
        <v>29</v>
      </c>
      <c r="V1308" s="72" t="s">
        <v>1920</v>
      </c>
      <c r="W1308" s="72" t="s">
        <v>1921</v>
      </c>
      <c r="X1308" s="72" t="s">
        <v>30</v>
      </c>
      <c r="Y1308" s="72" t="s">
        <v>3143</v>
      </c>
      <c r="Z1308" s="72" t="s">
        <v>30</v>
      </c>
      <c r="AA1308" s="146" t="s">
        <v>3479</v>
      </c>
    </row>
    <row r="1309" spans="1:27" ht="18.600000000000001" customHeight="1">
      <c r="A1309" s="139" t="str">
        <f>IF(priority(Main[[#This Row],[Comments]])&lt;&gt;0, priority(Main[[#This Row],[Comments]]),"")</f>
        <v/>
      </c>
      <c r="B1309" s="89" t="s">
        <v>1604</v>
      </c>
      <c r="C1309" s="72" t="s">
        <v>275</v>
      </c>
      <c r="D1309" s="73" t="s">
        <v>678</v>
      </c>
      <c r="E1309" s="74">
        <v>40500.611724537041</v>
      </c>
      <c r="F1309" s="74">
        <v>40444</v>
      </c>
      <c r="G1309" s="75" t="str">
        <f>IF(stdProdLT(Main[[#This Row],[Comments]])=0.1,"N/A",IF(stdProdLT(Main[[#This Row],[Comments]])=0,"",stdProdLT(Main[[#This Row],[Comments]])))</f>
        <v/>
      </c>
      <c r="H1309" s="76">
        <f>IF(AND(Main[[#This Row],[In Stock Date]]&lt;&gt;"",Main[[#This Row],[Revised Due Date]]&lt;&gt;""),Main[[#This Row],[In Stock Date]]-Main[[#This Row],[Revised Due Date]],"")</f>
        <v>-349</v>
      </c>
      <c r="I1309" s="72" t="s">
        <v>4</v>
      </c>
      <c r="J1309" s="72" t="s">
        <v>4</v>
      </c>
      <c r="K1309" s="81" t="s">
        <v>4</v>
      </c>
      <c r="L1309" s="74"/>
      <c r="M1309" s="77" t="str">
        <f>IF(Main[[#This Row],[Tech Start Date]]&lt;1/1/1990,"",IF(Main[[#This Row],[Class]]="C",WORKDAY(Main[[#This Row],[Tech Start Date]],9),IF(Main[[#This Row],[Class]]="B", WORKDAY(Main[[#This Row],[Tech Start Date]],6),IF(Main[[#This Row],[Class]]="A",WORKDAY(Main[[#This Row],[Tech Start Date]],2),""))))</f>
        <v/>
      </c>
      <c r="N1309" s="77" t="str">
        <f>IF(Main[[#This Row],[Tech Start Date]]&lt;1/1/1990,"",IF(Main[[#This Row],[Class]]="C",WORKDAY(Main[[#This Row],[Tech Start Date]],19),IF(Main[[#This Row],[Class]]="B", WORKDAY(Main[[#This Row],[Tech Start Date]],12),IF(Main[[#This Row],[Class]]="A",WORKDAY(Main[[#This Row],[Tech Start Date]],4),""))))</f>
        <v/>
      </c>
      <c r="O1309" s="77" t="str">
        <f>IF(Main[[#This Row],[Tech Start Date]]&lt;1/1/1990,"",IF(Main[[#This Row],[Class]]="C",WORKDAY(Main[[#This Row],[Tech Start Date]],23),IF(Main[[#This Row],[Class]]="B", WORKDAY(Main[[#This Row],[Tech Start Date]],15),IF(Main[[#This Row],[Class]]="A",WORKDAY(Main[[#This Row],[Tech Start Date]],5),""))))</f>
        <v/>
      </c>
      <c r="P1309" s="77" t="str">
        <f>IF(Main[[#This Row],[Tech Start Date]]&lt;1/1/1990,"",IF(Main[[#This Row],[Class]]="C",WORKDAY(Main[[#This Row],[Tech Start Date]],28),IF(Main[[#This Row],[Class]]="B", WORKDAY(Main[[#This Row],[Tech Start Date]],19),IF(Main[[#This Row],[Class]]="A",WORKDAY(Main[[#This Row],[Tech Start Date]],9),""))))</f>
        <v/>
      </c>
      <c r="Q1309" s="74">
        <v>40262</v>
      </c>
      <c r="R1309" s="74">
        <v>40793</v>
      </c>
      <c r="S1309" s="72" t="s">
        <v>17</v>
      </c>
      <c r="T1309" s="80" t="s">
        <v>4</v>
      </c>
      <c r="U1309" s="72" t="s">
        <v>29</v>
      </c>
      <c r="V1309" s="72" t="s">
        <v>1920</v>
      </c>
      <c r="W1309" s="72" t="s">
        <v>1922</v>
      </c>
      <c r="X1309" s="72" t="s">
        <v>306</v>
      </c>
      <c r="Y1309" s="72" t="s">
        <v>4</v>
      </c>
      <c r="Z1309" s="72" t="s">
        <v>4</v>
      </c>
      <c r="AA1309" s="146" t="s">
        <v>65</v>
      </c>
    </row>
    <row r="1310" spans="1:27" ht="18.600000000000001" customHeight="1">
      <c r="A1310" s="139" t="str">
        <f>IF(priority(Main[[#This Row],[Comments]])&lt;&gt;0, priority(Main[[#This Row],[Comments]]),"")</f>
        <v/>
      </c>
      <c r="B1310" s="89" t="s">
        <v>2358</v>
      </c>
      <c r="C1310" s="72" t="s">
        <v>2359</v>
      </c>
      <c r="D1310" s="73" t="s">
        <v>2360</v>
      </c>
      <c r="E1310" s="74"/>
      <c r="F1310" s="74">
        <v>41008</v>
      </c>
      <c r="G1310" s="75" t="str">
        <f>IF(stdProdLT(Main[[#This Row],[Comments]])=0.1,"N/A",IF(stdProdLT(Main[[#This Row],[Comments]])=0,"",stdProdLT(Main[[#This Row],[Comments]])))</f>
        <v/>
      </c>
      <c r="H1310" s="76" t="str">
        <f>IF(AND(Main[[#This Row],[In Stock Date]]&lt;&gt;"",Main[[#This Row],[Revised Due Date]]&lt;&gt;""),Main[[#This Row],[In Stock Date]]-Main[[#This Row],[Revised Due Date]],"")</f>
        <v/>
      </c>
      <c r="I1310" s="72" t="s">
        <v>4</v>
      </c>
      <c r="J1310" s="72" t="s">
        <v>4</v>
      </c>
      <c r="K1310" s="72" t="s">
        <v>4</v>
      </c>
      <c r="L1310" s="74"/>
      <c r="M1310" s="77" t="str">
        <f>IF(Main[[#This Row],[Tech Start Date]]&lt;1/1/1990,"",IF(Main[[#This Row],[Class]]="C",WORKDAY(Main[[#This Row],[Tech Start Date]],9),IF(Main[[#This Row],[Class]]="B", WORKDAY(Main[[#This Row],[Tech Start Date]],6),IF(Main[[#This Row],[Class]]="A",WORKDAY(Main[[#This Row],[Tech Start Date]],2),""))))</f>
        <v/>
      </c>
      <c r="N1310" s="77" t="str">
        <f>IF(Main[[#This Row],[Tech Start Date]]&lt;1/1/1990,"",IF(Main[[#This Row],[Class]]="C",WORKDAY(Main[[#This Row],[Tech Start Date]],19),IF(Main[[#This Row],[Class]]="B", WORKDAY(Main[[#This Row],[Tech Start Date]],12),IF(Main[[#This Row],[Class]]="A",WORKDAY(Main[[#This Row],[Tech Start Date]],4),""))))</f>
        <v/>
      </c>
      <c r="O1310" s="77" t="str">
        <f>IF(Main[[#This Row],[Tech Start Date]]&lt;1/1/1990,"",IF(Main[[#This Row],[Class]]="C",WORKDAY(Main[[#This Row],[Tech Start Date]],23),IF(Main[[#This Row],[Class]]="B", WORKDAY(Main[[#This Row],[Tech Start Date]],15),IF(Main[[#This Row],[Class]]="A",WORKDAY(Main[[#This Row],[Tech Start Date]],5),""))))</f>
        <v/>
      </c>
      <c r="P1310" s="77" t="str">
        <f>IF(Main[[#This Row],[Tech Start Date]]&lt;1/1/1990,"",IF(Main[[#This Row],[Class]]="C",WORKDAY(Main[[#This Row],[Tech Start Date]],28),IF(Main[[#This Row],[Class]]="B", WORKDAY(Main[[#This Row],[Tech Start Date]],19),IF(Main[[#This Row],[Class]]="A",WORKDAY(Main[[#This Row],[Tech Start Date]],9),""))))</f>
        <v/>
      </c>
      <c r="Q1310" s="74">
        <v>40826</v>
      </c>
      <c r="R1310" s="74"/>
      <c r="S1310" s="72" t="s">
        <v>11</v>
      </c>
      <c r="T1310" s="80" t="s">
        <v>4</v>
      </c>
      <c r="U1310" s="72" t="s">
        <v>12</v>
      </c>
      <c r="V1310" s="72" t="s">
        <v>1920</v>
      </c>
      <c r="W1310" s="72" t="s">
        <v>1923</v>
      </c>
      <c r="X1310" s="72" t="s">
        <v>2849</v>
      </c>
      <c r="Y1310" s="72" t="s">
        <v>4</v>
      </c>
      <c r="Z1310" s="72" t="s">
        <v>4</v>
      </c>
      <c r="AA1310" s="146" t="s">
        <v>2849</v>
      </c>
    </row>
    <row r="1311" spans="1:27" ht="18.600000000000001" customHeight="1">
      <c r="A1311" s="139" t="str">
        <f>IF(priority(Main[[#This Row],[Comments]])&lt;&gt;0, priority(Main[[#This Row],[Comments]]),"")</f>
        <v/>
      </c>
      <c r="B1311" s="89" t="s">
        <v>2592</v>
      </c>
      <c r="C1311" s="72" t="s">
        <v>4</v>
      </c>
      <c r="D1311" s="73" t="s">
        <v>2593</v>
      </c>
      <c r="E1311" s="74">
        <v>40843.713865740741</v>
      </c>
      <c r="F1311" s="74"/>
      <c r="G1311" s="75" t="str">
        <f>IF(stdProdLT(Main[[#This Row],[Comments]])=0.1,"N/A",IF(stdProdLT(Main[[#This Row],[Comments]])=0,"",stdProdLT(Main[[#This Row],[Comments]])))</f>
        <v/>
      </c>
      <c r="H1311" s="76" t="str">
        <f>IF(AND(Main[[#This Row],[In Stock Date]]&lt;&gt;"",Main[[#This Row],[Revised Due Date]]&lt;&gt;""),Main[[#This Row],[In Stock Date]]-Main[[#This Row],[Revised Due Date]],"")</f>
        <v/>
      </c>
      <c r="I1311" s="72" t="s">
        <v>4</v>
      </c>
      <c r="J1311" s="72" t="s">
        <v>51</v>
      </c>
      <c r="K1311" s="81" t="s">
        <v>4</v>
      </c>
      <c r="L1311" s="74"/>
      <c r="M1311" s="77" t="str">
        <f>IF(Main[[#This Row],[Tech Start Date]]&lt;1/1/1990,"",IF(Main[[#This Row],[Class]]="C",WORKDAY(Main[[#This Row],[Tech Start Date]],9),IF(Main[[#This Row],[Class]]="B", WORKDAY(Main[[#This Row],[Tech Start Date]],6),IF(Main[[#This Row],[Class]]="A",WORKDAY(Main[[#This Row],[Tech Start Date]],2),""))))</f>
        <v/>
      </c>
      <c r="N1311" s="77" t="str">
        <f>IF(Main[[#This Row],[Tech Start Date]]&lt;1/1/1990,"",IF(Main[[#This Row],[Class]]="C",WORKDAY(Main[[#This Row],[Tech Start Date]],19),IF(Main[[#This Row],[Class]]="B", WORKDAY(Main[[#This Row],[Tech Start Date]],12),IF(Main[[#This Row],[Class]]="A",WORKDAY(Main[[#This Row],[Tech Start Date]],4),""))))</f>
        <v/>
      </c>
      <c r="O1311" s="77" t="str">
        <f>IF(Main[[#This Row],[Tech Start Date]]&lt;1/1/1990,"",IF(Main[[#This Row],[Class]]="C",WORKDAY(Main[[#This Row],[Tech Start Date]],23),IF(Main[[#This Row],[Class]]="B", WORKDAY(Main[[#This Row],[Tech Start Date]],15),IF(Main[[#This Row],[Class]]="A",WORKDAY(Main[[#This Row],[Tech Start Date]],5),""))))</f>
        <v/>
      </c>
      <c r="P1311" s="77" t="str">
        <f>IF(Main[[#This Row],[Tech Start Date]]&lt;1/1/1990,"",IF(Main[[#This Row],[Class]]="C",WORKDAY(Main[[#This Row],[Tech Start Date]],28),IF(Main[[#This Row],[Class]]="B", WORKDAY(Main[[#This Row],[Tech Start Date]],19),IF(Main[[#This Row],[Class]]="A",WORKDAY(Main[[#This Row],[Tech Start Date]],9),""))))</f>
        <v/>
      </c>
      <c r="Q1311" s="74"/>
      <c r="R1311" s="74"/>
      <c r="S1311" s="72" t="s">
        <v>6</v>
      </c>
      <c r="T1311" s="80" t="s">
        <v>2417</v>
      </c>
      <c r="U1311" s="72" t="s">
        <v>534</v>
      </c>
      <c r="V1311" s="72" t="s">
        <v>1917</v>
      </c>
      <c r="W1311" s="72" t="s">
        <v>1923</v>
      </c>
      <c r="X1311" s="72" t="s">
        <v>306</v>
      </c>
      <c r="Y1311" s="72" t="s">
        <v>4</v>
      </c>
      <c r="Z1311" s="72" t="s">
        <v>4</v>
      </c>
      <c r="AA1311" s="146" t="s">
        <v>2845</v>
      </c>
    </row>
    <row r="1312" spans="1:27" ht="18.600000000000001" customHeight="1">
      <c r="A1312" s="139" t="str">
        <f>IF(priority(Main[[#This Row],[Comments]])&lt;&gt;0, priority(Main[[#This Row],[Comments]]),"")</f>
        <v/>
      </c>
      <c r="B1312" s="89" t="s">
        <v>2300</v>
      </c>
      <c r="C1312" s="72" t="s">
        <v>4</v>
      </c>
      <c r="D1312" s="73" t="s">
        <v>2301</v>
      </c>
      <c r="E1312" s="74">
        <v>40815.373611111114</v>
      </c>
      <c r="F1312" s="74"/>
      <c r="G1312" s="75" t="str">
        <f>IF(stdProdLT(Main[[#This Row],[Comments]])=0.1,"N/A",IF(stdProdLT(Main[[#This Row],[Comments]])=0,"",stdProdLT(Main[[#This Row],[Comments]])))</f>
        <v/>
      </c>
      <c r="H1312" s="76" t="str">
        <f>IF(AND(Main[[#This Row],[In Stock Date]]&lt;&gt;"",Main[[#This Row],[Revised Due Date]]&lt;&gt;""),Main[[#This Row],[In Stock Date]]-Main[[#This Row],[Revised Due Date]],"")</f>
        <v/>
      </c>
      <c r="I1312" s="72" t="s">
        <v>4</v>
      </c>
      <c r="J1312" s="72" t="s">
        <v>4</v>
      </c>
      <c r="K1312" s="72" t="s">
        <v>4</v>
      </c>
      <c r="L1312" s="74"/>
      <c r="M1312" s="77" t="str">
        <f>IF(Main[[#This Row],[Tech Start Date]]&lt;1/1/1990,"",IF(Main[[#This Row],[Class]]="C",WORKDAY(Main[[#This Row],[Tech Start Date]],9),IF(Main[[#This Row],[Class]]="B", WORKDAY(Main[[#This Row],[Tech Start Date]],6),IF(Main[[#This Row],[Class]]="A",WORKDAY(Main[[#This Row],[Tech Start Date]],2),""))))</f>
        <v/>
      </c>
      <c r="N1312" s="77" t="str">
        <f>IF(Main[[#This Row],[Tech Start Date]]&lt;1/1/1990,"",IF(Main[[#This Row],[Class]]="C",WORKDAY(Main[[#This Row],[Tech Start Date]],19),IF(Main[[#This Row],[Class]]="B", WORKDAY(Main[[#This Row],[Tech Start Date]],12),IF(Main[[#This Row],[Class]]="A",WORKDAY(Main[[#This Row],[Tech Start Date]],4),""))))</f>
        <v/>
      </c>
      <c r="O1312" s="77" t="str">
        <f>IF(Main[[#This Row],[Tech Start Date]]&lt;1/1/1990,"",IF(Main[[#This Row],[Class]]="C",WORKDAY(Main[[#This Row],[Tech Start Date]],23),IF(Main[[#This Row],[Class]]="B", WORKDAY(Main[[#This Row],[Tech Start Date]],15),IF(Main[[#This Row],[Class]]="A",WORKDAY(Main[[#This Row],[Tech Start Date]],5),""))))</f>
        <v/>
      </c>
      <c r="P1312" s="77" t="str">
        <f>IF(Main[[#This Row],[Tech Start Date]]&lt;1/1/1990,"",IF(Main[[#This Row],[Class]]="C",WORKDAY(Main[[#This Row],[Tech Start Date]],28),IF(Main[[#This Row],[Class]]="B", WORKDAY(Main[[#This Row],[Tech Start Date]],19),IF(Main[[#This Row],[Class]]="A",WORKDAY(Main[[#This Row],[Tech Start Date]],9),""))))</f>
        <v/>
      </c>
      <c r="Q1312" s="74"/>
      <c r="R1312" s="74"/>
      <c r="S1312" s="72" t="s">
        <v>6</v>
      </c>
      <c r="T1312" s="80" t="s">
        <v>4</v>
      </c>
      <c r="U1312" s="72" t="s">
        <v>29</v>
      </c>
      <c r="V1312" s="72" t="s">
        <v>1920</v>
      </c>
      <c r="W1312" s="72" t="s">
        <v>1921</v>
      </c>
      <c r="X1312" s="72" t="s">
        <v>102</v>
      </c>
      <c r="Y1312" s="72" t="s">
        <v>3144</v>
      </c>
      <c r="Z1312" s="72" t="s">
        <v>4</v>
      </c>
      <c r="AA1312" s="146" t="s">
        <v>3426</v>
      </c>
    </row>
    <row r="1313" spans="1:27" ht="18.600000000000001" customHeight="1">
      <c r="A1313" s="139" t="str">
        <f>IF(priority(Main[[#This Row],[Comments]])&lt;&gt;0, priority(Main[[#This Row],[Comments]]),"")</f>
        <v/>
      </c>
      <c r="B1313" s="89" t="s">
        <v>2319</v>
      </c>
      <c r="C1313" s="72" t="s">
        <v>2307</v>
      </c>
      <c r="D1313" s="73" t="s">
        <v>2308</v>
      </c>
      <c r="E1313" s="74"/>
      <c r="F1313" s="74">
        <v>40544</v>
      </c>
      <c r="G1313" s="75" t="str">
        <f>IF(stdProdLT(Main[[#This Row],[Comments]])=0.1,"N/A",IF(stdProdLT(Main[[#This Row],[Comments]])=0,"",stdProdLT(Main[[#This Row],[Comments]])))</f>
        <v/>
      </c>
      <c r="H1313" s="76" t="str">
        <f>IF(AND(Main[[#This Row],[In Stock Date]]&lt;&gt;"",Main[[#This Row],[Revised Due Date]]&lt;&gt;""),Main[[#This Row],[In Stock Date]]-Main[[#This Row],[Revised Due Date]],"")</f>
        <v/>
      </c>
      <c r="I1313" s="72" t="s">
        <v>4</v>
      </c>
      <c r="J1313" s="72" t="s">
        <v>4</v>
      </c>
      <c r="K1313" s="81" t="s">
        <v>4</v>
      </c>
      <c r="L1313" s="74"/>
      <c r="M1313" s="77" t="str">
        <f>IF(Main[[#This Row],[Tech Start Date]]&lt;1/1/1990,"",IF(Main[[#This Row],[Class]]="C",WORKDAY(Main[[#This Row],[Tech Start Date]],9),IF(Main[[#This Row],[Class]]="B", WORKDAY(Main[[#This Row],[Tech Start Date]],6),IF(Main[[#This Row],[Class]]="A",WORKDAY(Main[[#This Row],[Tech Start Date]],2),""))))</f>
        <v/>
      </c>
      <c r="N1313" s="77" t="str">
        <f>IF(Main[[#This Row],[Tech Start Date]]&lt;1/1/1990,"",IF(Main[[#This Row],[Class]]="C",WORKDAY(Main[[#This Row],[Tech Start Date]],19),IF(Main[[#This Row],[Class]]="B", WORKDAY(Main[[#This Row],[Tech Start Date]],12),IF(Main[[#This Row],[Class]]="A",WORKDAY(Main[[#This Row],[Tech Start Date]],4),""))))</f>
        <v/>
      </c>
      <c r="O1313" s="77" t="str">
        <f>IF(Main[[#This Row],[Tech Start Date]]&lt;1/1/1990,"",IF(Main[[#This Row],[Class]]="C",WORKDAY(Main[[#This Row],[Tech Start Date]],23),IF(Main[[#This Row],[Class]]="B", WORKDAY(Main[[#This Row],[Tech Start Date]],15),IF(Main[[#This Row],[Class]]="A",WORKDAY(Main[[#This Row],[Tech Start Date]],5),""))))</f>
        <v/>
      </c>
      <c r="P1313" s="77" t="str">
        <f>IF(Main[[#This Row],[Tech Start Date]]&lt;1/1/1990,"",IF(Main[[#This Row],[Class]]="C",WORKDAY(Main[[#This Row],[Tech Start Date]],28),IF(Main[[#This Row],[Class]]="B", WORKDAY(Main[[#This Row],[Tech Start Date]],19),IF(Main[[#This Row],[Class]]="A",WORKDAY(Main[[#This Row],[Tech Start Date]],9),""))))</f>
        <v/>
      </c>
      <c r="Q1313" s="74"/>
      <c r="R1313" s="74"/>
      <c r="S1313" s="72" t="s">
        <v>11</v>
      </c>
      <c r="T1313" s="80" t="s">
        <v>4</v>
      </c>
      <c r="U1313" s="72" t="s">
        <v>12</v>
      </c>
      <c r="V1313" s="72" t="s">
        <v>1920</v>
      </c>
      <c r="W1313" s="72" t="s">
        <v>1925</v>
      </c>
      <c r="X1313" s="72" t="s">
        <v>2918</v>
      </c>
      <c r="Y1313" s="72" t="s">
        <v>3141</v>
      </c>
      <c r="Z1313" s="72" t="s">
        <v>4</v>
      </c>
      <c r="AA1313" s="146" t="s">
        <v>3477</v>
      </c>
    </row>
    <row r="1314" spans="1:27" ht="18.600000000000001" customHeight="1">
      <c r="A1314" s="139" t="str">
        <f>IF(priority(Main[[#This Row],[Comments]])&lt;&gt;0, priority(Main[[#This Row],[Comments]]),"")</f>
        <v/>
      </c>
      <c r="B1314" s="89" t="s">
        <v>1094</v>
      </c>
      <c r="C1314" s="72" t="s">
        <v>4</v>
      </c>
      <c r="D1314" s="73" t="s">
        <v>3788</v>
      </c>
      <c r="E1314" s="74">
        <v>40086.707800925928</v>
      </c>
      <c r="F1314" s="74"/>
      <c r="G1314" s="75" t="str">
        <f>IF(stdProdLT(Main[[#This Row],[Comments]])=0.1,"N/A",IF(stdProdLT(Main[[#This Row],[Comments]])=0,"",stdProdLT(Main[[#This Row],[Comments]])))</f>
        <v/>
      </c>
      <c r="H1314" s="76" t="str">
        <f>IF(AND(Main[[#This Row],[In Stock Date]]&lt;&gt;"",Main[[#This Row],[Revised Due Date]]&lt;&gt;""),Main[[#This Row],[In Stock Date]]-Main[[#This Row],[Revised Due Date]],"")</f>
        <v/>
      </c>
      <c r="I1314" s="72" t="s">
        <v>909</v>
      </c>
      <c r="J1314" s="72" t="s">
        <v>4</v>
      </c>
      <c r="K1314" s="72" t="s">
        <v>1929</v>
      </c>
      <c r="L1314" s="74"/>
      <c r="M1314" s="77" t="str">
        <f>IF(Main[[#This Row],[Tech Start Date]]&lt;1/1/1990,"",IF(Main[[#This Row],[Class]]="C",WORKDAY(Main[[#This Row],[Tech Start Date]],9),IF(Main[[#This Row],[Class]]="B", WORKDAY(Main[[#This Row],[Tech Start Date]],6),IF(Main[[#This Row],[Class]]="A",WORKDAY(Main[[#This Row],[Tech Start Date]],2),""))))</f>
        <v/>
      </c>
      <c r="N1314" s="77" t="str">
        <f>IF(Main[[#This Row],[Tech Start Date]]&lt;1/1/1990,"",IF(Main[[#This Row],[Class]]="C",WORKDAY(Main[[#This Row],[Tech Start Date]],19),IF(Main[[#This Row],[Class]]="B", WORKDAY(Main[[#This Row],[Tech Start Date]],12),IF(Main[[#This Row],[Class]]="A",WORKDAY(Main[[#This Row],[Tech Start Date]],4),""))))</f>
        <v/>
      </c>
      <c r="O1314" s="77" t="str">
        <f>IF(Main[[#This Row],[Tech Start Date]]&lt;1/1/1990,"",IF(Main[[#This Row],[Class]]="C",WORKDAY(Main[[#This Row],[Tech Start Date]],23),IF(Main[[#This Row],[Class]]="B", WORKDAY(Main[[#This Row],[Tech Start Date]],15),IF(Main[[#This Row],[Class]]="A",WORKDAY(Main[[#This Row],[Tech Start Date]],5),""))))</f>
        <v/>
      </c>
      <c r="P1314" s="77" t="str">
        <f>IF(Main[[#This Row],[Tech Start Date]]&lt;1/1/1990,"",IF(Main[[#This Row],[Class]]="C",WORKDAY(Main[[#This Row],[Tech Start Date]],28),IF(Main[[#This Row],[Class]]="B", WORKDAY(Main[[#This Row],[Tech Start Date]],19),IF(Main[[#This Row],[Class]]="A",WORKDAY(Main[[#This Row],[Tech Start Date]],9),""))))</f>
        <v/>
      </c>
      <c r="Q1314" s="74">
        <v>41005</v>
      </c>
      <c r="R1314" s="74">
        <v>41005</v>
      </c>
      <c r="S1314" s="72" t="s">
        <v>17</v>
      </c>
      <c r="T1314" s="80" t="s">
        <v>4</v>
      </c>
      <c r="U1314" s="72" t="s">
        <v>29</v>
      </c>
      <c r="V1314" s="72" t="s">
        <v>1917</v>
      </c>
      <c r="W1314" s="72" t="s">
        <v>1922</v>
      </c>
      <c r="X1314" s="72" t="s">
        <v>129</v>
      </c>
      <c r="Y1314" s="72" t="s">
        <v>2939</v>
      </c>
      <c r="Z1314" s="72" t="s">
        <v>879</v>
      </c>
      <c r="AA1314" s="146" t="s">
        <v>129</v>
      </c>
    </row>
    <row r="1315" spans="1:27" ht="18.600000000000001" customHeight="1">
      <c r="A1315" s="139" t="str">
        <f>IF(priority(Main[[#This Row],[Comments]])&lt;&gt;0, priority(Main[[#This Row],[Comments]]),"")</f>
        <v/>
      </c>
      <c r="B1315" s="89" t="s">
        <v>3789</v>
      </c>
      <c r="C1315" s="72" t="s">
        <v>4</v>
      </c>
      <c r="D1315" s="73" t="s">
        <v>3790</v>
      </c>
      <c r="E1315" s="74">
        <v>40967.414942129632</v>
      </c>
      <c r="F1315" s="74"/>
      <c r="G1315" s="75" t="str">
        <f>IF(stdProdLT(Main[[#This Row],[Comments]])=0.1,"N/A",IF(stdProdLT(Main[[#This Row],[Comments]])=0,"",stdProdLT(Main[[#This Row],[Comments]])))</f>
        <v/>
      </c>
      <c r="H1315" s="76" t="str">
        <f>IF(AND(Main[[#This Row],[In Stock Date]]&lt;&gt;"",Main[[#This Row],[Revised Due Date]]&lt;&gt;""),Main[[#This Row],[In Stock Date]]-Main[[#This Row],[Revised Due Date]],"")</f>
        <v/>
      </c>
      <c r="I1315" s="72" t="s">
        <v>4</v>
      </c>
      <c r="J1315" s="72" t="s">
        <v>4</v>
      </c>
      <c r="K1315" s="72" t="s">
        <v>4</v>
      </c>
      <c r="L1315" s="74"/>
      <c r="M1315" s="77" t="str">
        <f>IF(Main[[#This Row],[Tech Start Date]]&lt;1/1/1990,"",IF(Main[[#This Row],[Class]]="C",WORKDAY(Main[[#This Row],[Tech Start Date]],9),IF(Main[[#This Row],[Class]]="B", WORKDAY(Main[[#This Row],[Tech Start Date]],6),IF(Main[[#This Row],[Class]]="A",WORKDAY(Main[[#This Row],[Tech Start Date]],2),""))))</f>
        <v/>
      </c>
      <c r="N1315" s="77" t="str">
        <f>IF(Main[[#This Row],[Tech Start Date]]&lt;1/1/1990,"",IF(Main[[#This Row],[Class]]="C",WORKDAY(Main[[#This Row],[Tech Start Date]],19),IF(Main[[#This Row],[Class]]="B", WORKDAY(Main[[#This Row],[Tech Start Date]],12),IF(Main[[#This Row],[Class]]="A",WORKDAY(Main[[#This Row],[Tech Start Date]],4),""))))</f>
        <v/>
      </c>
      <c r="O1315" s="77" t="str">
        <f>IF(Main[[#This Row],[Tech Start Date]]&lt;1/1/1990,"",IF(Main[[#This Row],[Class]]="C",WORKDAY(Main[[#This Row],[Tech Start Date]],23),IF(Main[[#This Row],[Class]]="B", WORKDAY(Main[[#This Row],[Tech Start Date]],15),IF(Main[[#This Row],[Class]]="A",WORKDAY(Main[[#This Row],[Tech Start Date]],5),""))))</f>
        <v/>
      </c>
      <c r="P1315" s="77" t="str">
        <f>IF(Main[[#This Row],[Tech Start Date]]&lt;1/1/1990,"",IF(Main[[#This Row],[Class]]="C",WORKDAY(Main[[#This Row],[Tech Start Date]],28),IF(Main[[#This Row],[Class]]="B", WORKDAY(Main[[#This Row],[Tech Start Date]],19),IF(Main[[#This Row],[Class]]="A",WORKDAY(Main[[#This Row],[Tech Start Date]],9),""))))</f>
        <v/>
      </c>
      <c r="Q1315" s="74">
        <v>40977</v>
      </c>
      <c r="R1315" s="74"/>
      <c r="S1315" s="72" t="s">
        <v>6</v>
      </c>
      <c r="T1315" s="80" t="s">
        <v>4</v>
      </c>
      <c r="U1315" s="72" t="s">
        <v>7</v>
      </c>
      <c r="V1315" s="72" t="s">
        <v>1920</v>
      </c>
      <c r="W1315" s="72" t="s">
        <v>1921</v>
      </c>
      <c r="X1315" s="72" t="s">
        <v>2909</v>
      </c>
      <c r="Y1315" s="72" t="s">
        <v>3089</v>
      </c>
      <c r="Z1315" s="72" t="s">
        <v>4</v>
      </c>
      <c r="AA1315" s="146" t="s">
        <v>2909</v>
      </c>
    </row>
    <row r="1316" spans="1:27" ht="18.600000000000001" customHeight="1">
      <c r="A1316" s="139" t="str">
        <f>IF(priority(Main[[#This Row],[Comments]])&lt;&gt;0, priority(Main[[#This Row],[Comments]]),"")</f>
        <v/>
      </c>
      <c r="B1316" s="89" t="s">
        <v>3794</v>
      </c>
      <c r="C1316" s="72" t="s">
        <v>4</v>
      </c>
      <c r="D1316" s="73" t="s">
        <v>3795</v>
      </c>
      <c r="E1316" s="74">
        <v>40960.576238425929</v>
      </c>
      <c r="F1316" s="74"/>
      <c r="G1316" s="75" t="str">
        <f>IF(stdProdLT(Main[[#This Row],[Comments]])=0.1,"N/A",IF(stdProdLT(Main[[#This Row],[Comments]])=0,"",stdProdLT(Main[[#This Row],[Comments]])))</f>
        <v/>
      </c>
      <c r="H1316" s="76" t="str">
        <f>IF(AND(Main[[#This Row],[In Stock Date]]&lt;&gt;"",Main[[#This Row],[Revised Due Date]]&lt;&gt;""),Main[[#This Row],[In Stock Date]]-Main[[#This Row],[Revised Due Date]],"")</f>
        <v/>
      </c>
      <c r="I1316" s="72" t="s">
        <v>239</v>
      </c>
      <c r="J1316" s="72" t="s">
        <v>70</v>
      </c>
      <c r="K1316" s="72" t="s">
        <v>1926</v>
      </c>
      <c r="L1316" s="74"/>
      <c r="M1316" s="77" t="str">
        <f>IF(Main[[#This Row],[Tech Start Date]]&lt;1/1/1990,"",IF(Main[[#This Row],[Class]]="C",WORKDAY(Main[[#This Row],[Tech Start Date]],9),IF(Main[[#This Row],[Class]]="B", WORKDAY(Main[[#This Row],[Tech Start Date]],6),IF(Main[[#This Row],[Class]]="A",WORKDAY(Main[[#This Row],[Tech Start Date]],2),""))))</f>
        <v/>
      </c>
      <c r="N1316" s="77" t="str">
        <f>IF(Main[[#This Row],[Tech Start Date]]&lt;1/1/1990,"",IF(Main[[#This Row],[Class]]="C",WORKDAY(Main[[#This Row],[Tech Start Date]],19),IF(Main[[#This Row],[Class]]="B", WORKDAY(Main[[#This Row],[Tech Start Date]],12),IF(Main[[#This Row],[Class]]="A",WORKDAY(Main[[#This Row],[Tech Start Date]],4),""))))</f>
        <v/>
      </c>
      <c r="O1316" s="77" t="str">
        <f>IF(Main[[#This Row],[Tech Start Date]]&lt;1/1/1990,"",IF(Main[[#This Row],[Class]]="C",WORKDAY(Main[[#This Row],[Tech Start Date]],23),IF(Main[[#This Row],[Class]]="B", WORKDAY(Main[[#This Row],[Tech Start Date]],15),IF(Main[[#This Row],[Class]]="A",WORKDAY(Main[[#This Row],[Tech Start Date]],5),""))))</f>
        <v/>
      </c>
      <c r="P1316" s="77" t="str">
        <f>IF(Main[[#This Row],[Tech Start Date]]&lt;1/1/1990,"",IF(Main[[#This Row],[Class]]="C",WORKDAY(Main[[#This Row],[Tech Start Date]],28),IF(Main[[#This Row],[Class]]="B", WORKDAY(Main[[#This Row],[Tech Start Date]],19),IF(Main[[#This Row],[Class]]="A",WORKDAY(Main[[#This Row],[Tech Start Date]],9),""))))</f>
        <v/>
      </c>
      <c r="Q1316" s="74">
        <v>41029</v>
      </c>
      <c r="R1316" s="74"/>
      <c r="S1316" s="72" t="s">
        <v>6</v>
      </c>
      <c r="T1316" s="80" t="s">
        <v>4</v>
      </c>
      <c r="U1316" s="72" t="s">
        <v>29</v>
      </c>
      <c r="V1316" s="72" t="s">
        <v>1920</v>
      </c>
      <c r="W1316" s="72" t="s">
        <v>1921</v>
      </c>
      <c r="X1316" s="72" t="s">
        <v>30</v>
      </c>
      <c r="Y1316" s="72" t="s">
        <v>3796</v>
      </c>
      <c r="Z1316" s="72" t="s">
        <v>30</v>
      </c>
      <c r="AA1316" s="146" t="s">
        <v>30</v>
      </c>
    </row>
    <row r="1317" spans="1:27" ht="18.600000000000001" customHeight="1">
      <c r="A1317" s="139" t="str">
        <f>IF(priority(Main[[#This Row],[Comments]])&lt;&gt;0, priority(Main[[#This Row],[Comments]]),"")</f>
        <v/>
      </c>
      <c r="B1317" s="89" t="s">
        <v>3797</v>
      </c>
      <c r="C1317" s="72" t="s">
        <v>4</v>
      </c>
      <c r="D1317" s="73" t="s">
        <v>3798</v>
      </c>
      <c r="E1317" s="74">
        <v>40959.601018518515</v>
      </c>
      <c r="F1317" s="74"/>
      <c r="G1317" s="75" t="str">
        <f>IF(stdProdLT(Main[[#This Row],[Comments]])=0.1,"N/A",IF(stdProdLT(Main[[#This Row],[Comments]])=0,"",stdProdLT(Main[[#This Row],[Comments]])))</f>
        <v/>
      </c>
      <c r="H1317" s="76" t="str">
        <f>IF(AND(Main[[#This Row],[In Stock Date]]&lt;&gt;"",Main[[#This Row],[Revised Due Date]]&lt;&gt;""),Main[[#This Row],[In Stock Date]]-Main[[#This Row],[Revised Due Date]],"")</f>
        <v/>
      </c>
      <c r="I1317" s="72" t="s">
        <v>562</v>
      </c>
      <c r="J1317" s="72" t="s">
        <v>28</v>
      </c>
      <c r="K1317" s="72" t="s">
        <v>4</v>
      </c>
      <c r="L1317" s="74"/>
      <c r="M1317" s="77" t="str">
        <f>IF(Main[[#This Row],[Tech Start Date]]&lt;1/1/1990,"",IF(Main[[#This Row],[Class]]="C",WORKDAY(Main[[#This Row],[Tech Start Date]],9),IF(Main[[#This Row],[Class]]="B", WORKDAY(Main[[#This Row],[Tech Start Date]],6),IF(Main[[#This Row],[Class]]="A",WORKDAY(Main[[#This Row],[Tech Start Date]],2),""))))</f>
        <v/>
      </c>
      <c r="N1317" s="77" t="str">
        <f>IF(Main[[#This Row],[Tech Start Date]]&lt;1/1/1990,"",IF(Main[[#This Row],[Class]]="C",WORKDAY(Main[[#This Row],[Tech Start Date]],19),IF(Main[[#This Row],[Class]]="B", WORKDAY(Main[[#This Row],[Tech Start Date]],12),IF(Main[[#This Row],[Class]]="A",WORKDAY(Main[[#This Row],[Tech Start Date]],4),""))))</f>
        <v/>
      </c>
      <c r="O1317" s="77" t="str">
        <f>IF(Main[[#This Row],[Tech Start Date]]&lt;1/1/1990,"",IF(Main[[#This Row],[Class]]="C",WORKDAY(Main[[#This Row],[Tech Start Date]],23),IF(Main[[#This Row],[Class]]="B", WORKDAY(Main[[#This Row],[Tech Start Date]],15),IF(Main[[#This Row],[Class]]="A",WORKDAY(Main[[#This Row],[Tech Start Date]],5),""))))</f>
        <v/>
      </c>
      <c r="P1317" s="77" t="str">
        <f>IF(Main[[#This Row],[Tech Start Date]]&lt;1/1/1990,"",IF(Main[[#This Row],[Class]]="C",WORKDAY(Main[[#This Row],[Tech Start Date]],28),IF(Main[[#This Row],[Class]]="B", WORKDAY(Main[[#This Row],[Tech Start Date]],19),IF(Main[[#This Row],[Class]]="A",WORKDAY(Main[[#This Row],[Tech Start Date]],9),""))))</f>
        <v/>
      </c>
      <c r="Q1317" s="74"/>
      <c r="R1317" s="74"/>
      <c r="S1317" s="72" t="s">
        <v>6</v>
      </c>
      <c r="T1317" s="80" t="s">
        <v>4</v>
      </c>
      <c r="U1317" s="72" t="s">
        <v>29</v>
      </c>
      <c r="V1317" s="72" t="s">
        <v>1917</v>
      </c>
      <c r="W1317" s="72" t="s">
        <v>4</v>
      </c>
      <c r="X1317" s="72" t="s">
        <v>562</v>
      </c>
      <c r="Y1317" s="72" t="s">
        <v>3062</v>
      </c>
      <c r="Z1317" s="72" t="s">
        <v>4</v>
      </c>
      <c r="AA1317" s="146" t="s">
        <v>562</v>
      </c>
    </row>
    <row r="1318" spans="1:27" ht="18.600000000000001" customHeight="1">
      <c r="A1318" s="139" t="str">
        <f>IF(priority(Main[[#This Row],[Comments]])&lt;&gt;0, priority(Main[[#This Row],[Comments]]),"")</f>
        <v/>
      </c>
      <c r="B1318" s="89" t="s">
        <v>3799</v>
      </c>
      <c r="C1318" s="72" t="s">
        <v>4</v>
      </c>
      <c r="D1318" s="73" t="s">
        <v>3800</v>
      </c>
      <c r="E1318" s="74">
        <v>40955.139027777775</v>
      </c>
      <c r="F1318" s="74"/>
      <c r="G1318" s="75" t="str">
        <f>IF(stdProdLT(Main[[#This Row],[Comments]])=0.1,"N/A",IF(stdProdLT(Main[[#This Row],[Comments]])=0,"",stdProdLT(Main[[#This Row],[Comments]])))</f>
        <v/>
      </c>
      <c r="H1318" s="76" t="str">
        <f>IF(AND(Main[[#This Row],[In Stock Date]]&lt;&gt;"",Main[[#This Row],[Revised Due Date]]&lt;&gt;""),Main[[#This Row],[In Stock Date]]-Main[[#This Row],[Revised Due Date]],"")</f>
        <v/>
      </c>
      <c r="I1318" s="72" t="s">
        <v>4</v>
      </c>
      <c r="J1318" s="72" t="s">
        <v>4</v>
      </c>
      <c r="K1318" s="72" t="s">
        <v>4</v>
      </c>
      <c r="L1318" s="74"/>
      <c r="M1318" s="77" t="str">
        <f>IF(Main[[#This Row],[Tech Start Date]]&lt;1/1/1990,"",IF(Main[[#This Row],[Class]]="C",WORKDAY(Main[[#This Row],[Tech Start Date]],9),IF(Main[[#This Row],[Class]]="B", WORKDAY(Main[[#This Row],[Tech Start Date]],6),IF(Main[[#This Row],[Class]]="A",WORKDAY(Main[[#This Row],[Tech Start Date]],2),""))))</f>
        <v/>
      </c>
      <c r="N1318" s="77" t="str">
        <f>IF(Main[[#This Row],[Tech Start Date]]&lt;1/1/1990,"",IF(Main[[#This Row],[Class]]="C",WORKDAY(Main[[#This Row],[Tech Start Date]],19),IF(Main[[#This Row],[Class]]="B", WORKDAY(Main[[#This Row],[Tech Start Date]],12),IF(Main[[#This Row],[Class]]="A",WORKDAY(Main[[#This Row],[Tech Start Date]],4),""))))</f>
        <v/>
      </c>
      <c r="O1318" s="77" t="str">
        <f>IF(Main[[#This Row],[Tech Start Date]]&lt;1/1/1990,"",IF(Main[[#This Row],[Class]]="C",WORKDAY(Main[[#This Row],[Tech Start Date]],23),IF(Main[[#This Row],[Class]]="B", WORKDAY(Main[[#This Row],[Tech Start Date]],15),IF(Main[[#This Row],[Class]]="A",WORKDAY(Main[[#This Row],[Tech Start Date]],5),""))))</f>
        <v/>
      </c>
      <c r="P1318" s="77" t="str">
        <f>IF(Main[[#This Row],[Tech Start Date]]&lt;1/1/1990,"",IF(Main[[#This Row],[Class]]="C",WORKDAY(Main[[#This Row],[Tech Start Date]],28),IF(Main[[#This Row],[Class]]="B", WORKDAY(Main[[#This Row],[Tech Start Date]],19),IF(Main[[#This Row],[Class]]="A",WORKDAY(Main[[#This Row],[Tech Start Date]],9),""))))</f>
        <v/>
      </c>
      <c r="Q1318" s="74">
        <v>40984</v>
      </c>
      <c r="R1318" s="74"/>
      <c r="S1318" s="72" t="s">
        <v>6</v>
      </c>
      <c r="T1318" s="80" t="s">
        <v>4</v>
      </c>
      <c r="U1318" s="72" t="s">
        <v>7</v>
      </c>
      <c r="V1318" s="72" t="s">
        <v>1917</v>
      </c>
      <c r="W1318" s="72" t="s">
        <v>4</v>
      </c>
      <c r="X1318" s="72" t="s">
        <v>2828</v>
      </c>
      <c r="Y1318" s="72" t="s">
        <v>2944</v>
      </c>
      <c r="Z1318" s="72" t="s">
        <v>4</v>
      </c>
      <c r="AA1318" s="146" t="s">
        <v>2828</v>
      </c>
    </row>
    <row r="1319" spans="1:27" ht="18.600000000000001" customHeight="1">
      <c r="A1319" s="139" t="str">
        <f>IF(priority(Main[[#This Row],[Comments]])&lt;&gt;0, priority(Main[[#This Row],[Comments]]),"")</f>
        <v/>
      </c>
      <c r="B1319" s="89" t="s">
        <v>2794</v>
      </c>
      <c r="C1319" s="72" t="s">
        <v>4</v>
      </c>
      <c r="D1319" s="73" t="s">
        <v>2795</v>
      </c>
      <c r="E1319" s="74">
        <v>40883.621099537035</v>
      </c>
      <c r="F1319" s="74"/>
      <c r="G1319" s="75" t="str">
        <f>IF(stdProdLT(Main[[#This Row],[Comments]])=0.1,"N/A",IF(stdProdLT(Main[[#This Row],[Comments]])=0,"",stdProdLT(Main[[#This Row],[Comments]])))</f>
        <v/>
      </c>
      <c r="H1319" s="76" t="str">
        <f>IF(AND(Main[[#This Row],[In Stock Date]]&lt;&gt;"",Main[[#This Row],[Revised Due Date]]&lt;&gt;""),Main[[#This Row],[In Stock Date]]-Main[[#This Row],[Revised Due Date]],"")</f>
        <v/>
      </c>
      <c r="I1319" s="72" t="s">
        <v>3553</v>
      </c>
      <c r="J1319" s="72" t="s">
        <v>4</v>
      </c>
      <c r="K1319" s="72" t="s">
        <v>1929</v>
      </c>
      <c r="L1319" s="74"/>
      <c r="M1319" s="77" t="str">
        <f>IF(Main[[#This Row],[Tech Start Date]]&lt;1/1/1990,"",IF(Main[[#This Row],[Class]]="C",WORKDAY(Main[[#This Row],[Tech Start Date]],9),IF(Main[[#This Row],[Class]]="B", WORKDAY(Main[[#This Row],[Tech Start Date]],6),IF(Main[[#This Row],[Class]]="A",WORKDAY(Main[[#This Row],[Tech Start Date]],2),""))))</f>
        <v/>
      </c>
      <c r="N1319" s="77" t="str">
        <f>IF(Main[[#This Row],[Tech Start Date]]&lt;1/1/1990,"",IF(Main[[#This Row],[Class]]="C",WORKDAY(Main[[#This Row],[Tech Start Date]],19),IF(Main[[#This Row],[Class]]="B", WORKDAY(Main[[#This Row],[Tech Start Date]],12),IF(Main[[#This Row],[Class]]="A",WORKDAY(Main[[#This Row],[Tech Start Date]],4),""))))</f>
        <v/>
      </c>
      <c r="O1319" s="77" t="str">
        <f>IF(Main[[#This Row],[Tech Start Date]]&lt;1/1/1990,"",IF(Main[[#This Row],[Class]]="C",WORKDAY(Main[[#This Row],[Tech Start Date]],23),IF(Main[[#This Row],[Class]]="B", WORKDAY(Main[[#This Row],[Tech Start Date]],15),IF(Main[[#This Row],[Class]]="A",WORKDAY(Main[[#This Row],[Tech Start Date]],5),""))))</f>
        <v/>
      </c>
      <c r="P1319" s="77" t="str">
        <f>IF(Main[[#This Row],[Tech Start Date]]&lt;1/1/1990,"",IF(Main[[#This Row],[Class]]="C",WORKDAY(Main[[#This Row],[Tech Start Date]],28),IF(Main[[#This Row],[Class]]="B", WORKDAY(Main[[#This Row],[Tech Start Date]],19),IF(Main[[#This Row],[Class]]="A",WORKDAY(Main[[#This Row],[Tech Start Date]],9),""))))</f>
        <v/>
      </c>
      <c r="Q1319" s="74"/>
      <c r="R1319" s="74"/>
      <c r="S1319" s="72" t="s">
        <v>17</v>
      </c>
      <c r="T1319" s="80" t="s">
        <v>4</v>
      </c>
      <c r="U1319" s="72" t="s">
        <v>29</v>
      </c>
      <c r="V1319" s="72" t="s">
        <v>1920</v>
      </c>
      <c r="W1319" s="72" t="s">
        <v>1922</v>
      </c>
      <c r="X1319" s="72" t="s">
        <v>415</v>
      </c>
      <c r="Y1319" s="72" t="s">
        <v>2981</v>
      </c>
      <c r="Z1319" s="72" t="s">
        <v>654</v>
      </c>
      <c r="AA1319" s="146" t="s">
        <v>415</v>
      </c>
    </row>
    <row r="1320" spans="1:27" ht="18.600000000000001" customHeight="1">
      <c r="A1320" s="139" t="str">
        <f>IF(priority(Main[[#This Row],[Comments]])&lt;&gt;0, priority(Main[[#This Row],[Comments]]),"")</f>
        <v/>
      </c>
      <c r="B1320" s="89" t="s">
        <v>1116</v>
      </c>
      <c r="C1320" s="72" t="s">
        <v>4</v>
      </c>
      <c r="D1320" s="73" t="s">
        <v>3801</v>
      </c>
      <c r="E1320" s="74"/>
      <c r="F1320" s="74">
        <v>40602</v>
      </c>
      <c r="G1320" s="75" t="str">
        <f>IF(stdProdLT(Main[[#This Row],[Comments]])=0.1,"N/A",IF(stdProdLT(Main[[#This Row],[Comments]])=0,"",stdProdLT(Main[[#This Row],[Comments]])))</f>
        <v/>
      </c>
      <c r="H1320" s="76" t="str">
        <f>IF(AND(Main[[#This Row],[In Stock Date]]&lt;&gt;"",Main[[#This Row],[Revised Due Date]]&lt;&gt;""),Main[[#This Row],[In Stock Date]]-Main[[#This Row],[Revised Due Date]],"")</f>
        <v/>
      </c>
      <c r="I1320" s="72" t="s">
        <v>2211</v>
      </c>
      <c r="J1320" s="72" t="s">
        <v>75</v>
      </c>
      <c r="K1320" s="72" t="s">
        <v>1926</v>
      </c>
      <c r="L1320" s="74"/>
      <c r="M1320" s="77" t="str">
        <f>IF(Main[[#This Row],[Tech Start Date]]&lt;1/1/1990,"",IF(Main[[#This Row],[Class]]="C",WORKDAY(Main[[#This Row],[Tech Start Date]],9),IF(Main[[#This Row],[Class]]="B", WORKDAY(Main[[#This Row],[Tech Start Date]],6),IF(Main[[#This Row],[Class]]="A",WORKDAY(Main[[#This Row],[Tech Start Date]],2),""))))</f>
        <v/>
      </c>
      <c r="N1320" s="77" t="str">
        <f>IF(Main[[#This Row],[Tech Start Date]]&lt;1/1/1990,"",IF(Main[[#This Row],[Class]]="C",WORKDAY(Main[[#This Row],[Tech Start Date]],19),IF(Main[[#This Row],[Class]]="B", WORKDAY(Main[[#This Row],[Tech Start Date]],12),IF(Main[[#This Row],[Class]]="A",WORKDAY(Main[[#This Row],[Tech Start Date]],4),""))))</f>
        <v/>
      </c>
      <c r="O1320" s="77" t="str">
        <f>IF(Main[[#This Row],[Tech Start Date]]&lt;1/1/1990,"",IF(Main[[#This Row],[Class]]="C",WORKDAY(Main[[#This Row],[Tech Start Date]],23),IF(Main[[#This Row],[Class]]="B", WORKDAY(Main[[#This Row],[Tech Start Date]],15),IF(Main[[#This Row],[Class]]="A",WORKDAY(Main[[#This Row],[Tech Start Date]],5),""))))</f>
        <v/>
      </c>
      <c r="P1320" s="77" t="str">
        <f>IF(Main[[#This Row],[Tech Start Date]]&lt;1/1/1990,"",IF(Main[[#This Row],[Class]]="C",WORKDAY(Main[[#This Row],[Tech Start Date]],28),IF(Main[[#This Row],[Class]]="B", WORKDAY(Main[[#This Row],[Tech Start Date]],19),IF(Main[[#This Row],[Class]]="A",WORKDAY(Main[[#This Row],[Tech Start Date]],9),""))))</f>
        <v/>
      </c>
      <c r="Q1320" s="74">
        <v>40602</v>
      </c>
      <c r="R1320" s="74"/>
      <c r="S1320" s="72" t="s">
        <v>6</v>
      </c>
      <c r="T1320" s="80" t="s">
        <v>4</v>
      </c>
      <c r="U1320" s="72" t="s">
        <v>14</v>
      </c>
      <c r="V1320" s="72" t="s">
        <v>1920</v>
      </c>
      <c r="W1320" s="72" t="s">
        <v>1919</v>
      </c>
      <c r="X1320" s="72" t="s">
        <v>30</v>
      </c>
      <c r="Y1320" s="72" t="s">
        <v>2963</v>
      </c>
      <c r="Z1320" s="72" t="s">
        <v>415</v>
      </c>
      <c r="AA1320" s="146" t="s">
        <v>30</v>
      </c>
    </row>
    <row r="1321" spans="1:27" ht="18.600000000000001" customHeight="1">
      <c r="A1321" s="139" t="str">
        <f>IF(priority(Main[[#This Row],[Comments]])&lt;&gt;0, priority(Main[[#This Row],[Comments]]),"")</f>
        <v/>
      </c>
      <c r="B1321" s="89" t="s">
        <v>2594</v>
      </c>
      <c r="C1321" s="72" t="s">
        <v>4</v>
      </c>
      <c r="D1321" s="73" t="s">
        <v>2595</v>
      </c>
      <c r="E1321" s="74"/>
      <c r="F1321" s="74"/>
      <c r="G1321" s="75" t="str">
        <f>IF(stdProdLT(Main[[#This Row],[Comments]])=0.1,"N/A",IF(stdProdLT(Main[[#This Row],[Comments]])=0,"",stdProdLT(Main[[#This Row],[Comments]])))</f>
        <v/>
      </c>
      <c r="H1321" s="76" t="str">
        <f>IF(AND(Main[[#This Row],[In Stock Date]]&lt;&gt;"",Main[[#This Row],[Revised Due Date]]&lt;&gt;""),Main[[#This Row],[In Stock Date]]-Main[[#This Row],[Revised Due Date]],"")</f>
        <v/>
      </c>
      <c r="I1321" s="72" t="s">
        <v>4</v>
      </c>
      <c r="J1321" s="72" t="s">
        <v>4</v>
      </c>
      <c r="K1321" s="72" t="s">
        <v>4</v>
      </c>
      <c r="L1321" s="74"/>
      <c r="M1321" s="77" t="str">
        <f>IF(Main[[#This Row],[Tech Start Date]]&lt;1/1/1990,"",IF(Main[[#This Row],[Class]]="C",WORKDAY(Main[[#This Row],[Tech Start Date]],9),IF(Main[[#This Row],[Class]]="B", WORKDAY(Main[[#This Row],[Tech Start Date]],6),IF(Main[[#This Row],[Class]]="A",WORKDAY(Main[[#This Row],[Tech Start Date]],2),""))))</f>
        <v/>
      </c>
      <c r="N1321" s="77" t="str">
        <f>IF(Main[[#This Row],[Tech Start Date]]&lt;1/1/1990,"",IF(Main[[#This Row],[Class]]="C",WORKDAY(Main[[#This Row],[Tech Start Date]],19),IF(Main[[#This Row],[Class]]="B", WORKDAY(Main[[#This Row],[Tech Start Date]],12),IF(Main[[#This Row],[Class]]="A",WORKDAY(Main[[#This Row],[Tech Start Date]],4),""))))</f>
        <v/>
      </c>
      <c r="O1321" s="77" t="str">
        <f>IF(Main[[#This Row],[Tech Start Date]]&lt;1/1/1990,"",IF(Main[[#This Row],[Class]]="C",WORKDAY(Main[[#This Row],[Tech Start Date]],23),IF(Main[[#This Row],[Class]]="B", WORKDAY(Main[[#This Row],[Tech Start Date]],15),IF(Main[[#This Row],[Class]]="A",WORKDAY(Main[[#This Row],[Tech Start Date]],5),""))))</f>
        <v/>
      </c>
      <c r="P1321" s="77" t="str">
        <f>IF(Main[[#This Row],[Tech Start Date]]&lt;1/1/1990,"",IF(Main[[#This Row],[Class]]="C",WORKDAY(Main[[#This Row],[Tech Start Date]],28),IF(Main[[#This Row],[Class]]="B", WORKDAY(Main[[#This Row],[Tech Start Date]],19),IF(Main[[#This Row],[Class]]="A",WORKDAY(Main[[#This Row],[Tech Start Date]],9),""))))</f>
        <v/>
      </c>
      <c r="Q1321" s="74"/>
      <c r="R1321" s="74"/>
      <c r="S1321" s="72" t="s">
        <v>11</v>
      </c>
      <c r="T1321" s="80" t="s">
        <v>4</v>
      </c>
      <c r="U1321" s="72" t="s">
        <v>14</v>
      </c>
      <c r="V1321" s="72" t="s">
        <v>1920</v>
      </c>
      <c r="W1321" s="72" t="s">
        <v>1925</v>
      </c>
      <c r="X1321" s="72" t="s">
        <v>306</v>
      </c>
      <c r="Y1321" s="72" t="s">
        <v>4</v>
      </c>
      <c r="Z1321" s="72" t="s">
        <v>4</v>
      </c>
      <c r="AA1321" s="146" t="s">
        <v>4</v>
      </c>
    </row>
    <row r="1322" spans="1:27" ht="18.600000000000001" customHeight="1">
      <c r="A1322" s="139" t="str">
        <f>IF(priority(Main[[#This Row],[Comments]])&lt;&gt;0, priority(Main[[#This Row],[Comments]]),"")</f>
        <v/>
      </c>
      <c r="B1322" s="89" t="s">
        <v>2289</v>
      </c>
      <c r="C1322" s="72" t="s">
        <v>67</v>
      </c>
      <c r="D1322" s="73" t="s">
        <v>2290</v>
      </c>
      <c r="E1322" s="74"/>
      <c r="F1322" s="74">
        <v>41075</v>
      </c>
      <c r="G1322" s="75" t="str">
        <f>IF(stdProdLT(Main[[#This Row],[Comments]])=0.1,"N/A",IF(stdProdLT(Main[[#This Row],[Comments]])=0,"",stdProdLT(Main[[#This Row],[Comments]])))</f>
        <v/>
      </c>
      <c r="H1322" s="76" t="str">
        <f>IF(AND(Main[[#This Row],[In Stock Date]]&lt;&gt;"",Main[[#This Row],[Revised Due Date]]&lt;&gt;""),Main[[#This Row],[In Stock Date]]-Main[[#This Row],[Revised Due Date]],"")</f>
        <v/>
      </c>
      <c r="I1322" s="72" t="s">
        <v>4</v>
      </c>
      <c r="J1322" s="72" t="s">
        <v>4</v>
      </c>
      <c r="K1322" s="72" t="s">
        <v>4</v>
      </c>
      <c r="L1322" s="74"/>
      <c r="M1322" s="77" t="str">
        <f>IF(Main[[#This Row],[Tech Start Date]]&lt;1/1/1990,"",IF(Main[[#This Row],[Class]]="C",WORKDAY(Main[[#This Row],[Tech Start Date]],9),IF(Main[[#This Row],[Class]]="B", WORKDAY(Main[[#This Row],[Tech Start Date]],6),IF(Main[[#This Row],[Class]]="A",WORKDAY(Main[[#This Row],[Tech Start Date]],2),""))))</f>
        <v/>
      </c>
      <c r="N1322" s="77" t="str">
        <f>IF(Main[[#This Row],[Tech Start Date]]&lt;1/1/1990,"",IF(Main[[#This Row],[Class]]="C",WORKDAY(Main[[#This Row],[Tech Start Date]],19),IF(Main[[#This Row],[Class]]="B", WORKDAY(Main[[#This Row],[Tech Start Date]],12),IF(Main[[#This Row],[Class]]="A",WORKDAY(Main[[#This Row],[Tech Start Date]],4),""))))</f>
        <v/>
      </c>
      <c r="O1322" s="77" t="str">
        <f>IF(Main[[#This Row],[Tech Start Date]]&lt;1/1/1990,"",IF(Main[[#This Row],[Class]]="C",WORKDAY(Main[[#This Row],[Tech Start Date]],23),IF(Main[[#This Row],[Class]]="B", WORKDAY(Main[[#This Row],[Tech Start Date]],15),IF(Main[[#This Row],[Class]]="A",WORKDAY(Main[[#This Row],[Tech Start Date]],5),""))))</f>
        <v/>
      </c>
      <c r="P1322" s="77" t="str">
        <f>IF(Main[[#This Row],[Tech Start Date]]&lt;1/1/1990,"",IF(Main[[#This Row],[Class]]="C",WORKDAY(Main[[#This Row],[Tech Start Date]],28),IF(Main[[#This Row],[Class]]="B", WORKDAY(Main[[#This Row],[Tech Start Date]],19),IF(Main[[#This Row],[Class]]="A",WORKDAY(Main[[#This Row],[Tech Start Date]],9),""))))</f>
        <v/>
      </c>
      <c r="Q1322" s="74">
        <v>40908</v>
      </c>
      <c r="R1322" s="74"/>
      <c r="S1322" s="72" t="s">
        <v>17</v>
      </c>
      <c r="T1322" s="80" t="s">
        <v>4</v>
      </c>
      <c r="U1322" s="72" t="s">
        <v>14</v>
      </c>
      <c r="V1322" s="72" t="s">
        <v>1927</v>
      </c>
      <c r="W1322" s="72" t="s">
        <v>1928</v>
      </c>
      <c r="X1322" s="72" t="s">
        <v>554</v>
      </c>
      <c r="Y1322" s="72" t="s">
        <v>2958</v>
      </c>
      <c r="Z1322" s="72" t="s">
        <v>4</v>
      </c>
      <c r="AA1322" s="146" t="s">
        <v>554</v>
      </c>
    </row>
    <row r="1323" spans="1:27" ht="18.600000000000001" customHeight="1">
      <c r="A1323" s="139" t="str">
        <f>IF(priority(Main[[#This Row],[Comments]])&lt;&gt;0, priority(Main[[#This Row],[Comments]]),"")</f>
        <v/>
      </c>
      <c r="B1323" s="89" t="s">
        <v>2604</v>
      </c>
      <c r="C1323" s="72" t="s">
        <v>4</v>
      </c>
      <c r="D1323" s="73" t="s">
        <v>2605</v>
      </c>
      <c r="E1323" s="74">
        <v>40877.273229166669</v>
      </c>
      <c r="F1323" s="74"/>
      <c r="G1323" s="75" t="str">
        <f>IF(stdProdLT(Main[[#This Row],[Comments]])=0.1,"N/A",IF(stdProdLT(Main[[#This Row],[Comments]])=0,"",stdProdLT(Main[[#This Row],[Comments]])))</f>
        <v/>
      </c>
      <c r="H1323" s="76" t="str">
        <f>IF(AND(Main[[#This Row],[In Stock Date]]&lt;&gt;"",Main[[#This Row],[Revised Due Date]]&lt;&gt;""),Main[[#This Row],[In Stock Date]]-Main[[#This Row],[Revised Due Date]],"")</f>
        <v/>
      </c>
      <c r="I1323" s="72" t="s">
        <v>69</v>
      </c>
      <c r="J1323" s="72" t="s">
        <v>70</v>
      </c>
      <c r="K1323" s="72" t="s">
        <v>1926</v>
      </c>
      <c r="L1323" s="74"/>
      <c r="M1323" s="77" t="str">
        <f>IF(Main[[#This Row],[Tech Start Date]]&lt;1/1/1990,"",IF(Main[[#This Row],[Class]]="C",WORKDAY(Main[[#This Row],[Tech Start Date]],9),IF(Main[[#This Row],[Class]]="B", WORKDAY(Main[[#This Row],[Tech Start Date]],6),IF(Main[[#This Row],[Class]]="A",WORKDAY(Main[[#This Row],[Tech Start Date]],2),""))))</f>
        <v/>
      </c>
      <c r="N1323" s="77" t="str">
        <f>IF(Main[[#This Row],[Tech Start Date]]&lt;1/1/1990,"",IF(Main[[#This Row],[Class]]="C",WORKDAY(Main[[#This Row],[Tech Start Date]],19),IF(Main[[#This Row],[Class]]="B", WORKDAY(Main[[#This Row],[Tech Start Date]],12),IF(Main[[#This Row],[Class]]="A",WORKDAY(Main[[#This Row],[Tech Start Date]],4),""))))</f>
        <v/>
      </c>
      <c r="O1323" s="77" t="str">
        <f>IF(Main[[#This Row],[Tech Start Date]]&lt;1/1/1990,"",IF(Main[[#This Row],[Class]]="C",WORKDAY(Main[[#This Row],[Tech Start Date]],23),IF(Main[[#This Row],[Class]]="B", WORKDAY(Main[[#This Row],[Tech Start Date]],15),IF(Main[[#This Row],[Class]]="A",WORKDAY(Main[[#This Row],[Tech Start Date]],5),""))))</f>
        <v/>
      </c>
      <c r="P1323" s="77" t="str">
        <f>IF(Main[[#This Row],[Tech Start Date]]&lt;1/1/1990,"",IF(Main[[#This Row],[Class]]="C",WORKDAY(Main[[#This Row],[Tech Start Date]],28),IF(Main[[#This Row],[Class]]="B", WORKDAY(Main[[#This Row],[Tech Start Date]],19),IF(Main[[#This Row],[Class]]="A",WORKDAY(Main[[#This Row],[Tech Start Date]],9),""))))</f>
        <v/>
      </c>
      <c r="Q1323" s="74">
        <v>40906</v>
      </c>
      <c r="R1323" s="74"/>
      <c r="S1323" s="72" t="s">
        <v>6</v>
      </c>
      <c r="T1323" s="80" t="s">
        <v>4</v>
      </c>
      <c r="U1323" s="72" t="s">
        <v>29</v>
      </c>
      <c r="V1323" s="72" t="s">
        <v>1920</v>
      </c>
      <c r="W1323" s="72" t="s">
        <v>1921</v>
      </c>
      <c r="X1323" s="72" t="s">
        <v>30</v>
      </c>
      <c r="Y1323" s="72" t="s">
        <v>3145</v>
      </c>
      <c r="Z1323" s="72" t="s">
        <v>30</v>
      </c>
      <c r="AA1323" s="146" t="s">
        <v>3480</v>
      </c>
    </row>
    <row r="1324" spans="1:27" ht="18.600000000000001" customHeight="1">
      <c r="A1324" s="139" t="str">
        <f>IF(priority(Main[[#This Row],[Comments]])&lt;&gt;0, priority(Main[[#This Row],[Comments]]),"")</f>
        <v/>
      </c>
      <c r="B1324" s="89" t="s">
        <v>2725</v>
      </c>
      <c r="C1324" s="72" t="s">
        <v>4</v>
      </c>
      <c r="D1324" s="73" t="s">
        <v>3247</v>
      </c>
      <c r="E1324" s="74"/>
      <c r="F1324" s="74"/>
      <c r="G1324" s="75" t="str">
        <f>IF(stdProdLT(Main[[#This Row],[Comments]])=0.1,"N/A",IF(stdProdLT(Main[[#This Row],[Comments]])=0,"",stdProdLT(Main[[#This Row],[Comments]])))</f>
        <v/>
      </c>
      <c r="H1324" s="76" t="str">
        <f>IF(AND(Main[[#This Row],[In Stock Date]]&lt;&gt;"",Main[[#This Row],[Revised Due Date]]&lt;&gt;""),Main[[#This Row],[In Stock Date]]-Main[[#This Row],[Revised Due Date]],"")</f>
        <v/>
      </c>
      <c r="I1324" s="72" t="s">
        <v>2211</v>
      </c>
      <c r="J1324" s="72" t="s">
        <v>75</v>
      </c>
      <c r="K1324" s="72" t="s">
        <v>1926</v>
      </c>
      <c r="L1324" s="74"/>
      <c r="M1324" s="77" t="str">
        <f>IF(Main[[#This Row],[Tech Start Date]]&lt;1/1/1990,"",IF(Main[[#This Row],[Class]]="C",WORKDAY(Main[[#This Row],[Tech Start Date]],9),IF(Main[[#This Row],[Class]]="B", WORKDAY(Main[[#This Row],[Tech Start Date]],6),IF(Main[[#This Row],[Class]]="A",WORKDAY(Main[[#This Row],[Tech Start Date]],2),""))))</f>
        <v/>
      </c>
      <c r="N1324" s="77" t="str">
        <f>IF(Main[[#This Row],[Tech Start Date]]&lt;1/1/1990,"",IF(Main[[#This Row],[Class]]="C",WORKDAY(Main[[#This Row],[Tech Start Date]],19),IF(Main[[#This Row],[Class]]="B", WORKDAY(Main[[#This Row],[Tech Start Date]],12),IF(Main[[#This Row],[Class]]="A",WORKDAY(Main[[#This Row],[Tech Start Date]],4),""))))</f>
        <v/>
      </c>
      <c r="O1324" s="77" t="str">
        <f>IF(Main[[#This Row],[Tech Start Date]]&lt;1/1/1990,"",IF(Main[[#This Row],[Class]]="C",WORKDAY(Main[[#This Row],[Tech Start Date]],23),IF(Main[[#This Row],[Class]]="B", WORKDAY(Main[[#This Row],[Tech Start Date]],15),IF(Main[[#This Row],[Class]]="A",WORKDAY(Main[[#This Row],[Tech Start Date]],5),""))))</f>
        <v/>
      </c>
      <c r="P1324" s="77" t="str">
        <f>IF(Main[[#This Row],[Tech Start Date]]&lt;1/1/1990,"",IF(Main[[#This Row],[Class]]="C",WORKDAY(Main[[#This Row],[Tech Start Date]],28),IF(Main[[#This Row],[Class]]="B", WORKDAY(Main[[#This Row],[Tech Start Date]],19),IF(Main[[#This Row],[Class]]="A",WORKDAY(Main[[#This Row],[Tech Start Date]],9),""))))</f>
        <v/>
      </c>
      <c r="Q1324" s="74">
        <v>40939</v>
      </c>
      <c r="R1324" s="74"/>
      <c r="S1324" s="72" t="s">
        <v>6</v>
      </c>
      <c r="T1324" s="80" t="s">
        <v>4</v>
      </c>
      <c r="U1324" s="72" t="s">
        <v>14</v>
      </c>
      <c r="V1324" s="72" t="s">
        <v>1920</v>
      </c>
      <c r="W1324" s="72" t="s">
        <v>1921</v>
      </c>
      <c r="X1324" s="72" t="s">
        <v>2825</v>
      </c>
      <c r="Y1324" s="72" t="s">
        <v>2938</v>
      </c>
      <c r="Z1324" s="72" t="s">
        <v>30</v>
      </c>
      <c r="AA1324" s="146" t="s">
        <v>2825</v>
      </c>
    </row>
    <row r="1325" spans="1:27" ht="18.600000000000001" customHeight="1">
      <c r="A1325" s="139" t="str">
        <f>IF(priority(Main[[#This Row],[Comments]])&lt;&gt;0, priority(Main[[#This Row],[Comments]]),"")</f>
        <v/>
      </c>
      <c r="B1325" s="89" t="s">
        <v>3307</v>
      </c>
      <c r="C1325" s="72" t="s">
        <v>4</v>
      </c>
      <c r="D1325" s="73" t="s">
        <v>3308</v>
      </c>
      <c r="E1325" s="74"/>
      <c r="F1325" s="74"/>
      <c r="G1325" s="75" t="str">
        <f>IF(stdProdLT(Main[[#This Row],[Comments]])=0.1,"N/A",IF(stdProdLT(Main[[#This Row],[Comments]])=0,"",stdProdLT(Main[[#This Row],[Comments]])))</f>
        <v/>
      </c>
      <c r="H1325" s="76" t="str">
        <f>IF(AND(Main[[#This Row],[In Stock Date]]&lt;&gt;"",Main[[#This Row],[Revised Due Date]]&lt;&gt;""),Main[[#This Row],[In Stock Date]]-Main[[#This Row],[Revised Due Date]],"")</f>
        <v/>
      </c>
      <c r="I1325" s="72" t="s">
        <v>4</v>
      </c>
      <c r="J1325" s="72" t="s">
        <v>4</v>
      </c>
      <c r="K1325" s="72" t="s">
        <v>4</v>
      </c>
      <c r="L1325" s="74"/>
      <c r="M1325" s="77" t="str">
        <f>IF(Main[[#This Row],[Tech Start Date]]&lt;1/1/1990,"",IF(Main[[#This Row],[Class]]="C",WORKDAY(Main[[#This Row],[Tech Start Date]],9),IF(Main[[#This Row],[Class]]="B", WORKDAY(Main[[#This Row],[Tech Start Date]],6),IF(Main[[#This Row],[Class]]="A",WORKDAY(Main[[#This Row],[Tech Start Date]],2),""))))</f>
        <v/>
      </c>
      <c r="N1325" s="77" t="str">
        <f>IF(Main[[#This Row],[Tech Start Date]]&lt;1/1/1990,"",IF(Main[[#This Row],[Class]]="C",WORKDAY(Main[[#This Row],[Tech Start Date]],19),IF(Main[[#This Row],[Class]]="B", WORKDAY(Main[[#This Row],[Tech Start Date]],12),IF(Main[[#This Row],[Class]]="A",WORKDAY(Main[[#This Row],[Tech Start Date]],4),""))))</f>
        <v/>
      </c>
      <c r="O1325" s="77" t="str">
        <f>IF(Main[[#This Row],[Tech Start Date]]&lt;1/1/1990,"",IF(Main[[#This Row],[Class]]="C",WORKDAY(Main[[#This Row],[Tech Start Date]],23),IF(Main[[#This Row],[Class]]="B", WORKDAY(Main[[#This Row],[Tech Start Date]],15),IF(Main[[#This Row],[Class]]="A",WORKDAY(Main[[#This Row],[Tech Start Date]],5),""))))</f>
        <v/>
      </c>
      <c r="P1325" s="77" t="str">
        <f>IF(Main[[#This Row],[Tech Start Date]]&lt;1/1/1990,"",IF(Main[[#This Row],[Class]]="C",WORKDAY(Main[[#This Row],[Tech Start Date]],28),IF(Main[[#This Row],[Class]]="B", WORKDAY(Main[[#This Row],[Tech Start Date]],19),IF(Main[[#This Row],[Class]]="A",WORKDAY(Main[[#This Row],[Tech Start Date]],9),""))))</f>
        <v/>
      </c>
      <c r="Q1325" s="74">
        <v>40969</v>
      </c>
      <c r="R1325" s="74"/>
      <c r="S1325" s="72" t="s">
        <v>11</v>
      </c>
      <c r="T1325" s="80" t="s">
        <v>4</v>
      </c>
      <c r="U1325" s="72" t="s">
        <v>14</v>
      </c>
      <c r="V1325" s="72" t="s">
        <v>1920</v>
      </c>
      <c r="W1325" s="72" t="s">
        <v>1922</v>
      </c>
      <c r="X1325" s="72" t="s">
        <v>554</v>
      </c>
      <c r="Y1325" s="72" t="s">
        <v>2958</v>
      </c>
      <c r="Z1325" s="72" t="s">
        <v>4</v>
      </c>
      <c r="AA1325" s="146" t="s">
        <v>554</v>
      </c>
    </row>
    <row r="1326" spans="1:27" ht="18.600000000000001" customHeight="1">
      <c r="A1326" s="139" t="str">
        <f>IF(priority(Main[[#This Row],[Comments]])&lt;&gt;0, priority(Main[[#This Row],[Comments]]),"")</f>
        <v/>
      </c>
      <c r="B1326" s="89" t="s">
        <v>1479</v>
      </c>
      <c r="C1326" s="72" t="s">
        <v>4</v>
      </c>
      <c r="D1326" s="73" t="s">
        <v>358</v>
      </c>
      <c r="E1326" s="74">
        <v>40926.591666666667</v>
      </c>
      <c r="F1326" s="74"/>
      <c r="G1326" s="75" t="str">
        <f>IF(stdProdLT(Main[[#This Row],[Comments]])=0.1,"N/A",IF(stdProdLT(Main[[#This Row],[Comments]])=0,"",stdProdLT(Main[[#This Row],[Comments]])))</f>
        <v/>
      </c>
      <c r="H1326" s="76" t="str">
        <f>IF(AND(Main[[#This Row],[In Stock Date]]&lt;&gt;"",Main[[#This Row],[Revised Due Date]]&lt;&gt;""),Main[[#This Row],[In Stock Date]]-Main[[#This Row],[Revised Due Date]],"")</f>
        <v/>
      </c>
      <c r="I1326" s="72" t="s">
        <v>530</v>
      </c>
      <c r="J1326" s="72" t="s">
        <v>28</v>
      </c>
      <c r="K1326" s="72" t="s">
        <v>1926</v>
      </c>
      <c r="L1326" s="74"/>
      <c r="M1326" s="77" t="str">
        <f>IF(Main[[#This Row],[Tech Start Date]]&lt;1/1/1990,"",IF(Main[[#This Row],[Class]]="C",WORKDAY(Main[[#This Row],[Tech Start Date]],9),IF(Main[[#This Row],[Class]]="B", WORKDAY(Main[[#This Row],[Tech Start Date]],6),IF(Main[[#This Row],[Class]]="A",WORKDAY(Main[[#This Row],[Tech Start Date]],2),""))))</f>
        <v/>
      </c>
      <c r="N1326" s="77" t="str">
        <f>IF(Main[[#This Row],[Tech Start Date]]&lt;1/1/1990,"",IF(Main[[#This Row],[Class]]="C",WORKDAY(Main[[#This Row],[Tech Start Date]],19),IF(Main[[#This Row],[Class]]="B", WORKDAY(Main[[#This Row],[Tech Start Date]],12),IF(Main[[#This Row],[Class]]="A",WORKDAY(Main[[#This Row],[Tech Start Date]],4),""))))</f>
        <v/>
      </c>
      <c r="O1326" s="77" t="str">
        <f>IF(Main[[#This Row],[Tech Start Date]]&lt;1/1/1990,"",IF(Main[[#This Row],[Class]]="C",WORKDAY(Main[[#This Row],[Tech Start Date]],23),IF(Main[[#This Row],[Class]]="B", WORKDAY(Main[[#This Row],[Tech Start Date]],15),IF(Main[[#This Row],[Class]]="A",WORKDAY(Main[[#This Row],[Tech Start Date]],5),""))))</f>
        <v/>
      </c>
      <c r="P1326" s="77" t="str">
        <f>IF(Main[[#This Row],[Tech Start Date]]&lt;1/1/1990,"",IF(Main[[#This Row],[Class]]="C",WORKDAY(Main[[#This Row],[Tech Start Date]],28),IF(Main[[#This Row],[Class]]="B", WORKDAY(Main[[#This Row],[Tech Start Date]],19),IF(Main[[#This Row],[Class]]="A",WORKDAY(Main[[#This Row],[Tech Start Date]],9),""))))</f>
        <v/>
      </c>
      <c r="Q1326" s="74">
        <v>40746</v>
      </c>
      <c r="R1326" s="74"/>
      <c r="S1326" s="72" t="s">
        <v>6</v>
      </c>
      <c r="T1326" s="80" t="s">
        <v>4</v>
      </c>
      <c r="U1326" s="72" t="s">
        <v>29</v>
      </c>
      <c r="V1326" s="72" t="s">
        <v>1920</v>
      </c>
      <c r="W1326" s="72" t="s">
        <v>1921</v>
      </c>
      <c r="X1326" s="72" t="s">
        <v>2825</v>
      </c>
      <c r="Y1326" s="72" t="s">
        <v>2938</v>
      </c>
      <c r="Z1326" s="72" t="s">
        <v>30</v>
      </c>
      <c r="AA1326" s="146" t="s">
        <v>2825</v>
      </c>
    </row>
    <row r="1327" spans="1:27" ht="18.600000000000001" customHeight="1">
      <c r="A1327" s="139" t="str">
        <f>IF(priority(Main[[#This Row],[Comments]])&lt;&gt;0, priority(Main[[#This Row],[Comments]]),"")</f>
        <v/>
      </c>
      <c r="B1327" s="89" t="s">
        <v>2815</v>
      </c>
      <c r="C1327" s="72" t="s">
        <v>4</v>
      </c>
      <c r="D1327" s="73" t="s">
        <v>2816</v>
      </c>
      <c r="E1327" s="74">
        <v>40918.365578703706</v>
      </c>
      <c r="F1327" s="74"/>
      <c r="G1327" s="75" t="str">
        <f>IF(stdProdLT(Main[[#This Row],[Comments]])=0.1,"N/A",IF(stdProdLT(Main[[#This Row],[Comments]])=0,"",stdProdLT(Main[[#This Row],[Comments]])))</f>
        <v/>
      </c>
      <c r="H1327" s="76" t="str">
        <f>IF(AND(Main[[#This Row],[In Stock Date]]&lt;&gt;"",Main[[#This Row],[Revised Due Date]]&lt;&gt;""),Main[[#This Row],[In Stock Date]]-Main[[#This Row],[Revised Due Date]],"")</f>
        <v/>
      </c>
      <c r="I1327" s="72" t="s">
        <v>4</v>
      </c>
      <c r="J1327" s="72" t="s">
        <v>4</v>
      </c>
      <c r="K1327" s="72" t="s">
        <v>4</v>
      </c>
      <c r="L1327" s="74"/>
      <c r="M1327" s="77" t="str">
        <f>IF(Main[[#This Row],[Tech Start Date]]&lt;1/1/1990,"",IF(Main[[#This Row],[Class]]="C",WORKDAY(Main[[#This Row],[Tech Start Date]],9),IF(Main[[#This Row],[Class]]="B", WORKDAY(Main[[#This Row],[Tech Start Date]],6),IF(Main[[#This Row],[Class]]="A",WORKDAY(Main[[#This Row],[Tech Start Date]],2),""))))</f>
        <v/>
      </c>
      <c r="N1327" s="77" t="str">
        <f>IF(Main[[#This Row],[Tech Start Date]]&lt;1/1/1990,"",IF(Main[[#This Row],[Class]]="C",WORKDAY(Main[[#This Row],[Tech Start Date]],19),IF(Main[[#This Row],[Class]]="B", WORKDAY(Main[[#This Row],[Tech Start Date]],12),IF(Main[[#This Row],[Class]]="A",WORKDAY(Main[[#This Row],[Tech Start Date]],4),""))))</f>
        <v/>
      </c>
      <c r="O1327" s="77" t="str">
        <f>IF(Main[[#This Row],[Tech Start Date]]&lt;1/1/1990,"",IF(Main[[#This Row],[Class]]="C",WORKDAY(Main[[#This Row],[Tech Start Date]],23),IF(Main[[#This Row],[Class]]="B", WORKDAY(Main[[#This Row],[Tech Start Date]],15),IF(Main[[#This Row],[Class]]="A",WORKDAY(Main[[#This Row],[Tech Start Date]],5),""))))</f>
        <v/>
      </c>
      <c r="P1327" s="77" t="str">
        <f>IF(Main[[#This Row],[Tech Start Date]]&lt;1/1/1990,"",IF(Main[[#This Row],[Class]]="C",WORKDAY(Main[[#This Row],[Tech Start Date]],28),IF(Main[[#This Row],[Class]]="B", WORKDAY(Main[[#This Row],[Tech Start Date]],19),IF(Main[[#This Row],[Class]]="A",WORKDAY(Main[[#This Row],[Tech Start Date]],9),""))))</f>
        <v/>
      </c>
      <c r="Q1327" s="74">
        <v>40925</v>
      </c>
      <c r="R1327" s="74"/>
      <c r="S1327" s="72" t="s">
        <v>6</v>
      </c>
      <c r="T1327" s="80" t="s">
        <v>4</v>
      </c>
      <c r="U1327" s="72" t="s">
        <v>7</v>
      </c>
      <c r="V1327" s="72" t="s">
        <v>1917</v>
      </c>
      <c r="W1327" s="72" t="s">
        <v>4</v>
      </c>
      <c r="X1327" s="72" t="s">
        <v>2825</v>
      </c>
      <c r="Y1327" s="72" t="s">
        <v>2938</v>
      </c>
      <c r="Z1327" s="72" t="s">
        <v>4</v>
      </c>
      <c r="AA1327" s="146" t="s">
        <v>2825</v>
      </c>
    </row>
    <row r="1328" spans="1:27" ht="18.600000000000001" customHeight="1">
      <c r="A1328" s="139" t="str">
        <f>IF(priority(Main[[#This Row],[Comments]])&lt;&gt;0, priority(Main[[#This Row],[Comments]]),"")</f>
        <v/>
      </c>
      <c r="B1328" s="89" t="s">
        <v>3198</v>
      </c>
      <c r="C1328" s="72" t="s">
        <v>31</v>
      </c>
      <c r="D1328" s="73" t="s">
        <v>3199</v>
      </c>
      <c r="E1328" s="74"/>
      <c r="F1328" s="74">
        <v>41122</v>
      </c>
      <c r="G1328" s="75" t="str">
        <f>IF(stdProdLT(Main[[#This Row],[Comments]])=0.1,"N/A",IF(stdProdLT(Main[[#This Row],[Comments]])=0,"",stdProdLT(Main[[#This Row],[Comments]])))</f>
        <v/>
      </c>
      <c r="H1328" s="76" t="str">
        <f>IF(AND(Main[[#This Row],[In Stock Date]]&lt;&gt;"",Main[[#This Row],[Revised Due Date]]&lt;&gt;""),Main[[#This Row],[In Stock Date]]-Main[[#This Row],[Revised Due Date]],"")</f>
        <v/>
      </c>
      <c r="I1328" s="72" t="s">
        <v>4</v>
      </c>
      <c r="J1328" s="72" t="s">
        <v>4</v>
      </c>
      <c r="K1328" s="72" t="s">
        <v>4</v>
      </c>
      <c r="L1328" s="74"/>
      <c r="M1328" s="77" t="str">
        <f>IF(Main[[#This Row],[Tech Start Date]]&lt;1/1/1990,"",IF(Main[[#This Row],[Class]]="C",WORKDAY(Main[[#This Row],[Tech Start Date]],9),IF(Main[[#This Row],[Class]]="B", WORKDAY(Main[[#This Row],[Tech Start Date]],6),IF(Main[[#This Row],[Class]]="A",WORKDAY(Main[[#This Row],[Tech Start Date]],2),""))))</f>
        <v/>
      </c>
      <c r="N1328" s="77" t="str">
        <f>IF(Main[[#This Row],[Tech Start Date]]&lt;1/1/1990,"",IF(Main[[#This Row],[Class]]="C",WORKDAY(Main[[#This Row],[Tech Start Date]],19),IF(Main[[#This Row],[Class]]="B", WORKDAY(Main[[#This Row],[Tech Start Date]],12),IF(Main[[#This Row],[Class]]="A",WORKDAY(Main[[#This Row],[Tech Start Date]],4),""))))</f>
        <v/>
      </c>
      <c r="O1328" s="77" t="str">
        <f>IF(Main[[#This Row],[Tech Start Date]]&lt;1/1/1990,"",IF(Main[[#This Row],[Class]]="C",WORKDAY(Main[[#This Row],[Tech Start Date]],23),IF(Main[[#This Row],[Class]]="B", WORKDAY(Main[[#This Row],[Tech Start Date]],15),IF(Main[[#This Row],[Class]]="A",WORKDAY(Main[[#This Row],[Tech Start Date]],5),""))))</f>
        <v/>
      </c>
      <c r="P1328" s="77" t="str">
        <f>IF(Main[[#This Row],[Tech Start Date]]&lt;1/1/1990,"",IF(Main[[#This Row],[Class]]="C",WORKDAY(Main[[#This Row],[Tech Start Date]],28),IF(Main[[#This Row],[Class]]="B", WORKDAY(Main[[#This Row],[Tech Start Date]],19),IF(Main[[#This Row],[Class]]="A",WORKDAY(Main[[#This Row],[Tech Start Date]],9),""))))</f>
        <v/>
      </c>
      <c r="Q1328" s="74">
        <v>40940</v>
      </c>
      <c r="R1328" s="74"/>
      <c r="S1328" s="72" t="s">
        <v>11</v>
      </c>
      <c r="T1328" s="80" t="s">
        <v>4</v>
      </c>
      <c r="U1328" s="72" t="s">
        <v>12</v>
      </c>
      <c r="V1328" s="72" t="s">
        <v>1920</v>
      </c>
      <c r="W1328" s="72" t="s">
        <v>1928</v>
      </c>
      <c r="X1328" s="72" t="s">
        <v>2852</v>
      </c>
      <c r="Y1328" s="72" t="s">
        <v>4</v>
      </c>
      <c r="Z1328" s="72" t="s">
        <v>4</v>
      </c>
      <c r="AA1328" s="146" t="s">
        <v>2852</v>
      </c>
    </row>
    <row r="1329" spans="1:27" ht="18.600000000000001" customHeight="1">
      <c r="A1329" s="139" t="str">
        <f>IF(priority(Main[[#This Row],[Comments]])&lt;&gt;0, priority(Main[[#This Row],[Comments]]),"")</f>
        <v/>
      </c>
      <c r="B1329" s="89" t="s">
        <v>3219</v>
      </c>
      <c r="C1329" s="72" t="s">
        <v>4</v>
      </c>
      <c r="D1329" s="73" t="s">
        <v>3377</v>
      </c>
      <c r="E1329" s="74">
        <v>40921.54005787037</v>
      </c>
      <c r="F1329" s="74"/>
      <c r="G1329" s="75" t="str">
        <f>IF(stdProdLT(Main[[#This Row],[Comments]])=0.1,"N/A",IF(stdProdLT(Main[[#This Row],[Comments]])=0,"",stdProdLT(Main[[#This Row],[Comments]])))</f>
        <v/>
      </c>
      <c r="H1329" s="76" t="str">
        <f>IF(AND(Main[[#This Row],[In Stock Date]]&lt;&gt;"",Main[[#This Row],[Revised Due Date]]&lt;&gt;""),Main[[#This Row],[In Stock Date]]-Main[[#This Row],[Revised Due Date]],"")</f>
        <v/>
      </c>
      <c r="I1329" s="72" t="s">
        <v>914</v>
      </c>
      <c r="J1329" s="72" t="s">
        <v>52</v>
      </c>
      <c r="K1329" s="72" t="s">
        <v>4</v>
      </c>
      <c r="L1329" s="74"/>
      <c r="M1329" s="77" t="str">
        <f>IF(Main[[#This Row],[Tech Start Date]]&lt;1/1/1990,"",IF(Main[[#This Row],[Class]]="C",WORKDAY(Main[[#This Row],[Tech Start Date]],9),IF(Main[[#This Row],[Class]]="B", WORKDAY(Main[[#This Row],[Tech Start Date]],6),IF(Main[[#This Row],[Class]]="A",WORKDAY(Main[[#This Row],[Tech Start Date]],2),""))))</f>
        <v/>
      </c>
      <c r="N1329" s="77" t="str">
        <f>IF(Main[[#This Row],[Tech Start Date]]&lt;1/1/1990,"",IF(Main[[#This Row],[Class]]="C",WORKDAY(Main[[#This Row],[Tech Start Date]],19),IF(Main[[#This Row],[Class]]="B", WORKDAY(Main[[#This Row],[Tech Start Date]],12),IF(Main[[#This Row],[Class]]="A",WORKDAY(Main[[#This Row],[Tech Start Date]],4),""))))</f>
        <v/>
      </c>
      <c r="O1329" s="77" t="str">
        <f>IF(Main[[#This Row],[Tech Start Date]]&lt;1/1/1990,"",IF(Main[[#This Row],[Class]]="C",WORKDAY(Main[[#This Row],[Tech Start Date]],23),IF(Main[[#This Row],[Class]]="B", WORKDAY(Main[[#This Row],[Tech Start Date]],15),IF(Main[[#This Row],[Class]]="A",WORKDAY(Main[[#This Row],[Tech Start Date]],5),""))))</f>
        <v/>
      </c>
      <c r="P1329" s="77" t="str">
        <f>IF(Main[[#This Row],[Tech Start Date]]&lt;1/1/1990,"",IF(Main[[#This Row],[Class]]="C",WORKDAY(Main[[#This Row],[Tech Start Date]],28),IF(Main[[#This Row],[Class]]="B", WORKDAY(Main[[#This Row],[Tech Start Date]],19),IF(Main[[#This Row],[Class]]="A",WORKDAY(Main[[#This Row],[Tech Start Date]],9),""))))</f>
        <v/>
      </c>
      <c r="Q1329" s="74"/>
      <c r="R1329" s="74"/>
      <c r="S1329" s="72" t="s">
        <v>6</v>
      </c>
      <c r="T1329" s="80" t="s">
        <v>4</v>
      </c>
      <c r="U1329" s="72" t="s">
        <v>29</v>
      </c>
      <c r="V1329" s="72" t="s">
        <v>1917</v>
      </c>
      <c r="W1329" s="72" t="s">
        <v>1921</v>
      </c>
      <c r="X1329" s="72" t="s">
        <v>939</v>
      </c>
      <c r="Y1329" s="72" t="s">
        <v>2990</v>
      </c>
      <c r="Z1329" s="72" t="s">
        <v>4</v>
      </c>
      <c r="AA1329" s="146" t="s">
        <v>939</v>
      </c>
    </row>
    <row r="1330" spans="1:27" ht="18.600000000000001" customHeight="1">
      <c r="A1330" s="139" t="str">
        <f>IF(priority(Main[[#This Row],[Comments]])&lt;&gt;0, priority(Main[[#This Row],[Comments]]),"")</f>
        <v/>
      </c>
      <c r="B1330" s="89" t="s">
        <v>3802</v>
      </c>
      <c r="C1330" s="72" t="s">
        <v>47</v>
      </c>
      <c r="D1330" s="73" t="s">
        <v>3803</v>
      </c>
      <c r="E1330" s="74">
        <v>40961.495104166665</v>
      </c>
      <c r="F1330" s="74"/>
      <c r="G1330" s="75" t="str">
        <f>IF(stdProdLT(Main[[#This Row],[Comments]])=0.1,"N/A",IF(stdProdLT(Main[[#This Row],[Comments]])=0,"",stdProdLT(Main[[#This Row],[Comments]])))</f>
        <v/>
      </c>
      <c r="H1330" s="76" t="str">
        <f>IF(AND(Main[[#This Row],[In Stock Date]]&lt;&gt;"",Main[[#This Row],[Revised Due Date]]&lt;&gt;""),Main[[#This Row],[In Stock Date]]-Main[[#This Row],[Revised Due Date]],"")</f>
        <v/>
      </c>
      <c r="I1330" s="72" t="s">
        <v>4</v>
      </c>
      <c r="J1330" s="72" t="s">
        <v>4</v>
      </c>
      <c r="K1330" s="72" t="s">
        <v>4</v>
      </c>
      <c r="L1330" s="74"/>
      <c r="M1330" s="77" t="str">
        <f>IF(Main[[#This Row],[Tech Start Date]]&lt;1/1/1990,"",IF(Main[[#This Row],[Class]]="C",WORKDAY(Main[[#This Row],[Tech Start Date]],9),IF(Main[[#This Row],[Class]]="B", WORKDAY(Main[[#This Row],[Tech Start Date]],6),IF(Main[[#This Row],[Class]]="A",WORKDAY(Main[[#This Row],[Tech Start Date]],2),""))))</f>
        <v/>
      </c>
      <c r="N1330" s="77" t="str">
        <f>IF(Main[[#This Row],[Tech Start Date]]&lt;1/1/1990,"",IF(Main[[#This Row],[Class]]="C",WORKDAY(Main[[#This Row],[Tech Start Date]],19),IF(Main[[#This Row],[Class]]="B", WORKDAY(Main[[#This Row],[Tech Start Date]],12),IF(Main[[#This Row],[Class]]="A",WORKDAY(Main[[#This Row],[Tech Start Date]],4),""))))</f>
        <v/>
      </c>
      <c r="O1330" s="77" t="str">
        <f>IF(Main[[#This Row],[Tech Start Date]]&lt;1/1/1990,"",IF(Main[[#This Row],[Class]]="C",WORKDAY(Main[[#This Row],[Tech Start Date]],23),IF(Main[[#This Row],[Class]]="B", WORKDAY(Main[[#This Row],[Tech Start Date]],15),IF(Main[[#This Row],[Class]]="A",WORKDAY(Main[[#This Row],[Tech Start Date]],5),""))))</f>
        <v/>
      </c>
      <c r="P1330" s="77" t="str">
        <f>IF(Main[[#This Row],[Tech Start Date]]&lt;1/1/1990,"",IF(Main[[#This Row],[Class]]="C",WORKDAY(Main[[#This Row],[Tech Start Date]],28),IF(Main[[#This Row],[Class]]="B", WORKDAY(Main[[#This Row],[Tech Start Date]],19),IF(Main[[#This Row],[Class]]="A",WORKDAY(Main[[#This Row],[Tech Start Date]],9),""))))</f>
        <v/>
      </c>
      <c r="Q1330" s="74"/>
      <c r="R1330" s="74"/>
      <c r="S1330" s="72" t="s">
        <v>6</v>
      </c>
      <c r="T1330" s="80" t="s">
        <v>4</v>
      </c>
      <c r="U1330" s="72" t="s">
        <v>29</v>
      </c>
      <c r="V1330" s="72" t="s">
        <v>2288</v>
      </c>
      <c r="W1330" s="72" t="s">
        <v>1921</v>
      </c>
      <c r="X1330" s="72" t="s">
        <v>2847</v>
      </c>
      <c r="Y1330" s="72" t="s">
        <v>2977</v>
      </c>
      <c r="Z1330" s="72" t="s">
        <v>4</v>
      </c>
      <c r="AA1330" s="146" t="s">
        <v>2847</v>
      </c>
    </row>
    <row r="1331" spans="1:27" ht="18.600000000000001" customHeight="1">
      <c r="A1331" s="139" t="str">
        <f>IF(priority(Main[[#This Row],[Comments]])&lt;&gt;0, priority(Main[[#This Row],[Comments]]),"")</f>
        <v/>
      </c>
      <c r="B1331" s="89" t="s">
        <v>2305</v>
      </c>
      <c r="C1331" s="72" t="s">
        <v>4</v>
      </c>
      <c r="D1331" s="73" t="s">
        <v>2598</v>
      </c>
      <c r="E1331" s="74">
        <v>40820.42082175926</v>
      </c>
      <c r="F1331" s="74"/>
      <c r="G1331" s="75" t="str">
        <f>IF(stdProdLT(Main[[#This Row],[Comments]])=0.1,"N/A",IF(stdProdLT(Main[[#This Row],[Comments]])=0,"",stdProdLT(Main[[#This Row],[Comments]])))</f>
        <v/>
      </c>
      <c r="H1331" s="76" t="str">
        <f>IF(AND(Main[[#This Row],[In Stock Date]]&lt;&gt;"",Main[[#This Row],[Revised Due Date]]&lt;&gt;""),Main[[#This Row],[In Stock Date]]-Main[[#This Row],[Revised Due Date]],"")</f>
        <v/>
      </c>
      <c r="I1331" s="72" t="s">
        <v>562</v>
      </c>
      <c r="J1331" s="72" t="s">
        <v>21</v>
      </c>
      <c r="K1331" s="72" t="s">
        <v>4</v>
      </c>
      <c r="L1331" s="74"/>
      <c r="M1331" s="77" t="str">
        <f>IF(Main[[#This Row],[Tech Start Date]]&lt;1/1/1990,"",IF(Main[[#This Row],[Class]]="C",WORKDAY(Main[[#This Row],[Tech Start Date]],9),IF(Main[[#This Row],[Class]]="B", WORKDAY(Main[[#This Row],[Tech Start Date]],6),IF(Main[[#This Row],[Class]]="A",WORKDAY(Main[[#This Row],[Tech Start Date]],2),""))))</f>
        <v/>
      </c>
      <c r="N1331" s="77" t="str">
        <f>IF(Main[[#This Row],[Tech Start Date]]&lt;1/1/1990,"",IF(Main[[#This Row],[Class]]="C",WORKDAY(Main[[#This Row],[Tech Start Date]],19),IF(Main[[#This Row],[Class]]="B", WORKDAY(Main[[#This Row],[Tech Start Date]],12),IF(Main[[#This Row],[Class]]="A",WORKDAY(Main[[#This Row],[Tech Start Date]],4),""))))</f>
        <v/>
      </c>
      <c r="O1331" s="77" t="str">
        <f>IF(Main[[#This Row],[Tech Start Date]]&lt;1/1/1990,"",IF(Main[[#This Row],[Class]]="C",WORKDAY(Main[[#This Row],[Tech Start Date]],23),IF(Main[[#This Row],[Class]]="B", WORKDAY(Main[[#This Row],[Tech Start Date]],15),IF(Main[[#This Row],[Class]]="A",WORKDAY(Main[[#This Row],[Tech Start Date]],5),""))))</f>
        <v/>
      </c>
      <c r="P1331" s="77" t="str">
        <f>IF(Main[[#This Row],[Tech Start Date]]&lt;1/1/1990,"",IF(Main[[#This Row],[Class]]="C",WORKDAY(Main[[#This Row],[Tech Start Date]],28),IF(Main[[#This Row],[Class]]="B", WORKDAY(Main[[#This Row],[Tech Start Date]],19),IF(Main[[#This Row],[Class]]="A",WORKDAY(Main[[#This Row],[Tech Start Date]],9),""))))</f>
        <v/>
      </c>
      <c r="Q1331" s="74"/>
      <c r="R1331" s="74">
        <v>40840</v>
      </c>
      <c r="S1331" s="72" t="s">
        <v>6</v>
      </c>
      <c r="T1331" s="80" t="s">
        <v>4</v>
      </c>
      <c r="U1331" s="72" t="s">
        <v>29</v>
      </c>
      <c r="V1331" s="72" t="s">
        <v>1917</v>
      </c>
      <c r="W1331" s="72" t="s">
        <v>1925</v>
      </c>
      <c r="X1331" s="72" t="s">
        <v>50</v>
      </c>
      <c r="Y1331" s="72" t="s">
        <v>2965</v>
      </c>
      <c r="Z1331" s="72" t="s">
        <v>4</v>
      </c>
      <c r="AA1331" s="146" t="s">
        <v>2834</v>
      </c>
    </row>
    <row r="1332" spans="1:27" ht="18.600000000000001" customHeight="1">
      <c r="A1332" s="139" t="str">
        <f>IF(priority(Main[[#This Row],[Comments]])&lt;&gt;0, priority(Main[[#This Row],[Comments]]),"")</f>
        <v/>
      </c>
      <c r="B1332" s="89" t="s">
        <v>3567</v>
      </c>
      <c r="C1332" s="72" t="s">
        <v>4</v>
      </c>
      <c r="D1332" s="73" t="s">
        <v>3568</v>
      </c>
      <c r="E1332" s="74">
        <v>40945.679675925923</v>
      </c>
      <c r="F1332" s="74"/>
      <c r="G1332" s="75" t="str">
        <f>IF(stdProdLT(Main[[#This Row],[Comments]])=0.1,"N/A",IF(stdProdLT(Main[[#This Row],[Comments]])=0,"",stdProdLT(Main[[#This Row],[Comments]])))</f>
        <v/>
      </c>
      <c r="H1332" s="76" t="str">
        <f>IF(AND(Main[[#This Row],[In Stock Date]]&lt;&gt;"",Main[[#This Row],[Revised Due Date]]&lt;&gt;""),Main[[#This Row],[In Stock Date]]-Main[[#This Row],[Revised Due Date]],"")</f>
        <v/>
      </c>
      <c r="I1332" s="72" t="s">
        <v>4</v>
      </c>
      <c r="J1332" s="72" t="s">
        <v>4</v>
      </c>
      <c r="K1332" s="72" t="s">
        <v>4</v>
      </c>
      <c r="L1332" s="74"/>
      <c r="M1332" s="77" t="str">
        <f>IF(Main[[#This Row],[Tech Start Date]]&lt;1/1/1990,"",IF(Main[[#This Row],[Class]]="C",WORKDAY(Main[[#This Row],[Tech Start Date]],9),IF(Main[[#This Row],[Class]]="B", WORKDAY(Main[[#This Row],[Tech Start Date]],6),IF(Main[[#This Row],[Class]]="A",WORKDAY(Main[[#This Row],[Tech Start Date]],2),""))))</f>
        <v/>
      </c>
      <c r="N1332" s="77" t="str">
        <f>IF(Main[[#This Row],[Tech Start Date]]&lt;1/1/1990,"",IF(Main[[#This Row],[Class]]="C",WORKDAY(Main[[#This Row],[Tech Start Date]],19),IF(Main[[#This Row],[Class]]="B", WORKDAY(Main[[#This Row],[Tech Start Date]],12),IF(Main[[#This Row],[Class]]="A",WORKDAY(Main[[#This Row],[Tech Start Date]],4),""))))</f>
        <v/>
      </c>
      <c r="O1332" s="77" t="str">
        <f>IF(Main[[#This Row],[Tech Start Date]]&lt;1/1/1990,"",IF(Main[[#This Row],[Class]]="C",WORKDAY(Main[[#This Row],[Tech Start Date]],23),IF(Main[[#This Row],[Class]]="B", WORKDAY(Main[[#This Row],[Tech Start Date]],15),IF(Main[[#This Row],[Class]]="A",WORKDAY(Main[[#This Row],[Tech Start Date]],5),""))))</f>
        <v/>
      </c>
      <c r="P1332" s="77" t="str">
        <f>IF(Main[[#This Row],[Tech Start Date]]&lt;1/1/1990,"",IF(Main[[#This Row],[Class]]="C",WORKDAY(Main[[#This Row],[Tech Start Date]],28),IF(Main[[#This Row],[Class]]="B", WORKDAY(Main[[#This Row],[Tech Start Date]],19),IF(Main[[#This Row],[Class]]="A",WORKDAY(Main[[#This Row],[Tech Start Date]],9),""))))</f>
        <v/>
      </c>
      <c r="Q1332" s="74"/>
      <c r="R1332" s="74"/>
      <c r="S1332" s="72" t="s">
        <v>4</v>
      </c>
      <c r="T1332" s="80" t="s">
        <v>4</v>
      </c>
      <c r="U1332" s="72" t="s">
        <v>7</v>
      </c>
      <c r="V1332" s="72" t="s">
        <v>1917</v>
      </c>
      <c r="W1332" s="72" t="s">
        <v>4</v>
      </c>
      <c r="X1332" s="72" t="s">
        <v>3569</v>
      </c>
      <c r="Y1332" s="72" t="s">
        <v>3570</v>
      </c>
      <c r="Z1332" s="72" t="s">
        <v>4</v>
      </c>
      <c r="AA1332" s="146" t="s">
        <v>3569</v>
      </c>
    </row>
    <row r="1333" spans="1:27" ht="18.600000000000001" customHeight="1">
      <c r="A1333" s="139" t="str">
        <f>IF(priority(Main[[#This Row],[Comments]])&lt;&gt;0, priority(Main[[#This Row],[Comments]]),"")</f>
        <v/>
      </c>
      <c r="B1333" s="89" t="s">
        <v>3283</v>
      </c>
      <c r="C1333" s="72" t="s">
        <v>4</v>
      </c>
      <c r="D1333" s="73" t="s">
        <v>3804</v>
      </c>
      <c r="E1333" s="74">
        <v>40935.663275462961</v>
      </c>
      <c r="F1333" s="74"/>
      <c r="G1333" s="75" t="str">
        <f>IF(stdProdLT(Main[[#This Row],[Comments]])=0.1,"N/A",IF(stdProdLT(Main[[#This Row],[Comments]])=0,"",stdProdLT(Main[[#This Row],[Comments]])))</f>
        <v/>
      </c>
      <c r="H1333" s="76" t="str">
        <f>IF(AND(Main[[#This Row],[In Stock Date]]&lt;&gt;"",Main[[#This Row],[Revised Due Date]]&lt;&gt;""),Main[[#This Row],[In Stock Date]]-Main[[#This Row],[Revised Due Date]],"")</f>
        <v/>
      </c>
      <c r="I1333" s="72" t="s">
        <v>2054</v>
      </c>
      <c r="J1333" s="72" t="s">
        <v>28</v>
      </c>
      <c r="K1333" s="72" t="s">
        <v>1926</v>
      </c>
      <c r="L1333" s="74"/>
      <c r="M1333" s="77" t="str">
        <f>IF(Main[[#This Row],[Tech Start Date]]&lt;1/1/1990,"",IF(Main[[#This Row],[Class]]="C",WORKDAY(Main[[#This Row],[Tech Start Date]],9),IF(Main[[#This Row],[Class]]="B", WORKDAY(Main[[#This Row],[Tech Start Date]],6),IF(Main[[#This Row],[Class]]="A",WORKDAY(Main[[#This Row],[Tech Start Date]],2),""))))</f>
        <v/>
      </c>
      <c r="N1333" s="77" t="str">
        <f>IF(Main[[#This Row],[Tech Start Date]]&lt;1/1/1990,"",IF(Main[[#This Row],[Class]]="C",WORKDAY(Main[[#This Row],[Tech Start Date]],19),IF(Main[[#This Row],[Class]]="B", WORKDAY(Main[[#This Row],[Tech Start Date]],12),IF(Main[[#This Row],[Class]]="A",WORKDAY(Main[[#This Row],[Tech Start Date]],4),""))))</f>
        <v/>
      </c>
      <c r="O1333" s="77" t="str">
        <f>IF(Main[[#This Row],[Tech Start Date]]&lt;1/1/1990,"",IF(Main[[#This Row],[Class]]="C",WORKDAY(Main[[#This Row],[Tech Start Date]],23),IF(Main[[#This Row],[Class]]="B", WORKDAY(Main[[#This Row],[Tech Start Date]],15),IF(Main[[#This Row],[Class]]="A",WORKDAY(Main[[#This Row],[Tech Start Date]],5),""))))</f>
        <v/>
      </c>
      <c r="P1333" s="77" t="str">
        <f>IF(Main[[#This Row],[Tech Start Date]]&lt;1/1/1990,"",IF(Main[[#This Row],[Class]]="C",WORKDAY(Main[[#This Row],[Tech Start Date]],28),IF(Main[[#This Row],[Class]]="B", WORKDAY(Main[[#This Row],[Tech Start Date]],19),IF(Main[[#This Row],[Class]]="A",WORKDAY(Main[[#This Row],[Tech Start Date]],9),""))))</f>
        <v/>
      </c>
      <c r="Q1333" s="74">
        <v>41015</v>
      </c>
      <c r="R1333" s="74"/>
      <c r="S1333" s="72" t="s">
        <v>6</v>
      </c>
      <c r="T1333" s="80" t="s">
        <v>4</v>
      </c>
      <c r="U1333" s="72" t="s">
        <v>29</v>
      </c>
      <c r="V1333" s="72" t="s">
        <v>1920</v>
      </c>
      <c r="W1333" s="72" t="s">
        <v>1921</v>
      </c>
      <c r="X1333" s="72" t="s">
        <v>2847</v>
      </c>
      <c r="Y1333" s="72" t="s">
        <v>2977</v>
      </c>
      <c r="Z1333" s="72" t="s">
        <v>30</v>
      </c>
      <c r="AA1333" s="146" t="s">
        <v>2847</v>
      </c>
    </row>
    <row r="1334" spans="1:27" ht="18.600000000000001" customHeight="1">
      <c r="A1334" s="139" t="str">
        <f>IF(priority(Main[[#This Row],[Comments]])&lt;&gt;0, priority(Main[[#This Row],[Comments]]),"")</f>
        <v/>
      </c>
      <c r="B1334" s="89" t="s">
        <v>3547</v>
      </c>
      <c r="C1334" s="72" t="s">
        <v>53</v>
      </c>
      <c r="D1334" s="73" t="s">
        <v>3548</v>
      </c>
      <c r="E1334" s="74">
        <v>40960.929155092592</v>
      </c>
      <c r="F1334" s="74"/>
      <c r="G1334" s="75">
        <f>IF(stdProdLT(Main[[#This Row],[Comments]])=0.1,"N/A",IF(stdProdLT(Main[[#This Row],[Comments]])=0,"",stdProdLT(Main[[#This Row],[Comments]])))</f>
        <v>112</v>
      </c>
      <c r="H1334" s="76" t="str">
        <f>IF(AND(Main[[#This Row],[In Stock Date]]&lt;&gt;"",Main[[#This Row],[Revised Due Date]]&lt;&gt;""),Main[[#This Row],[In Stock Date]]-Main[[#This Row],[Revised Due Date]],"")</f>
        <v/>
      </c>
      <c r="I1334" s="72" t="s">
        <v>4</v>
      </c>
      <c r="J1334" s="72" t="s">
        <v>4</v>
      </c>
      <c r="K1334" s="72" t="s">
        <v>4</v>
      </c>
      <c r="L1334" s="74"/>
      <c r="M1334" s="77" t="str">
        <f>IF(Main[[#This Row],[Tech Start Date]]&lt;1/1/1990,"",IF(Main[[#This Row],[Class]]="C",WORKDAY(Main[[#This Row],[Tech Start Date]],9),IF(Main[[#This Row],[Class]]="B", WORKDAY(Main[[#This Row],[Tech Start Date]],6),IF(Main[[#This Row],[Class]]="A",WORKDAY(Main[[#This Row],[Tech Start Date]],2),""))))</f>
        <v/>
      </c>
      <c r="N1334" s="77" t="str">
        <f>IF(Main[[#This Row],[Tech Start Date]]&lt;1/1/1990,"",IF(Main[[#This Row],[Class]]="C",WORKDAY(Main[[#This Row],[Tech Start Date]],19),IF(Main[[#This Row],[Class]]="B", WORKDAY(Main[[#This Row],[Tech Start Date]],12),IF(Main[[#This Row],[Class]]="A",WORKDAY(Main[[#This Row],[Tech Start Date]],4),""))))</f>
        <v/>
      </c>
      <c r="O1334" s="77" t="str">
        <f>IF(Main[[#This Row],[Tech Start Date]]&lt;1/1/1990,"",IF(Main[[#This Row],[Class]]="C",WORKDAY(Main[[#This Row],[Tech Start Date]],23),IF(Main[[#This Row],[Class]]="B", WORKDAY(Main[[#This Row],[Tech Start Date]],15),IF(Main[[#This Row],[Class]]="A",WORKDAY(Main[[#This Row],[Tech Start Date]],5),""))))</f>
        <v/>
      </c>
      <c r="P1334" s="77" t="str">
        <f>IF(Main[[#This Row],[Tech Start Date]]&lt;1/1/1990,"",IF(Main[[#This Row],[Class]]="C",WORKDAY(Main[[#This Row],[Tech Start Date]],28),IF(Main[[#This Row],[Class]]="B", WORKDAY(Main[[#This Row],[Tech Start Date]],19),IF(Main[[#This Row],[Class]]="A",WORKDAY(Main[[#This Row],[Tech Start Date]],9),""))))</f>
        <v/>
      </c>
      <c r="Q1334" s="74">
        <v>40956</v>
      </c>
      <c r="R1334" s="74"/>
      <c r="S1334" s="72" t="s">
        <v>11</v>
      </c>
      <c r="T1334" s="80" t="s">
        <v>3805</v>
      </c>
      <c r="U1334" s="72" t="s">
        <v>696</v>
      </c>
      <c r="V1334" s="72" t="s">
        <v>1920</v>
      </c>
      <c r="W1334" s="72" t="s">
        <v>1919</v>
      </c>
      <c r="X1334" s="72" t="s">
        <v>3549</v>
      </c>
      <c r="Y1334" s="72" t="s">
        <v>4</v>
      </c>
      <c r="Z1334" s="72" t="s">
        <v>4</v>
      </c>
      <c r="AA1334" s="146" t="s">
        <v>3549</v>
      </c>
    </row>
    <row r="1335" spans="1:27" ht="18.600000000000001" customHeight="1">
      <c r="A1335" s="139" t="str">
        <f>IF(priority(Main[[#This Row],[Comments]])&lt;&gt;0, priority(Main[[#This Row],[Comments]]),"")</f>
        <v/>
      </c>
      <c r="B1335" s="89" t="s">
        <v>3382</v>
      </c>
      <c r="C1335" s="72" t="s">
        <v>4</v>
      </c>
      <c r="D1335" s="73" t="s">
        <v>3806</v>
      </c>
      <c r="E1335" s="74">
        <v>40940.228032407409</v>
      </c>
      <c r="F1335" s="74"/>
      <c r="G1335" s="75" t="str">
        <f>IF(stdProdLT(Main[[#This Row],[Comments]])=0.1,"N/A",IF(stdProdLT(Main[[#This Row],[Comments]])=0,"",stdProdLT(Main[[#This Row],[Comments]])))</f>
        <v/>
      </c>
      <c r="H1335" s="76" t="str">
        <f>IF(AND(Main[[#This Row],[In Stock Date]]&lt;&gt;"",Main[[#This Row],[Revised Due Date]]&lt;&gt;""),Main[[#This Row],[In Stock Date]]-Main[[#This Row],[Revised Due Date]],"")</f>
        <v/>
      </c>
      <c r="I1335" s="72" t="s">
        <v>69</v>
      </c>
      <c r="J1335" s="72" t="s">
        <v>70</v>
      </c>
      <c r="K1335" s="81" t="s">
        <v>4</v>
      </c>
      <c r="L1335" s="74"/>
      <c r="M1335" s="77" t="str">
        <f>IF(Main[[#This Row],[Tech Start Date]]&lt;1/1/1990,"",IF(Main[[#This Row],[Class]]="C",WORKDAY(Main[[#This Row],[Tech Start Date]],9),IF(Main[[#This Row],[Class]]="B", WORKDAY(Main[[#This Row],[Tech Start Date]],6),IF(Main[[#This Row],[Class]]="A",WORKDAY(Main[[#This Row],[Tech Start Date]],2),""))))</f>
        <v/>
      </c>
      <c r="N1335" s="77" t="str">
        <f>IF(Main[[#This Row],[Tech Start Date]]&lt;1/1/1990,"",IF(Main[[#This Row],[Class]]="C",WORKDAY(Main[[#This Row],[Tech Start Date]],19),IF(Main[[#This Row],[Class]]="B", WORKDAY(Main[[#This Row],[Tech Start Date]],12),IF(Main[[#This Row],[Class]]="A",WORKDAY(Main[[#This Row],[Tech Start Date]],4),""))))</f>
        <v/>
      </c>
      <c r="O1335" s="77" t="str">
        <f>IF(Main[[#This Row],[Tech Start Date]]&lt;1/1/1990,"",IF(Main[[#This Row],[Class]]="C",WORKDAY(Main[[#This Row],[Tech Start Date]],23),IF(Main[[#This Row],[Class]]="B", WORKDAY(Main[[#This Row],[Tech Start Date]],15),IF(Main[[#This Row],[Class]]="A",WORKDAY(Main[[#This Row],[Tech Start Date]],5),""))))</f>
        <v/>
      </c>
      <c r="P1335" s="77" t="str">
        <f>IF(Main[[#This Row],[Tech Start Date]]&lt;1/1/1990,"",IF(Main[[#This Row],[Class]]="C",WORKDAY(Main[[#This Row],[Tech Start Date]],28),IF(Main[[#This Row],[Class]]="B", WORKDAY(Main[[#This Row],[Tech Start Date]],19),IF(Main[[#This Row],[Class]]="A",WORKDAY(Main[[#This Row],[Tech Start Date]],9),""))))</f>
        <v/>
      </c>
      <c r="Q1335" s="74">
        <v>40969</v>
      </c>
      <c r="R1335" s="74"/>
      <c r="S1335" s="72" t="s">
        <v>6</v>
      </c>
      <c r="T1335" s="80" t="s">
        <v>4</v>
      </c>
      <c r="U1335" s="72" t="s">
        <v>29</v>
      </c>
      <c r="V1335" s="72" t="s">
        <v>1920</v>
      </c>
      <c r="W1335" s="72" t="s">
        <v>4</v>
      </c>
      <c r="X1335" s="72" t="s">
        <v>2828</v>
      </c>
      <c r="Y1335" s="72" t="s">
        <v>2944</v>
      </c>
      <c r="Z1335" s="72" t="s">
        <v>4</v>
      </c>
      <c r="AA1335" s="146" t="s">
        <v>2828</v>
      </c>
    </row>
    <row r="1336" spans="1:27" ht="18.600000000000001" customHeight="1">
      <c r="A1336" s="139" t="str">
        <f>IF(priority(Main[[#This Row],[Comments]])&lt;&gt;0, priority(Main[[#This Row],[Comments]]),"")</f>
        <v/>
      </c>
      <c r="B1336" s="89" t="s">
        <v>2600</v>
      </c>
      <c r="C1336" s="72" t="s">
        <v>4</v>
      </c>
      <c r="D1336" s="73" t="s">
        <v>2601</v>
      </c>
      <c r="E1336" s="74">
        <v>40868.429988425924</v>
      </c>
      <c r="F1336" s="74"/>
      <c r="G1336" s="75" t="str">
        <f>IF(stdProdLT(Main[[#This Row],[Comments]])=0.1,"N/A",IF(stdProdLT(Main[[#This Row],[Comments]])=0,"",stdProdLT(Main[[#This Row],[Comments]])))</f>
        <v/>
      </c>
      <c r="H1336" s="76" t="str">
        <f>IF(AND(Main[[#This Row],[In Stock Date]]&lt;&gt;"",Main[[#This Row],[Revised Due Date]]&lt;&gt;""),Main[[#This Row],[In Stock Date]]-Main[[#This Row],[Revised Due Date]],"")</f>
        <v/>
      </c>
      <c r="I1336" s="72" t="s">
        <v>239</v>
      </c>
      <c r="J1336" s="72" t="s">
        <v>21</v>
      </c>
      <c r="K1336" s="72" t="s">
        <v>4</v>
      </c>
      <c r="L1336" s="74"/>
      <c r="M1336" s="77" t="str">
        <f>IF(Main[[#This Row],[Tech Start Date]]&lt;1/1/1990,"",IF(Main[[#This Row],[Class]]="C",WORKDAY(Main[[#This Row],[Tech Start Date]],9),IF(Main[[#This Row],[Class]]="B", WORKDAY(Main[[#This Row],[Tech Start Date]],6),IF(Main[[#This Row],[Class]]="A",WORKDAY(Main[[#This Row],[Tech Start Date]],2),""))))</f>
        <v/>
      </c>
      <c r="N1336" s="77" t="str">
        <f>IF(Main[[#This Row],[Tech Start Date]]&lt;1/1/1990,"",IF(Main[[#This Row],[Class]]="C",WORKDAY(Main[[#This Row],[Tech Start Date]],19),IF(Main[[#This Row],[Class]]="B", WORKDAY(Main[[#This Row],[Tech Start Date]],12),IF(Main[[#This Row],[Class]]="A",WORKDAY(Main[[#This Row],[Tech Start Date]],4),""))))</f>
        <v/>
      </c>
      <c r="O1336" s="77" t="str">
        <f>IF(Main[[#This Row],[Tech Start Date]]&lt;1/1/1990,"",IF(Main[[#This Row],[Class]]="C",WORKDAY(Main[[#This Row],[Tech Start Date]],23),IF(Main[[#This Row],[Class]]="B", WORKDAY(Main[[#This Row],[Tech Start Date]],15),IF(Main[[#This Row],[Class]]="A",WORKDAY(Main[[#This Row],[Tech Start Date]],5),""))))</f>
        <v/>
      </c>
      <c r="P1336" s="77" t="str">
        <f>IF(Main[[#This Row],[Tech Start Date]]&lt;1/1/1990,"",IF(Main[[#This Row],[Class]]="C",WORKDAY(Main[[#This Row],[Tech Start Date]],28),IF(Main[[#This Row],[Class]]="B", WORKDAY(Main[[#This Row],[Tech Start Date]],19),IF(Main[[#This Row],[Class]]="A",WORKDAY(Main[[#This Row],[Tech Start Date]],9),""))))</f>
        <v/>
      </c>
      <c r="Q1336" s="74">
        <v>40877</v>
      </c>
      <c r="R1336" s="74"/>
      <c r="S1336" s="72" t="s">
        <v>6</v>
      </c>
      <c r="T1336" s="80" t="s">
        <v>4</v>
      </c>
      <c r="U1336" s="72" t="s">
        <v>29</v>
      </c>
      <c r="V1336" s="72" t="s">
        <v>1920</v>
      </c>
      <c r="W1336" s="72" t="s">
        <v>1921</v>
      </c>
      <c r="X1336" s="72" t="s">
        <v>239</v>
      </c>
      <c r="Y1336" s="72" t="s">
        <v>3146</v>
      </c>
      <c r="Z1336" s="72" t="s">
        <v>239</v>
      </c>
      <c r="AA1336" s="146" t="s">
        <v>239</v>
      </c>
    </row>
    <row r="1337" spans="1:27" ht="18.600000000000001" customHeight="1">
      <c r="A1337" s="141" t="str">
        <f>IF(priority(Main[[#This Row],[Comments]])&lt;&gt;0, priority(Main[[#This Row],[Comments]]),"")</f>
        <v/>
      </c>
      <c r="B1337" s="90" t="s">
        <v>2602</v>
      </c>
      <c r="C1337" s="107" t="s">
        <v>4</v>
      </c>
      <c r="D1337" s="108" t="s">
        <v>2796</v>
      </c>
      <c r="E1337" s="109">
        <v>40870.471666666665</v>
      </c>
      <c r="F1337" s="109"/>
      <c r="G1337" s="110" t="str">
        <f>IF(stdProdLT(Main[[#This Row],[Comments]])=0.1,"N/A",IF(stdProdLT(Main[[#This Row],[Comments]])=0,"",stdProdLT(Main[[#This Row],[Comments]])))</f>
        <v/>
      </c>
      <c r="H1337" s="111" t="str">
        <f>IF(AND(Main[[#This Row],[In Stock Date]]&lt;&gt;"",Main[[#This Row],[Revised Due Date]]&lt;&gt;""),Main[[#This Row],[In Stock Date]]-Main[[#This Row],[Revised Due Date]],"")</f>
        <v/>
      </c>
      <c r="I1337" s="107" t="s">
        <v>4</v>
      </c>
      <c r="J1337" s="107" t="s">
        <v>28</v>
      </c>
      <c r="K1337" s="107" t="s">
        <v>1926</v>
      </c>
      <c r="L1337" s="109"/>
      <c r="M1337" s="112" t="str">
        <f>IF(Main[[#This Row],[Tech Start Date]]&lt;1/1/1990,"",IF(Main[[#This Row],[Class]]="C",WORKDAY(Main[[#This Row],[Tech Start Date]],9),IF(Main[[#This Row],[Class]]="B", WORKDAY(Main[[#This Row],[Tech Start Date]],6),IF(Main[[#This Row],[Class]]="A",WORKDAY(Main[[#This Row],[Tech Start Date]],2),""))))</f>
        <v/>
      </c>
      <c r="N1337" s="112" t="str">
        <f>IF(Main[[#This Row],[Tech Start Date]]&lt;1/1/1990,"",IF(Main[[#This Row],[Class]]="C",WORKDAY(Main[[#This Row],[Tech Start Date]],19),IF(Main[[#This Row],[Class]]="B", WORKDAY(Main[[#This Row],[Tech Start Date]],12),IF(Main[[#This Row],[Class]]="A",WORKDAY(Main[[#This Row],[Tech Start Date]],4),""))))</f>
        <v/>
      </c>
      <c r="O1337" s="112" t="str">
        <f>IF(Main[[#This Row],[Tech Start Date]]&lt;1/1/1990,"",IF(Main[[#This Row],[Class]]="C",WORKDAY(Main[[#This Row],[Tech Start Date]],23),IF(Main[[#This Row],[Class]]="B", WORKDAY(Main[[#This Row],[Tech Start Date]],15),IF(Main[[#This Row],[Class]]="A",WORKDAY(Main[[#This Row],[Tech Start Date]],5),""))))</f>
        <v/>
      </c>
      <c r="P1337" s="112" t="str">
        <f>IF(Main[[#This Row],[Tech Start Date]]&lt;1/1/1990,"",IF(Main[[#This Row],[Class]]="C",WORKDAY(Main[[#This Row],[Tech Start Date]],28),IF(Main[[#This Row],[Class]]="B", WORKDAY(Main[[#This Row],[Tech Start Date]],19),IF(Main[[#This Row],[Class]]="A",WORKDAY(Main[[#This Row],[Tech Start Date]],9),""))))</f>
        <v/>
      </c>
      <c r="Q1337" s="109">
        <v>40905</v>
      </c>
      <c r="R1337" s="109"/>
      <c r="S1337" s="107" t="s">
        <v>6</v>
      </c>
      <c r="T1337" s="113" t="s">
        <v>4</v>
      </c>
      <c r="U1337" s="107" t="s">
        <v>29</v>
      </c>
      <c r="V1337" s="107" t="s">
        <v>1920</v>
      </c>
      <c r="W1337" s="107" t="s">
        <v>1921</v>
      </c>
      <c r="X1337" s="72" t="s">
        <v>2054</v>
      </c>
      <c r="Y1337" s="72" t="s">
        <v>3066</v>
      </c>
      <c r="Z1337" s="72" t="s">
        <v>30</v>
      </c>
      <c r="AA1337" s="146" t="s">
        <v>2901</v>
      </c>
    </row>
    <row r="1338" spans="1:27" ht="18.600000000000001" customHeight="1">
      <c r="A1338" s="139" t="str">
        <f>IF(priority(Main[[#This Row],[Comments]])&lt;&gt;0, priority(Main[[#This Row],[Comments]]),"")</f>
        <v/>
      </c>
      <c r="B1338" s="89" t="s">
        <v>1677</v>
      </c>
      <c r="C1338" s="72" t="s">
        <v>37</v>
      </c>
      <c r="D1338" s="73" t="s">
        <v>2603</v>
      </c>
      <c r="E1338" s="74">
        <v>40681.624918981484</v>
      </c>
      <c r="F1338" s="74"/>
      <c r="G1338" s="75" t="str">
        <f>IF(stdProdLT(Main[[#This Row],[Comments]])=0.1,"N/A",IF(stdProdLT(Main[[#This Row],[Comments]])=0,"",stdProdLT(Main[[#This Row],[Comments]])))</f>
        <v/>
      </c>
      <c r="H1338" s="76" t="str">
        <f>IF(AND(Main[[#This Row],[In Stock Date]]&lt;&gt;"",Main[[#This Row],[Revised Due Date]]&lt;&gt;""),Main[[#This Row],[In Stock Date]]-Main[[#This Row],[Revised Due Date]],"")</f>
        <v/>
      </c>
      <c r="I1338" s="72" t="s">
        <v>4</v>
      </c>
      <c r="J1338" s="72" t="s">
        <v>4</v>
      </c>
      <c r="K1338" s="72" t="s">
        <v>4</v>
      </c>
      <c r="L1338" s="74"/>
      <c r="M1338" s="77" t="str">
        <f>IF(Main[[#This Row],[Tech Start Date]]&lt;1/1/1990,"",IF(Main[[#This Row],[Class]]="C",WORKDAY(Main[[#This Row],[Tech Start Date]],9),IF(Main[[#This Row],[Class]]="B", WORKDAY(Main[[#This Row],[Tech Start Date]],6),IF(Main[[#This Row],[Class]]="A",WORKDAY(Main[[#This Row],[Tech Start Date]],2),""))))</f>
        <v/>
      </c>
      <c r="N1338" s="77" t="str">
        <f>IF(Main[[#This Row],[Tech Start Date]]&lt;1/1/1990,"",IF(Main[[#This Row],[Class]]="C",WORKDAY(Main[[#This Row],[Tech Start Date]],19),IF(Main[[#This Row],[Class]]="B", WORKDAY(Main[[#This Row],[Tech Start Date]],12),IF(Main[[#This Row],[Class]]="A",WORKDAY(Main[[#This Row],[Tech Start Date]],4),""))))</f>
        <v/>
      </c>
      <c r="O1338" s="77" t="str">
        <f>IF(Main[[#This Row],[Tech Start Date]]&lt;1/1/1990,"",IF(Main[[#This Row],[Class]]="C",WORKDAY(Main[[#This Row],[Tech Start Date]],23),IF(Main[[#This Row],[Class]]="B", WORKDAY(Main[[#This Row],[Tech Start Date]],15),IF(Main[[#This Row],[Class]]="A",WORKDAY(Main[[#This Row],[Tech Start Date]],5),""))))</f>
        <v/>
      </c>
      <c r="P1338" s="77" t="str">
        <f>IF(Main[[#This Row],[Tech Start Date]]&lt;1/1/1990,"",IF(Main[[#This Row],[Class]]="C",WORKDAY(Main[[#This Row],[Tech Start Date]],28),IF(Main[[#This Row],[Class]]="B", WORKDAY(Main[[#This Row],[Tech Start Date]],19),IF(Main[[#This Row],[Class]]="A",WORKDAY(Main[[#This Row],[Tech Start Date]],9),""))))</f>
        <v/>
      </c>
      <c r="Q1338" s="74"/>
      <c r="R1338" s="74"/>
      <c r="S1338" s="72" t="s">
        <v>6</v>
      </c>
      <c r="T1338" s="80" t="s">
        <v>4</v>
      </c>
      <c r="U1338" s="72" t="s">
        <v>534</v>
      </c>
      <c r="V1338" s="72" t="s">
        <v>1917</v>
      </c>
      <c r="W1338" s="72" t="s">
        <v>1928</v>
      </c>
      <c r="X1338" s="72" t="s">
        <v>972</v>
      </c>
      <c r="Y1338" s="72" t="s">
        <v>3103</v>
      </c>
      <c r="Z1338" s="72" t="s">
        <v>4</v>
      </c>
      <c r="AA1338" s="146" t="s">
        <v>972</v>
      </c>
    </row>
    <row r="1339" spans="1:27" ht="18.600000000000001" customHeight="1">
      <c r="A1339" s="141" t="str">
        <f>IF(priority(Main[[#This Row],[Comments]])&lt;&gt;0, priority(Main[[#This Row],[Comments]]),"")</f>
        <v/>
      </c>
      <c r="B1339" s="90" t="s">
        <v>2702</v>
      </c>
      <c r="C1339" s="72" t="s">
        <v>4</v>
      </c>
      <c r="D1339" s="73" t="s">
        <v>2703</v>
      </c>
      <c r="E1339" s="74">
        <v>40900.141886574071</v>
      </c>
      <c r="F1339" s="74"/>
      <c r="G1339" s="75" t="str">
        <f>IF(stdProdLT(Main[[#This Row],[Comments]])=0.1,"N/A",IF(stdProdLT(Main[[#This Row],[Comments]])=0,"",stdProdLT(Main[[#This Row],[Comments]])))</f>
        <v/>
      </c>
      <c r="H1339" s="76" t="str">
        <f>IF(AND(Main[[#This Row],[In Stock Date]]&lt;&gt;"",Main[[#This Row],[Revised Due Date]]&lt;&gt;""),Main[[#This Row],[In Stock Date]]-Main[[#This Row],[Revised Due Date]],"")</f>
        <v/>
      </c>
      <c r="I1339" s="72" t="s">
        <v>69</v>
      </c>
      <c r="J1339" s="72" t="s">
        <v>28</v>
      </c>
      <c r="K1339" s="72" t="s">
        <v>1926</v>
      </c>
      <c r="L1339" s="74"/>
      <c r="M1339" s="77" t="str">
        <f>IF(Main[[#This Row],[Tech Start Date]]&lt;1/1/1990,"",IF(Main[[#This Row],[Class]]="C",WORKDAY(Main[[#This Row],[Tech Start Date]],9),IF(Main[[#This Row],[Class]]="B", WORKDAY(Main[[#This Row],[Tech Start Date]],6),IF(Main[[#This Row],[Class]]="A",WORKDAY(Main[[#This Row],[Tech Start Date]],2),""))))</f>
        <v/>
      </c>
      <c r="N1339" s="77" t="str">
        <f>IF(Main[[#This Row],[Tech Start Date]]&lt;1/1/1990,"",IF(Main[[#This Row],[Class]]="C",WORKDAY(Main[[#This Row],[Tech Start Date]],19),IF(Main[[#This Row],[Class]]="B", WORKDAY(Main[[#This Row],[Tech Start Date]],12),IF(Main[[#This Row],[Class]]="A",WORKDAY(Main[[#This Row],[Tech Start Date]],4),""))))</f>
        <v/>
      </c>
      <c r="O1339" s="77" t="str">
        <f>IF(Main[[#This Row],[Tech Start Date]]&lt;1/1/1990,"",IF(Main[[#This Row],[Class]]="C",WORKDAY(Main[[#This Row],[Tech Start Date]],23),IF(Main[[#This Row],[Class]]="B", WORKDAY(Main[[#This Row],[Tech Start Date]],15),IF(Main[[#This Row],[Class]]="A",WORKDAY(Main[[#This Row],[Tech Start Date]],5),""))))</f>
        <v/>
      </c>
      <c r="P1339" s="77" t="str">
        <f>IF(Main[[#This Row],[Tech Start Date]]&lt;1/1/1990,"",IF(Main[[#This Row],[Class]]="C",WORKDAY(Main[[#This Row],[Tech Start Date]],28),IF(Main[[#This Row],[Class]]="B", WORKDAY(Main[[#This Row],[Tech Start Date]],19),IF(Main[[#This Row],[Class]]="A",WORKDAY(Main[[#This Row],[Tech Start Date]],9),""))))</f>
        <v/>
      </c>
      <c r="Q1339" s="74">
        <v>40931</v>
      </c>
      <c r="R1339" s="74"/>
      <c r="S1339" s="72" t="s">
        <v>6</v>
      </c>
      <c r="T1339" s="80" t="s">
        <v>4</v>
      </c>
      <c r="U1339" s="72" t="s">
        <v>29</v>
      </c>
      <c r="V1339" s="72" t="s">
        <v>1920</v>
      </c>
      <c r="W1339" s="72" t="s">
        <v>1921</v>
      </c>
      <c r="X1339" s="72" t="s">
        <v>2828</v>
      </c>
      <c r="Y1339" s="107" t="s">
        <v>2944</v>
      </c>
      <c r="Z1339" s="107" t="s">
        <v>30</v>
      </c>
      <c r="AA1339" s="146" t="s">
        <v>2828</v>
      </c>
    </row>
    <row r="1340" spans="1:27" ht="18.600000000000001" customHeight="1">
      <c r="A1340" s="141" t="str">
        <f>IF(priority(Main[[#This Row],[Comments]])&lt;&gt;0, priority(Main[[#This Row],[Comments]]),"")</f>
        <v/>
      </c>
      <c r="B1340" s="90" t="s">
        <v>3314</v>
      </c>
      <c r="C1340" s="107" t="s">
        <v>4</v>
      </c>
      <c r="D1340" s="108" t="s">
        <v>3315</v>
      </c>
      <c r="E1340" s="109">
        <v>40933.268750000003</v>
      </c>
      <c r="F1340" s="109"/>
      <c r="G1340" s="110" t="str">
        <f>IF(stdProdLT(Main[[#This Row],[Comments]])=0.1,"N/A",IF(stdProdLT(Main[[#This Row],[Comments]])=0,"",stdProdLT(Main[[#This Row],[Comments]])))</f>
        <v/>
      </c>
      <c r="H1340" s="111" t="str">
        <f>IF(AND(Main[[#This Row],[In Stock Date]]&lt;&gt;"",Main[[#This Row],[Revised Due Date]]&lt;&gt;""),Main[[#This Row],[In Stock Date]]-Main[[#This Row],[Revised Due Date]],"")</f>
        <v/>
      </c>
      <c r="I1340" s="107" t="s">
        <v>4</v>
      </c>
      <c r="J1340" s="107" t="s">
        <v>4</v>
      </c>
      <c r="K1340" s="107" t="s">
        <v>4</v>
      </c>
      <c r="L1340" s="109"/>
      <c r="M1340" s="112" t="str">
        <f>IF(Main[[#This Row],[Tech Start Date]]&lt;1/1/1990,"",IF(Main[[#This Row],[Class]]="C",WORKDAY(Main[[#This Row],[Tech Start Date]],9),IF(Main[[#This Row],[Class]]="B", WORKDAY(Main[[#This Row],[Tech Start Date]],6),IF(Main[[#This Row],[Class]]="A",WORKDAY(Main[[#This Row],[Tech Start Date]],2),""))))</f>
        <v/>
      </c>
      <c r="N1340" s="112" t="str">
        <f>IF(Main[[#This Row],[Tech Start Date]]&lt;1/1/1990,"",IF(Main[[#This Row],[Class]]="C",WORKDAY(Main[[#This Row],[Tech Start Date]],19),IF(Main[[#This Row],[Class]]="B", WORKDAY(Main[[#This Row],[Tech Start Date]],12),IF(Main[[#This Row],[Class]]="A",WORKDAY(Main[[#This Row],[Tech Start Date]],4),""))))</f>
        <v/>
      </c>
      <c r="O1340" s="112" t="str">
        <f>IF(Main[[#This Row],[Tech Start Date]]&lt;1/1/1990,"",IF(Main[[#This Row],[Class]]="C",WORKDAY(Main[[#This Row],[Tech Start Date]],23),IF(Main[[#This Row],[Class]]="B", WORKDAY(Main[[#This Row],[Tech Start Date]],15),IF(Main[[#This Row],[Class]]="A",WORKDAY(Main[[#This Row],[Tech Start Date]],5),""))))</f>
        <v/>
      </c>
      <c r="P1340" s="112" t="str">
        <f>IF(Main[[#This Row],[Tech Start Date]]&lt;1/1/1990,"",IF(Main[[#This Row],[Class]]="C",WORKDAY(Main[[#This Row],[Tech Start Date]],28),IF(Main[[#This Row],[Class]]="B", WORKDAY(Main[[#This Row],[Tech Start Date]],19),IF(Main[[#This Row],[Class]]="A",WORKDAY(Main[[#This Row],[Tech Start Date]],9),""))))</f>
        <v/>
      </c>
      <c r="Q1340" s="109">
        <v>40963</v>
      </c>
      <c r="R1340" s="109"/>
      <c r="S1340" s="107" t="s">
        <v>6</v>
      </c>
      <c r="T1340" s="113" t="s">
        <v>4</v>
      </c>
      <c r="U1340" s="107" t="s">
        <v>7</v>
      </c>
      <c r="V1340" s="107" t="s">
        <v>1917</v>
      </c>
      <c r="W1340" s="107" t="s">
        <v>4</v>
      </c>
      <c r="X1340" s="107" t="s">
        <v>2828</v>
      </c>
      <c r="Y1340" s="107" t="s">
        <v>2944</v>
      </c>
      <c r="Z1340" s="107" t="s">
        <v>4</v>
      </c>
      <c r="AA1340" s="146" t="s">
        <v>2828</v>
      </c>
    </row>
    <row r="1341" spans="1:27" ht="18.600000000000001" customHeight="1">
      <c r="A1341" s="141" t="str">
        <f>IF(priority(Main[[#This Row],[Comments]])&lt;&gt;0, priority(Main[[#This Row],[Comments]]),"")</f>
        <v/>
      </c>
      <c r="B1341" s="90" t="s">
        <v>2501</v>
      </c>
      <c r="C1341" s="72" t="s">
        <v>4</v>
      </c>
      <c r="D1341" s="73" t="s">
        <v>2502</v>
      </c>
      <c r="E1341" s="74">
        <v>40855.421446759261</v>
      </c>
      <c r="F1341" s="74"/>
      <c r="G1341" s="75" t="str">
        <f>IF(stdProdLT(Main[[#This Row],[Comments]])=0.1,"N/A",IF(stdProdLT(Main[[#This Row],[Comments]])=0,"",stdProdLT(Main[[#This Row],[Comments]])))</f>
        <v/>
      </c>
      <c r="H1341" s="76" t="str">
        <f>IF(AND(Main[[#This Row],[In Stock Date]]&lt;&gt;"",Main[[#This Row],[Revised Due Date]]&lt;&gt;""),Main[[#This Row],[In Stock Date]]-Main[[#This Row],[Revised Due Date]],"")</f>
        <v/>
      </c>
      <c r="I1341" s="72" t="s">
        <v>69</v>
      </c>
      <c r="J1341" s="72" t="s">
        <v>70</v>
      </c>
      <c r="K1341" s="81" t="s">
        <v>1929</v>
      </c>
      <c r="L1341" s="74"/>
      <c r="M1341" s="77" t="str">
        <f>IF(Main[[#This Row],[Tech Start Date]]&lt;1/1/1990,"",IF(Main[[#This Row],[Class]]="C",WORKDAY(Main[[#This Row],[Tech Start Date]],9),IF(Main[[#This Row],[Class]]="B", WORKDAY(Main[[#This Row],[Tech Start Date]],6),IF(Main[[#This Row],[Class]]="A",WORKDAY(Main[[#This Row],[Tech Start Date]],2),""))))</f>
        <v/>
      </c>
      <c r="N1341" s="77" t="str">
        <f>IF(Main[[#This Row],[Tech Start Date]]&lt;1/1/1990,"",IF(Main[[#This Row],[Class]]="C",WORKDAY(Main[[#This Row],[Tech Start Date]],19),IF(Main[[#This Row],[Class]]="B", WORKDAY(Main[[#This Row],[Tech Start Date]],12),IF(Main[[#This Row],[Class]]="A",WORKDAY(Main[[#This Row],[Tech Start Date]],4),""))))</f>
        <v/>
      </c>
      <c r="O1341" s="77" t="str">
        <f>IF(Main[[#This Row],[Tech Start Date]]&lt;1/1/1990,"",IF(Main[[#This Row],[Class]]="C",WORKDAY(Main[[#This Row],[Tech Start Date]],23),IF(Main[[#This Row],[Class]]="B", WORKDAY(Main[[#This Row],[Tech Start Date]],15),IF(Main[[#This Row],[Class]]="A",WORKDAY(Main[[#This Row],[Tech Start Date]],5),""))))</f>
        <v/>
      </c>
      <c r="P1341" s="77" t="str">
        <f>IF(Main[[#This Row],[Tech Start Date]]&lt;1/1/1990,"",IF(Main[[#This Row],[Class]]="C",WORKDAY(Main[[#This Row],[Tech Start Date]],28),IF(Main[[#This Row],[Class]]="B", WORKDAY(Main[[#This Row],[Tech Start Date]],19),IF(Main[[#This Row],[Class]]="A",WORKDAY(Main[[#This Row],[Tech Start Date]],9),""))))</f>
        <v/>
      </c>
      <c r="Q1341" s="74">
        <v>40907</v>
      </c>
      <c r="R1341" s="74"/>
      <c r="S1341" s="72" t="s">
        <v>17</v>
      </c>
      <c r="T1341" s="80" t="s">
        <v>4</v>
      </c>
      <c r="U1341" s="72" t="s">
        <v>29</v>
      </c>
      <c r="V1341" s="72" t="s">
        <v>1927</v>
      </c>
      <c r="W1341" s="72" t="s">
        <v>1919</v>
      </c>
      <c r="X1341" s="72" t="s">
        <v>2872</v>
      </c>
      <c r="Y1341" s="107" t="s">
        <v>3006</v>
      </c>
      <c r="Z1341" s="107" t="s">
        <v>30</v>
      </c>
      <c r="AA1341" s="146" t="s">
        <v>2872</v>
      </c>
    </row>
    <row r="1342" spans="1:27" ht="18.600000000000001" customHeight="1">
      <c r="A1342" s="142" t="str">
        <f>IF(priority(Main[[#This Row],[Comments]])&lt;&gt;0, priority(Main[[#This Row],[Comments]]),"")</f>
        <v/>
      </c>
      <c r="B1342" s="127" t="s">
        <v>3233</v>
      </c>
      <c r="C1342" s="107" t="s">
        <v>4</v>
      </c>
      <c r="D1342" s="108" t="s">
        <v>3811</v>
      </c>
      <c r="E1342" s="109">
        <v>40924.344918981478</v>
      </c>
      <c r="F1342" s="109"/>
      <c r="G1342" s="110" t="str">
        <f>IF(stdProdLT(Main[[#This Row],[Comments]])=0.1,"N/A",IF(stdProdLT(Main[[#This Row],[Comments]])=0,"",stdProdLT(Main[[#This Row],[Comments]])))</f>
        <v/>
      </c>
      <c r="H1342" s="111" t="str">
        <f>IF(AND(Main[[#This Row],[In Stock Date]]&lt;&gt;"",Main[[#This Row],[Revised Due Date]]&lt;&gt;""),Main[[#This Row],[In Stock Date]]-Main[[#This Row],[Revised Due Date]],"")</f>
        <v/>
      </c>
      <c r="I1342" s="107" t="s">
        <v>69</v>
      </c>
      <c r="J1342" s="107" t="s">
        <v>70</v>
      </c>
      <c r="K1342" s="144" t="s">
        <v>1926</v>
      </c>
      <c r="L1342" s="109"/>
      <c r="M1342" s="112" t="str">
        <f>IF(Main[[#This Row],[Tech Start Date]]&lt;1/1/1990,"",IF(Main[[#This Row],[Class]]="C",WORKDAY(Main[[#This Row],[Tech Start Date]],9),IF(Main[[#This Row],[Class]]="B", WORKDAY(Main[[#This Row],[Tech Start Date]],6),IF(Main[[#This Row],[Class]]="A",WORKDAY(Main[[#This Row],[Tech Start Date]],2),""))))</f>
        <v/>
      </c>
      <c r="N1342" s="112" t="str">
        <f>IF(Main[[#This Row],[Tech Start Date]]&lt;1/1/1990,"",IF(Main[[#This Row],[Class]]="C",WORKDAY(Main[[#This Row],[Tech Start Date]],19),IF(Main[[#This Row],[Class]]="B", WORKDAY(Main[[#This Row],[Tech Start Date]],12),IF(Main[[#This Row],[Class]]="A",WORKDAY(Main[[#This Row],[Tech Start Date]],4),""))))</f>
        <v/>
      </c>
      <c r="O1342" s="112" t="str">
        <f>IF(Main[[#This Row],[Tech Start Date]]&lt;1/1/1990,"",IF(Main[[#This Row],[Class]]="C",WORKDAY(Main[[#This Row],[Tech Start Date]],23),IF(Main[[#This Row],[Class]]="B", WORKDAY(Main[[#This Row],[Tech Start Date]],15),IF(Main[[#This Row],[Class]]="A",WORKDAY(Main[[#This Row],[Tech Start Date]],5),""))))</f>
        <v/>
      </c>
      <c r="P1342" s="112" t="str">
        <f>IF(Main[[#This Row],[Tech Start Date]]&lt;1/1/1990,"",IF(Main[[#This Row],[Class]]="C",WORKDAY(Main[[#This Row],[Tech Start Date]],28),IF(Main[[#This Row],[Class]]="B", WORKDAY(Main[[#This Row],[Tech Start Date]],19),IF(Main[[#This Row],[Class]]="A",WORKDAY(Main[[#This Row],[Tech Start Date]],9),""))))</f>
        <v/>
      </c>
      <c r="Q1342" s="109">
        <v>40952</v>
      </c>
      <c r="R1342" s="109"/>
      <c r="S1342" s="107" t="s">
        <v>6</v>
      </c>
      <c r="T1342" s="113" t="s">
        <v>4</v>
      </c>
      <c r="U1342" s="107" t="s">
        <v>29</v>
      </c>
      <c r="V1342" s="107" t="s">
        <v>1920</v>
      </c>
      <c r="W1342" s="107" t="s">
        <v>1921</v>
      </c>
      <c r="X1342" s="107" t="s">
        <v>2828</v>
      </c>
      <c r="Y1342" s="128" t="s">
        <v>2944</v>
      </c>
      <c r="Z1342" s="128" t="s">
        <v>30</v>
      </c>
      <c r="AA1342" s="146" t="s">
        <v>2828</v>
      </c>
    </row>
    <row r="1343" spans="1:27" ht="18.600000000000001" customHeight="1">
      <c r="A1343" s="141" t="str">
        <f>IF(priority(Main[[#This Row],[Comments]])&lt;&gt;0, priority(Main[[#This Row],[Comments]]),"")</f>
        <v/>
      </c>
      <c r="B1343" s="90" t="s">
        <v>3310</v>
      </c>
      <c r="C1343" s="72" t="s">
        <v>4</v>
      </c>
      <c r="D1343" s="73" t="s">
        <v>3812</v>
      </c>
      <c r="E1343" s="74">
        <v>40933.494502314818</v>
      </c>
      <c r="F1343" s="74"/>
      <c r="G1343" s="75" t="str">
        <f>IF(stdProdLT(Main[[#This Row],[Comments]])=0.1,"N/A",IF(stdProdLT(Main[[#This Row],[Comments]])=0,"",stdProdLT(Main[[#This Row],[Comments]])))</f>
        <v/>
      </c>
      <c r="H1343" s="76" t="str">
        <f>IF(AND(Main[[#This Row],[In Stock Date]]&lt;&gt;"",Main[[#This Row],[Revised Due Date]]&lt;&gt;""),Main[[#This Row],[In Stock Date]]-Main[[#This Row],[Revised Due Date]],"")</f>
        <v/>
      </c>
      <c r="I1343" s="72" t="s">
        <v>69</v>
      </c>
      <c r="J1343" s="72" t="s">
        <v>70</v>
      </c>
      <c r="K1343" s="72" t="s">
        <v>1926</v>
      </c>
      <c r="L1343" s="74"/>
      <c r="M1343" s="77" t="str">
        <f>IF(Main[[#This Row],[Tech Start Date]]&lt;1/1/1990,"",IF(Main[[#This Row],[Class]]="C",WORKDAY(Main[[#This Row],[Tech Start Date]],9),IF(Main[[#This Row],[Class]]="B", WORKDAY(Main[[#This Row],[Tech Start Date]],6),IF(Main[[#This Row],[Class]]="A",WORKDAY(Main[[#This Row],[Tech Start Date]],2),""))))</f>
        <v/>
      </c>
      <c r="N1343" s="77" t="str">
        <f>IF(Main[[#This Row],[Tech Start Date]]&lt;1/1/1990,"",IF(Main[[#This Row],[Class]]="C",WORKDAY(Main[[#This Row],[Tech Start Date]],19),IF(Main[[#This Row],[Class]]="B", WORKDAY(Main[[#This Row],[Tech Start Date]],12),IF(Main[[#This Row],[Class]]="A",WORKDAY(Main[[#This Row],[Tech Start Date]],4),""))))</f>
        <v/>
      </c>
      <c r="O1343" s="77" t="str">
        <f>IF(Main[[#This Row],[Tech Start Date]]&lt;1/1/1990,"",IF(Main[[#This Row],[Class]]="C",WORKDAY(Main[[#This Row],[Tech Start Date]],23),IF(Main[[#This Row],[Class]]="B", WORKDAY(Main[[#This Row],[Tech Start Date]],15),IF(Main[[#This Row],[Class]]="A",WORKDAY(Main[[#This Row],[Tech Start Date]],5),""))))</f>
        <v/>
      </c>
      <c r="P1343" s="77" t="str">
        <f>IF(Main[[#This Row],[Tech Start Date]]&lt;1/1/1990,"",IF(Main[[#This Row],[Class]]="C",WORKDAY(Main[[#This Row],[Tech Start Date]],28),IF(Main[[#This Row],[Class]]="B", WORKDAY(Main[[#This Row],[Tech Start Date]],19),IF(Main[[#This Row],[Class]]="A",WORKDAY(Main[[#This Row],[Tech Start Date]],9),""))))</f>
        <v/>
      </c>
      <c r="Q1343" s="74">
        <v>40968</v>
      </c>
      <c r="R1343" s="74"/>
      <c r="S1343" s="72" t="s">
        <v>6</v>
      </c>
      <c r="T1343" s="80" t="s">
        <v>4</v>
      </c>
      <c r="U1343" s="72" t="s">
        <v>29</v>
      </c>
      <c r="V1343" s="72" t="s">
        <v>1920</v>
      </c>
      <c r="W1343" s="72" t="s">
        <v>1921</v>
      </c>
      <c r="X1343" s="72" t="s">
        <v>2824</v>
      </c>
      <c r="Y1343" s="107" t="s">
        <v>2935</v>
      </c>
      <c r="Z1343" s="107" t="s">
        <v>30</v>
      </c>
      <c r="AA1343" s="146" t="s">
        <v>2824</v>
      </c>
    </row>
    <row r="1344" spans="1:27" ht="18.600000000000001" customHeight="1">
      <c r="A1344" s="142" t="str">
        <f>IF(priority(Main[[#This Row],[Comments]])&lt;&gt;0, priority(Main[[#This Row],[Comments]]),"")</f>
        <v/>
      </c>
      <c r="B1344" s="127" t="s">
        <v>3586</v>
      </c>
      <c r="C1344" s="72" t="s">
        <v>4</v>
      </c>
      <c r="D1344" s="73" t="s">
        <v>3587</v>
      </c>
      <c r="E1344" s="74">
        <v>40952.380486111113</v>
      </c>
      <c r="F1344" s="74"/>
      <c r="G1344" s="75" t="str">
        <f>IF(stdProdLT(Main[[#This Row],[Comments]])=0.1,"N/A",IF(stdProdLT(Main[[#This Row],[Comments]])=0,"",stdProdLT(Main[[#This Row],[Comments]])))</f>
        <v/>
      </c>
      <c r="H1344" s="76" t="str">
        <f>IF(AND(Main[[#This Row],[In Stock Date]]&lt;&gt;"",Main[[#This Row],[Revised Due Date]]&lt;&gt;""),Main[[#This Row],[In Stock Date]]-Main[[#This Row],[Revised Due Date]],"")</f>
        <v/>
      </c>
      <c r="I1344" s="72" t="s">
        <v>4</v>
      </c>
      <c r="J1344" s="72" t="s">
        <v>4</v>
      </c>
      <c r="K1344" s="72" t="s">
        <v>4</v>
      </c>
      <c r="L1344" s="74"/>
      <c r="M1344" s="77" t="str">
        <f>IF(Main[[#This Row],[Tech Start Date]]&lt;1/1/1990,"",IF(Main[[#This Row],[Class]]="C",WORKDAY(Main[[#This Row],[Tech Start Date]],9),IF(Main[[#This Row],[Class]]="B", WORKDAY(Main[[#This Row],[Tech Start Date]],6),IF(Main[[#This Row],[Class]]="A",WORKDAY(Main[[#This Row],[Tech Start Date]],2),""))))</f>
        <v/>
      </c>
      <c r="N1344" s="77" t="str">
        <f>IF(Main[[#This Row],[Tech Start Date]]&lt;1/1/1990,"",IF(Main[[#This Row],[Class]]="C",WORKDAY(Main[[#This Row],[Tech Start Date]],19),IF(Main[[#This Row],[Class]]="B", WORKDAY(Main[[#This Row],[Tech Start Date]],12),IF(Main[[#This Row],[Class]]="A",WORKDAY(Main[[#This Row],[Tech Start Date]],4),""))))</f>
        <v/>
      </c>
      <c r="O1344" s="77" t="str">
        <f>IF(Main[[#This Row],[Tech Start Date]]&lt;1/1/1990,"",IF(Main[[#This Row],[Class]]="C",WORKDAY(Main[[#This Row],[Tech Start Date]],23),IF(Main[[#This Row],[Class]]="B", WORKDAY(Main[[#This Row],[Tech Start Date]],15),IF(Main[[#This Row],[Class]]="A",WORKDAY(Main[[#This Row],[Tech Start Date]],5),""))))</f>
        <v/>
      </c>
      <c r="P1344" s="77" t="str">
        <f>IF(Main[[#This Row],[Tech Start Date]]&lt;1/1/1990,"",IF(Main[[#This Row],[Class]]="C",WORKDAY(Main[[#This Row],[Tech Start Date]],28),IF(Main[[#This Row],[Class]]="B", WORKDAY(Main[[#This Row],[Tech Start Date]],19),IF(Main[[#This Row],[Class]]="A",WORKDAY(Main[[#This Row],[Tech Start Date]],9),""))))</f>
        <v/>
      </c>
      <c r="Q1344" s="74"/>
      <c r="R1344" s="74"/>
      <c r="S1344" s="72" t="s">
        <v>6</v>
      </c>
      <c r="T1344" s="80" t="s">
        <v>4</v>
      </c>
      <c r="U1344" s="72" t="s">
        <v>7</v>
      </c>
      <c r="V1344" s="72" t="s">
        <v>1917</v>
      </c>
      <c r="W1344" s="72" t="s">
        <v>4</v>
      </c>
      <c r="X1344" s="72" t="s">
        <v>2828</v>
      </c>
      <c r="Y1344" s="128" t="s">
        <v>2944</v>
      </c>
      <c r="Z1344" s="128" t="s">
        <v>4</v>
      </c>
      <c r="AA1344" s="146" t="s">
        <v>2828</v>
      </c>
    </row>
    <row r="1345" spans="1:27" ht="18.600000000000001" customHeight="1">
      <c r="A1345" s="142" t="str">
        <f>IF(priority(Main[[#This Row],[Comments]])&lt;&gt;0, priority(Main[[#This Row],[Comments]]),"")</f>
        <v/>
      </c>
      <c r="B1345" s="127" t="s">
        <v>3813</v>
      </c>
      <c r="C1345" s="72" t="s">
        <v>31</v>
      </c>
      <c r="D1345" s="73" t="s">
        <v>3814</v>
      </c>
      <c r="E1345" s="74">
        <v>40953.054039351853</v>
      </c>
      <c r="F1345" s="74">
        <v>40968</v>
      </c>
      <c r="G1345" s="75" t="str">
        <f>IF(stdProdLT(Main[[#This Row],[Comments]])=0.1,"N/A",IF(stdProdLT(Main[[#This Row],[Comments]])=0,"",stdProdLT(Main[[#This Row],[Comments]])))</f>
        <v/>
      </c>
      <c r="H1345" s="76" t="str">
        <f>IF(AND(Main[[#This Row],[In Stock Date]]&lt;&gt;"",Main[[#This Row],[Revised Due Date]]&lt;&gt;""),Main[[#This Row],[In Stock Date]]-Main[[#This Row],[Revised Due Date]],"")</f>
        <v/>
      </c>
      <c r="I1345" s="72" t="s">
        <v>4</v>
      </c>
      <c r="J1345" s="72" t="s">
        <v>4</v>
      </c>
      <c r="K1345" s="81" t="s">
        <v>4</v>
      </c>
      <c r="L1345" s="74"/>
      <c r="M1345" s="77" t="str">
        <f>IF(Main[[#This Row],[Tech Start Date]]&lt;1/1/1990,"",IF(Main[[#This Row],[Class]]="C",WORKDAY(Main[[#This Row],[Tech Start Date]],9),IF(Main[[#This Row],[Class]]="B", WORKDAY(Main[[#This Row],[Tech Start Date]],6),IF(Main[[#This Row],[Class]]="A",WORKDAY(Main[[#This Row],[Tech Start Date]],2),""))))</f>
        <v/>
      </c>
      <c r="N1345" s="77" t="str">
        <f>IF(Main[[#This Row],[Tech Start Date]]&lt;1/1/1990,"",IF(Main[[#This Row],[Class]]="C",WORKDAY(Main[[#This Row],[Tech Start Date]],19),IF(Main[[#This Row],[Class]]="B", WORKDAY(Main[[#This Row],[Tech Start Date]],12),IF(Main[[#This Row],[Class]]="A",WORKDAY(Main[[#This Row],[Tech Start Date]],4),""))))</f>
        <v/>
      </c>
      <c r="O1345" s="77" t="str">
        <f>IF(Main[[#This Row],[Tech Start Date]]&lt;1/1/1990,"",IF(Main[[#This Row],[Class]]="C",WORKDAY(Main[[#This Row],[Tech Start Date]],23),IF(Main[[#This Row],[Class]]="B", WORKDAY(Main[[#This Row],[Tech Start Date]],15),IF(Main[[#This Row],[Class]]="A",WORKDAY(Main[[#This Row],[Tech Start Date]],5),""))))</f>
        <v/>
      </c>
      <c r="P1345" s="77" t="str">
        <f>IF(Main[[#This Row],[Tech Start Date]]&lt;1/1/1990,"",IF(Main[[#This Row],[Class]]="C",WORKDAY(Main[[#This Row],[Tech Start Date]],28),IF(Main[[#This Row],[Class]]="B", WORKDAY(Main[[#This Row],[Tech Start Date]],19),IF(Main[[#This Row],[Class]]="A",WORKDAY(Main[[#This Row],[Tech Start Date]],9),""))))</f>
        <v/>
      </c>
      <c r="Q1345" s="74">
        <v>40967</v>
      </c>
      <c r="R1345" s="74"/>
      <c r="S1345" s="72" t="s">
        <v>11</v>
      </c>
      <c r="T1345" s="80" t="s">
        <v>4</v>
      </c>
      <c r="U1345" s="72" t="s">
        <v>7</v>
      </c>
      <c r="V1345" s="72" t="s">
        <v>1932</v>
      </c>
      <c r="W1345" s="72" t="s">
        <v>1922</v>
      </c>
      <c r="X1345" s="72" t="s">
        <v>2841</v>
      </c>
      <c r="Y1345" s="128" t="s">
        <v>4</v>
      </c>
      <c r="Z1345" s="128" t="s">
        <v>2214</v>
      </c>
      <c r="AA1345" s="146" t="s">
        <v>2841</v>
      </c>
    </row>
    <row r="1346" spans="1:27" ht="18.600000000000001" customHeight="1">
      <c r="A1346" s="142" t="str">
        <f>IF(priority(Main[[#This Row],[Comments]])&lt;&gt;0, priority(Main[[#This Row],[Comments]]),"")</f>
        <v/>
      </c>
      <c r="B1346" s="127" t="s">
        <v>2606</v>
      </c>
      <c r="C1346" s="107" t="s">
        <v>31</v>
      </c>
      <c r="D1346" s="108" t="s">
        <v>2607</v>
      </c>
      <c r="E1346" s="109"/>
      <c r="F1346" s="109">
        <v>40969</v>
      </c>
      <c r="G1346" s="110" t="str">
        <f>IF(stdProdLT(Main[[#This Row],[Comments]])=0.1,"N/A",IF(stdProdLT(Main[[#This Row],[Comments]])=0,"",stdProdLT(Main[[#This Row],[Comments]])))</f>
        <v/>
      </c>
      <c r="H1346" s="111" t="str">
        <f>IF(AND(Main[[#This Row],[In Stock Date]]&lt;&gt;"",Main[[#This Row],[Revised Due Date]]&lt;&gt;""),Main[[#This Row],[In Stock Date]]-Main[[#This Row],[Revised Due Date]],"")</f>
        <v/>
      </c>
      <c r="I1346" s="107" t="s">
        <v>4</v>
      </c>
      <c r="J1346" s="107" t="s">
        <v>4</v>
      </c>
      <c r="K1346" s="107" t="s">
        <v>4</v>
      </c>
      <c r="L1346" s="109"/>
      <c r="M1346" s="112" t="str">
        <f>IF(Main[[#This Row],[Tech Start Date]]&lt;1/1/1990,"",IF(Main[[#This Row],[Class]]="C",WORKDAY(Main[[#This Row],[Tech Start Date]],9),IF(Main[[#This Row],[Class]]="B", WORKDAY(Main[[#This Row],[Tech Start Date]],6),IF(Main[[#This Row],[Class]]="A",WORKDAY(Main[[#This Row],[Tech Start Date]],2),""))))</f>
        <v/>
      </c>
      <c r="N1346" s="112" t="str">
        <f>IF(Main[[#This Row],[Tech Start Date]]&lt;1/1/1990,"",IF(Main[[#This Row],[Class]]="C",WORKDAY(Main[[#This Row],[Tech Start Date]],19),IF(Main[[#This Row],[Class]]="B", WORKDAY(Main[[#This Row],[Tech Start Date]],12),IF(Main[[#This Row],[Class]]="A",WORKDAY(Main[[#This Row],[Tech Start Date]],4),""))))</f>
        <v/>
      </c>
      <c r="O1346" s="112" t="str">
        <f>IF(Main[[#This Row],[Tech Start Date]]&lt;1/1/1990,"",IF(Main[[#This Row],[Class]]="C",WORKDAY(Main[[#This Row],[Tech Start Date]],23),IF(Main[[#This Row],[Class]]="B", WORKDAY(Main[[#This Row],[Tech Start Date]],15),IF(Main[[#This Row],[Class]]="A",WORKDAY(Main[[#This Row],[Tech Start Date]],5),""))))</f>
        <v/>
      </c>
      <c r="P1346" s="112" t="str">
        <f>IF(Main[[#This Row],[Tech Start Date]]&lt;1/1/1990,"",IF(Main[[#This Row],[Class]]="C",WORKDAY(Main[[#This Row],[Tech Start Date]],28),IF(Main[[#This Row],[Class]]="B", WORKDAY(Main[[#This Row],[Tech Start Date]],19),IF(Main[[#This Row],[Class]]="A",WORKDAY(Main[[#This Row],[Tech Start Date]],9),""))))</f>
        <v/>
      </c>
      <c r="Q1346" s="109"/>
      <c r="R1346" s="109"/>
      <c r="S1346" s="107" t="s">
        <v>11</v>
      </c>
      <c r="T1346" s="113" t="s">
        <v>4</v>
      </c>
      <c r="U1346" s="107" t="s">
        <v>14</v>
      </c>
      <c r="V1346" s="107" t="s">
        <v>1917</v>
      </c>
      <c r="W1346" s="107" t="s">
        <v>1923</v>
      </c>
      <c r="X1346" s="107" t="s">
        <v>50</v>
      </c>
      <c r="Y1346" s="128" t="s">
        <v>3095</v>
      </c>
      <c r="Z1346" s="128" t="s">
        <v>4</v>
      </c>
      <c r="AA1346" s="146" t="s">
        <v>2846</v>
      </c>
    </row>
    <row r="1347" spans="1:27" ht="18.600000000000001" customHeight="1">
      <c r="A1347" s="142" t="str">
        <f>IF(priority(Main[[#This Row],[Comments]])&lt;&gt;0, priority(Main[[#This Row],[Comments]]),"")</f>
        <v/>
      </c>
      <c r="B1347" s="127" t="s">
        <v>3815</v>
      </c>
      <c r="C1347" s="72" t="s">
        <v>148</v>
      </c>
      <c r="D1347" s="73" t="s">
        <v>3816</v>
      </c>
      <c r="E1347" s="74">
        <v>40967.369837962964</v>
      </c>
      <c r="F1347" s="74">
        <v>41096</v>
      </c>
      <c r="G1347" s="75" t="str">
        <f>IF(stdProdLT(Main[[#This Row],[Comments]])=0.1,"N/A",IF(stdProdLT(Main[[#This Row],[Comments]])=0,"",stdProdLT(Main[[#This Row],[Comments]])))</f>
        <v/>
      </c>
      <c r="H1347" s="76" t="str">
        <f>IF(AND(Main[[#This Row],[In Stock Date]]&lt;&gt;"",Main[[#This Row],[Revised Due Date]]&lt;&gt;""),Main[[#This Row],[In Stock Date]]-Main[[#This Row],[Revised Due Date]],"")</f>
        <v/>
      </c>
      <c r="I1347" s="72" t="s">
        <v>4</v>
      </c>
      <c r="J1347" s="72" t="s">
        <v>4</v>
      </c>
      <c r="K1347" s="72" t="s">
        <v>4</v>
      </c>
      <c r="L1347" s="74"/>
      <c r="M1347" s="77" t="str">
        <f>IF(Main[[#This Row],[Tech Start Date]]&lt;1/1/1990,"",IF(Main[[#This Row],[Class]]="C",WORKDAY(Main[[#This Row],[Tech Start Date]],9),IF(Main[[#This Row],[Class]]="B", WORKDAY(Main[[#This Row],[Tech Start Date]],6),IF(Main[[#This Row],[Class]]="A",WORKDAY(Main[[#This Row],[Tech Start Date]],2),""))))</f>
        <v/>
      </c>
      <c r="N1347" s="77" t="str">
        <f>IF(Main[[#This Row],[Tech Start Date]]&lt;1/1/1990,"",IF(Main[[#This Row],[Class]]="C",WORKDAY(Main[[#This Row],[Tech Start Date]],19),IF(Main[[#This Row],[Class]]="B", WORKDAY(Main[[#This Row],[Tech Start Date]],12),IF(Main[[#This Row],[Class]]="A",WORKDAY(Main[[#This Row],[Tech Start Date]],4),""))))</f>
        <v/>
      </c>
      <c r="O1347" s="77" t="str">
        <f>IF(Main[[#This Row],[Tech Start Date]]&lt;1/1/1990,"",IF(Main[[#This Row],[Class]]="C",WORKDAY(Main[[#This Row],[Tech Start Date]],23),IF(Main[[#This Row],[Class]]="B", WORKDAY(Main[[#This Row],[Tech Start Date]],15),IF(Main[[#This Row],[Class]]="A",WORKDAY(Main[[#This Row],[Tech Start Date]],5),""))))</f>
        <v/>
      </c>
      <c r="P1347" s="77" t="str">
        <f>IF(Main[[#This Row],[Tech Start Date]]&lt;1/1/1990,"",IF(Main[[#This Row],[Class]]="C",WORKDAY(Main[[#This Row],[Tech Start Date]],28),IF(Main[[#This Row],[Class]]="B", WORKDAY(Main[[#This Row],[Tech Start Date]],19),IF(Main[[#This Row],[Class]]="A",WORKDAY(Main[[#This Row],[Tech Start Date]],9),""))))</f>
        <v/>
      </c>
      <c r="Q1347" s="74"/>
      <c r="R1347" s="74"/>
      <c r="S1347" s="72" t="s">
        <v>11</v>
      </c>
      <c r="T1347" s="80" t="s">
        <v>4</v>
      </c>
      <c r="U1347" s="72" t="s">
        <v>7</v>
      </c>
      <c r="V1347" s="72" t="s">
        <v>1920</v>
      </c>
      <c r="W1347" s="72" t="s">
        <v>1925</v>
      </c>
      <c r="X1347" s="72" t="s">
        <v>50</v>
      </c>
      <c r="Y1347" s="128" t="s">
        <v>3787</v>
      </c>
      <c r="Z1347" s="128" t="s">
        <v>4</v>
      </c>
      <c r="AA1347" s="146" t="s">
        <v>3786</v>
      </c>
    </row>
    <row r="1348" spans="1:27" ht="18.600000000000001" customHeight="1">
      <c r="A1348" s="142" t="str">
        <f>IF(priority(Main[[#This Row],[Comments]])&lt;&gt;0, priority(Main[[#This Row],[Comments]]),"")</f>
        <v/>
      </c>
      <c r="B1348" s="127" t="s">
        <v>1449</v>
      </c>
      <c r="C1348" s="72" t="s">
        <v>4</v>
      </c>
      <c r="D1348" s="73" t="s">
        <v>538</v>
      </c>
      <c r="E1348" s="74">
        <v>40626.477812500001</v>
      </c>
      <c r="F1348" s="74"/>
      <c r="G1348" s="75" t="str">
        <f>IF(stdProdLT(Main[[#This Row],[Comments]])=0.1,"N/A",IF(stdProdLT(Main[[#This Row],[Comments]])=0,"",stdProdLT(Main[[#This Row],[Comments]])))</f>
        <v/>
      </c>
      <c r="H1348" s="76" t="str">
        <f>IF(AND(Main[[#This Row],[In Stock Date]]&lt;&gt;"",Main[[#This Row],[Revised Due Date]]&lt;&gt;""),Main[[#This Row],[In Stock Date]]-Main[[#This Row],[Revised Due Date]],"")</f>
        <v/>
      </c>
      <c r="I1348" s="72" t="s">
        <v>4</v>
      </c>
      <c r="J1348" s="72" t="s">
        <v>52</v>
      </c>
      <c r="K1348" s="72" t="s">
        <v>1926</v>
      </c>
      <c r="L1348" s="74"/>
      <c r="M1348" s="77" t="str">
        <f>IF(Main[[#This Row],[Tech Start Date]]&lt;1/1/1990,"",IF(Main[[#This Row],[Class]]="C",WORKDAY(Main[[#This Row],[Tech Start Date]],9),IF(Main[[#This Row],[Class]]="B", WORKDAY(Main[[#This Row],[Tech Start Date]],6),IF(Main[[#This Row],[Class]]="A",WORKDAY(Main[[#This Row],[Tech Start Date]],2),""))))</f>
        <v/>
      </c>
      <c r="N1348" s="77" t="str">
        <f>IF(Main[[#This Row],[Tech Start Date]]&lt;1/1/1990,"",IF(Main[[#This Row],[Class]]="C",WORKDAY(Main[[#This Row],[Tech Start Date]],19),IF(Main[[#This Row],[Class]]="B", WORKDAY(Main[[#This Row],[Tech Start Date]],12),IF(Main[[#This Row],[Class]]="A",WORKDAY(Main[[#This Row],[Tech Start Date]],4),""))))</f>
        <v/>
      </c>
      <c r="O1348" s="77" t="str">
        <f>IF(Main[[#This Row],[Tech Start Date]]&lt;1/1/1990,"",IF(Main[[#This Row],[Class]]="C",WORKDAY(Main[[#This Row],[Tech Start Date]],23),IF(Main[[#This Row],[Class]]="B", WORKDAY(Main[[#This Row],[Tech Start Date]],15),IF(Main[[#This Row],[Class]]="A",WORKDAY(Main[[#This Row],[Tech Start Date]],5),""))))</f>
        <v/>
      </c>
      <c r="P1348" s="77" t="str">
        <f>IF(Main[[#This Row],[Tech Start Date]]&lt;1/1/1990,"",IF(Main[[#This Row],[Class]]="C",WORKDAY(Main[[#This Row],[Tech Start Date]],28),IF(Main[[#This Row],[Class]]="B", WORKDAY(Main[[#This Row],[Tech Start Date]],19),IF(Main[[#This Row],[Class]]="A",WORKDAY(Main[[#This Row],[Tech Start Date]],9),""))))</f>
        <v/>
      </c>
      <c r="Q1348" s="74"/>
      <c r="R1348" s="74"/>
      <c r="S1348" s="72" t="s">
        <v>6</v>
      </c>
      <c r="T1348" s="80" t="s">
        <v>4</v>
      </c>
      <c r="U1348" s="72" t="s">
        <v>29</v>
      </c>
      <c r="V1348" s="72" t="s">
        <v>1920</v>
      </c>
      <c r="W1348" s="72" t="s">
        <v>1921</v>
      </c>
      <c r="X1348" s="72" t="s">
        <v>74</v>
      </c>
      <c r="Y1348" s="128" t="s">
        <v>3037</v>
      </c>
      <c r="Z1348" s="128" t="s">
        <v>415</v>
      </c>
      <c r="AA1348" s="146" t="s">
        <v>74</v>
      </c>
    </row>
    <row r="1349" spans="1:27" ht="18.600000000000001" customHeight="1">
      <c r="A1349" s="142" t="str">
        <f>IF(priority(Main[[#This Row],[Comments]])&lt;&gt;0, priority(Main[[#This Row],[Comments]]),"")</f>
        <v/>
      </c>
      <c r="B1349" s="127" t="s">
        <v>1574</v>
      </c>
      <c r="C1349" s="72" t="s">
        <v>4</v>
      </c>
      <c r="D1349" s="73" t="s">
        <v>3817</v>
      </c>
      <c r="E1349" s="74">
        <v>40626.478437500002</v>
      </c>
      <c r="F1349" s="74"/>
      <c r="G1349" s="75" t="str">
        <f>IF(stdProdLT(Main[[#This Row],[Comments]])=0.1,"N/A",IF(stdProdLT(Main[[#This Row],[Comments]])=0,"",stdProdLT(Main[[#This Row],[Comments]])))</f>
        <v/>
      </c>
      <c r="H1349" s="76" t="str">
        <f>IF(AND(Main[[#This Row],[In Stock Date]]&lt;&gt;"",Main[[#This Row],[Revised Due Date]]&lt;&gt;""),Main[[#This Row],[In Stock Date]]-Main[[#This Row],[Revised Due Date]],"")</f>
        <v/>
      </c>
      <c r="I1349" s="72" t="s">
        <v>102</v>
      </c>
      <c r="J1349" s="72" t="s">
        <v>51</v>
      </c>
      <c r="K1349" s="81" t="s">
        <v>1926</v>
      </c>
      <c r="L1349" s="74"/>
      <c r="M1349" s="77" t="str">
        <f>IF(Main[[#This Row],[Tech Start Date]]&lt;1/1/1990,"",IF(Main[[#This Row],[Class]]="C",WORKDAY(Main[[#This Row],[Tech Start Date]],9),IF(Main[[#This Row],[Class]]="B", WORKDAY(Main[[#This Row],[Tech Start Date]],6),IF(Main[[#This Row],[Class]]="A",WORKDAY(Main[[#This Row],[Tech Start Date]],2),""))))</f>
        <v/>
      </c>
      <c r="N1349" s="77" t="str">
        <f>IF(Main[[#This Row],[Tech Start Date]]&lt;1/1/1990,"",IF(Main[[#This Row],[Class]]="C",WORKDAY(Main[[#This Row],[Tech Start Date]],19),IF(Main[[#This Row],[Class]]="B", WORKDAY(Main[[#This Row],[Tech Start Date]],12),IF(Main[[#This Row],[Class]]="A",WORKDAY(Main[[#This Row],[Tech Start Date]],4),""))))</f>
        <v/>
      </c>
      <c r="O1349" s="77" t="str">
        <f>IF(Main[[#This Row],[Tech Start Date]]&lt;1/1/1990,"",IF(Main[[#This Row],[Class]]="C",WORKDAY(Main[[#This Row],[Tech Start Date]],23),IF(Main[[#This Row],[Class]]="B", WORKDAY(Main[[#This Row],[Tech Start Date]],15),IF(Main[[#This Row],[Class]]="A",WORKDAY(Main[[#This Row],[Tech Start Date]],5),""))))</f>
        <v/>
      </c>
      <c r="P1349" s="77" t="str">
        <f>IF(Main[[#This Row],[Tech Start Date]]&lt;1/1/1990,"",IF(Main[[#This Row],[Class]]="C",WORKDAY(Main[[#This Row],[Tech Start Date]],28),IF(Main[[#This Row],[Class]]="B", WORKDAY(Main[[#This Row],[Tech Start Date]],19),IF(Main[[#This Row],[Class]]="A",WORKDAY(Main[[#This Row],[Tech Start Date]],9),""))))</f>
        <v/>
      </c>
      <c r="Q1349" s="74">
        <v>40999</v>
      </c>
      <c r="R1349" s="74"/>
      <c r="S1349" s="72" t="s">
        <v>6</v>
      </c>
      <c r="T1349" s="80" t="s">
        <v>4</v>
      </c>
      <c r="U1349" s="72" t="s">
        <v>29</v>
      </c>
      <c r="V1349" s="72" t="s">
        <v>1920</v>
      </c>
      <c r="W1349" s="72" t="s">
        <v>1921</v>
      </c>
      <c r="X1349" s="72" t="s">
        <v>74</v>
      </c>
      <c r="Y1349" s="128" t="s">
        <v>3037</v>
      </c>
      <c r="Z1349" s="128" t="s">
        <v>306</v>
      </c>
      <c r="AA1349" s="146" t="s">
        <v>74</v>
      </c>
    </row>
    <row r="1350" spans="1:27" ht="18.600000000000001" customHeight="1">
      <c r="A1350" s="142" t="str">
        <f>IF(priority(Main[[#This Row],[Comments]])&lt;&gt;0, priority(Main[[#This Row],[Comments]]),"")</f>
        <v/>
      </c>
      <c r="B1350" s="127" t="s">
        <v>1623</v>
      </c>
      <c r="C1350" s="72" t="s">
        <v>4</v>
      </c>
      <c r="D1350" s="73" t="s">
        <v>3818</v>
      </c>
      <c r="E1350" s="74">
        <v>40626.478958333333</v>
      </c>
      <c r="F1350" s="74"/>
      <c r="G1350" s="75" t="str">
        <f>IF(stdProdLT(Main[[#This Row],[Comments]])=0.1,"N/A",IF(stdProdLT(Main[[#This Row],[Comments]])=0,"",stdProdLT(Main[[#This Row],[Comments]])))</f>
        <v/>
      </c>
      <c r="H1350" s="76" t="str">
        <f>IF(AND(Main[[#This Row],[In Stock Date]]&lt;&gt;"",Main[[#This Row],[Revised Due Date]]&lt;&gt;""),Main[[#This Row],[In Stock Date]]-Main[[#This Row],[Revised Due Date]],"")</f>
        <v/>
      </c>
      <c r="I1350" s="72" t="s">
        <v>399</v>
      </c>
      <c r="J1350" s="72" t="s">
        <v>75</v>
      </c>
      <c r="K1350" s="72" t="s">
        <v>1926</v>
      </c>
      <c r="L1350" s="74"/>
      <c r="M1350" s="77" t="str">
        <f>IF(Main[[#This Row],[Tech Start Date]]&lt;1/1/1990,"",IF(Main[[#This Row],[Class]]="C",WORKDAY(Main[[#This Row],[Tech Start Date]],9),IF(Main[[#This Row],[Class]]="B", WORKDAY(Main[[#This Row],[Tech Start Date]],6),IF(Main[[#This Row],[Class]]="A",WORKDAY(Main[[#This Row],[Tech Start Date]],2),""))))</f>
        <v/>
      </c>
      <c r="N1350" s="77" t="str">
        <f>IF(Main[[#This Row],[Tech Start Date]]&lt;1/1/1990,"",IF(Main[[#This Row],[Class]]="C",WORKDAY(Main[[#This Row],[Tech Start Date]],19),IF(Main[[#This Row],[Class]]="B", WORKDAY(Main[[#This Row],[Tech Start Date]],12),IF(Main[[#This Row],[Class]]="A",WORKDAY(Main[[#This Row],[Tech Start Date]],4),""))))</f>
        <v/>
      </c>
      <c r="O1350" s="77" t="str">
        <f>IF(Main[[#This Row],[Tech Start Date]]&lt;1/1/1990,"",IF(Main[[#This Row],[Class]]="C",WORKDAY(Main[[#This Row],[Tech Start Date]],23),IF(Main[[#This Row],[Class]]="B", WORKDAY(Main[[#This Row],[Tech Start Date]],15),IF(Main[[#This Row],[Class]]="A",WORKDAY(Main[[#This Row],[Tech Start Date]],5),""))))</f>
        <v/>
      </c>
      <c r="P1350" s="77" t="str">
        <f>IF(Main[[#This Row],[Tech Start Date]]&lt;1/1/1990,"",IF(Main[[#This Row],[Class]]="C",WORKDAY(Main[[#This Row],[Tech Start Date]],28),IF(Main[[#This Row],[Class]]="B", WORKDAY(Main[[#This Row],[Tech Start Date]],19),IF(Main[[#This Row],[Class]]="A",WORKDAY(Main[[#This Row],[Tech Start Date]],9),""))))</f>
        <v/>
      </c>
      <c r="Q1350" s="74"/>
      <c r="R1350" s="74"/>
      <c r="S1350" s="72" t="s">
        <v>6</v>
      </c>
      <c r="T1350" s="80" t="s">
        <v>4</v>
      </c>
      <c r="U1350" s="72" t="s">
        <v>29</v>
      </c>
      <c r="V1350" s="72" t="s">
        <v>1920</v>
      </c>
      <c r="W1350" s="72" t="s">
        <v>1921</v>
      </c>
      <c r="X1350" s="72" t="s">
        <v>74</v>
      </c>
      <c r="Y1350" s="128" t="s">
        <v>3037</v>
      </c>
      <c r="Z1350" s="128" t="s">
        <v>415</v>
      </c>
      <c r="AA1350" s="146" t="s">
        <v>74</v>
      </c>
    </row>
    <row r="1351" spans="1:27" ht="18.600000000000001" customHeight="1">
      <c r="A1351" s="142" t="str">
        <f>IF(priority(Main[[#This Row],[Comments]])&lt;&gt;0, priority(Main[[#This Row],[Comments]]),"")</f>
        <v/>
      </c>
      <c r="B1351" s="127" t="s">
        <v>1594</v>
      </c>
      <c r="C1351" s="72" t="s">
        <v>4</v>
      </c>
      <c r="D1351" s="73" t="s">
        <v>3819</v>
      </c>
      <c r="E1351" s="74">
        <v>40352.416608796295</v>
      </c>
      <c r="F1351" s="74"/>
      <c r="G1351" s="75" t="str">
        <f>IF(stdProdLT(Main[[#This Row],[Comments]])=0.1,"N/A",IF(stdProdLT(Main[[#This Row],[Comments]])=0,"",stdProdLT(Main[[#This Row],[Comments]])))</f>
        <v/>
      </c>
      <c r="H1351" s="76" t="str">
        <f>IF(AND(Main[[#This Row],[In Stock Date]]&lt;&gt;"",Main[[#This Row],[Revised Due Date]]&lt;&gt;""),Main[[#This Row],[In Stock Date]]-Main[[#This Row],[Revised Due Date]],"")</f>
        <v/>
      </c>
      <c r="I1351" s="72" t="s">
        <v>710</v>
      </c>
      <c r="J1351" s="72" t="s">
        <v>28</v>
      </c>
      <c r="K1351" s="72" t="s">
        <v>1929</v>
      </c>
      <c r="L1351" s="74"/>
      <c r="M1351" s="77" t="str">
        <f>IF(Main[[#This Row],[Tech Start Date]]&lt;1/1/1990,"",IF(Main[[#This Row],[Class]]="C",WORKDAY(Main[[#This Row],[Tech Start Date]],9),IF(Main[[#This Row],[Class]]="B", WORKDAY(Main[[#This Row],[Tech Start Date]],6),IF(Main[[#This Row],[Class]]="A",WORKDAY(Main[[#This Row],[Tech Start Date]],2),""))))</f>
        <v/>
      </c>
      <c r="N1351" s="77" t="str">
        <f>IF(Main[[#This Row],[Tech Start Date]]&lt;1/1/1990,"",IF(Main[[#This Row],[Class]]="C",WORKDAY(Main[[#This Row],[Tech Start Date]],19),IF(Main[[#This Row],[Class]]="B", WORKDAY(Main[[#This Row],[Tech Start Date]],12),IF(Main[[#This Row],[Class]]="A",WORKDAY(Main[[#This Row],[Tech Start Date]],4),""))))</f>
        <v/>
      </c>
      <c r="O1351" s="77" t="str">
        <f>IF(Main[[#This Row],[Tech Start Date]]&lt;1/1/1990,"",IF(Main[[#This Row],[Class]]="C",WORKDAY(Main[[#This Row],[Tech Start Date]],23),IF(Main[[#This Row],[Class]]="B", WORKDAY(Main[[#This Row],[Tech Start Date]],15),IF(Main[[#This Row],[Class]]="A",WORKDAY(Main[[#This Row],[Tech Start Date]],5),""))))</f>
        <v/>
      </c>
      <c r="P1351" s="77" t="str">
        <f>IF(Main[[#This Row],[Tech Start Date]]&lt;1/1/1990,"",IF(Main[[#This Row],[Class]]="C",WORKDAY(Main[[#This Row],[Tech Start Date]],28),IF(Main[[#This Row],[Class]]="B", WORKDAY(Main[[#This Row],[Tech Start Date]],19),IF(Main[[#This Row],[Class]]="A",WORKDAY(Main[[#This Row],[Tech Start Date]],9),""))))</f>
        <v/>
      </c>
      <c r="Q1351" s="74">
        <v>40387</v>
      </c>
      <c r="R1351" s="74">
        <v>41011</v>
      </c>
      <c r="S1351" s="72" t="s">
        <v>17</v>
      </c>
      <c r="T1351" s="80" t="s">
        <v>2470</v>
      </c>
      <c r="U1351" s="72" t="s">
        <v>29</v>
      </c>
      <c r="V1351" s="72" t="s">
        <v>1917</v>
      </c>
      <c r="W1351" s="72" t="s">
        <v>1922</v>
      </c>
      <c r="X1351" s="72" t="s">
        <v>710</v>
      </c>
      <c r="Y1351" s="128" t="s">
        <v>2937</v>
      </c>
      <c r="Z1351" s="128" t="s">
        <v>129</v>
      </c>
      <c r="AA1351" s="146" t="s">
        <v>710</v>
      </c>
    </row>
    <row r="1352" spans="1:27" ht="18.600000000000001" customHeight="1">
      <c r="A1352" s="142" t="str">
        <f>IF(priority(Main[[#This Row],[Comments]])&lt;&gt;0, priority(Main[[#This Row],[Comments]]),"")</f>
        <v/>
      </c>
      <c r="B1352" s="127" t="s">
        <v>3820</v>
      </c>
      <c r="C1352" s="107" t="s">
        <v>4</v>
      </c>
      <c r="D1352" s="108" t="s">
        <v>3821</v>
      </c>
      <c r="E1352" s="109">
        <v>40967.485150462962</v>
      </c>
      <c r="F1352" s="109"/>
      <c r="G1352" s="110" t="str">
        <f>IF(stdProdLT(Main[[#This Row],[Comments]])=0.1,"N/A",IF(stdProdLT(Main[[#This Row],[Comments]])=0,"",stdProdLT(Main[[#This Row],[Comments]])))</f>
        <v/>
      </c>
      <c r="H1352" s="111" t="str">
        <f>IF(AND(Main[[#This Row],[In Stock Date]]&lt;&gt;"",Main[[#This Row],[Revised Due Date]]&lt;&gt;""),Main[[#This Row],[In Stock Date]]-Main[[#This Row],[Revised Due Date]],"")</f>
        <v/>
      </c>
      <c r="I1352" s="107" t="s">
        <v>2054</v>
      </c>
      <c r="J1352" s="107" t="s">
        <v>28</v>
      </c>
      <c r="K1352" s="144" t="s">
        <v>4</v>
      </c>
      <c r="L1352" s="109"/>
      <c r="M1352" s="112" t="str">
        <f>IF(Main[[#This Row],[Tech Start Date]]&lt;1/1/1990,"",IF(Main[[#This Row],[Class]]="C",WORKDAY(Main[[#This Row],[Tech Start Date]],9),IF(Main[[#This Row],[Class]]="B", WORKDAY(Main[[#This Row],[Tech Start Date]],6),IF(Main[[#This Row],[Class]]="A",WORKDAY(Main[[#This Row],[Tech Start Date]],2),""))))</f>
        <v/>
      </c>
      <c r="N1352" s="112" t="str">
        <f>IF(Main[[#This Row],[Tech Start Date]]&lt;1/1/1990,"",IF(Main[[#This Row],[Class]]="C",WORKDAY(Main[[#This Row],[Tech Start Date]],19),IF(Main[[#This Row],[Class]]="B", WORKDAY(Main[[#This Row],[Tech Start Date]],12),IF(Main[[#This Row],[Class]]="A",WORKDAY(Main[[#This Row],[Tech Start Date]],4),""))))</f>
        <v/>
      </c>
      <c r="O1352" s="112" t="str">
        <f>IF(Main[[#This Row],[Tech Start Date]]&lt;1/1/1990,"",IF(Main[[#This Row],[Class]]="C",WORKDAY(Main[[#This Row],[Tech Start Date]],23),IF(Main[[#This Row],[Class]]="B", WORKDAY(Main[[#This Row],[Tech Start Date]],15),IF(Main[[#This Row],[Class]]="A",WORKDAY(Main[[#This Row],[Tech Start Date]],5),""))))</f>
        <v/>
      </c>
      <c r="P1352" s="112" t="str">
        <f>IF(Main[[#This Row],[Tech Start Date]]&lt;1/1/1990,"",IF(Main[[#This Row],[Class]]="C",WORKDAY(Main[[#This Row],[Tech Start Date]],28),IF(Main[[#This Row],[Class]]="B", WORKDAY(Main[[#This Row],[Tech Start Date]],19),IF(Main[[#This Row],[Class]]="A",WORKDAY(Main[[#This Row],[Tech Start Date]],9),""))))</f>
        <v/>
      </c>
      <c r="Q1352" s="109">
        <v>40999</v>
      </c>
      <c r="R1352" s="109"/>
      <c r="S1352" s="107" t="s">
        <v>6</v>
      </c>
      <c r="T1352" s="113" t="s">
        <v>4</v>
      </c>
      <c r="U1352" s="107" t="s">
        <v>29</v>
      </c>
      <c r="V1352" s="107" t="s">
        <v>1920</v>
      </c>
      <c r="W1352" s="107" t="s">
        <v>1921</v>
      </c>
      <c r="X1352" s="107" t="s">
        <v>81</v>
      </c>
      <c r="Y1352" s="128" t="s">
        <v>2975</v>
      </c>
      <c r="Z1352" s="128" t="s">
        <v>81</v>
      </c>
      <c r="AA1352" s="146" t="s">
        <v>81</v>
      </c>
    </row>
    <row r="1353" spans="1:27" ht="18.600000000000001" customHeight="1">
      <c r="A1353" s="142" t="str">
        <f>IF(priority(Main[[#This Row],[Comments]])&lt;&gt;0, priority(Main[[#This Row],[Comments]]),"")</f>
        <v/>
      </c>
      <c r="B1353" s="127" t="s">
        <v>1897</v>
      </c>
      <c r="C1353" s="72" t="s">
        <v>4</v>
      </c>
      <c r="D1353" s="73" t="s">
        <v>3742</v>
      </c>
      <c r="E1353" s="74">
        <v>40203.692094907405</v>
      </c>
      <c r="F1353" s="74"/>
      <c r="G1353" s="75" t="str">
        <f>IF(stdProdLT(Main[[#This Row],[Comments]])=0.1,"N/A",IF(stdProdLT(Main[[#This Row],[Comments]])=0,"",stdProdLT(Main[[#This Row],[Comments]])))</f>
        <v/>
      </c>
      <c r="H1353" s="76" t="str">
        <f>IF(AND(Main[[#This Row],[In Stock Date]]&lt;&gt;"",Main[[#This Row],[Revised Due Date]]&lt;&gt;""),Main[[#This Row],[In Stock Date]]-Main[[#This Row],[Revised Due Date]],"")</f>
        <v/>
      </c>
      <c r="I1353" s="72" t="s">
        <v>888</v>
      </c>
      <c r="J1353" s="72" t="s">
        <v>28</v>
      </c>
      <c r="K1353" s="72" t="s">
        <v>1929</v>
      </c>
      <c r="L1353" s="74"/>
      <c r="M1353" s="77" t="str">
        <f>IF(Main[[#This Row],[Tech Start Date]]&lt;1/1/1990,"",IF(Main[[#This Row],[Class]]="C",WORKDAY(Main[[#This Row],[Tech Start Date]],9),IF(Main[[#This Row],[Class]]="B", WORKDAY(Main[[#This Row],[Tech Start Date]],6),IF(Main[[#This Row],[Class]]="A",WORKDAY(Main[[#This Row],[Tech Start Date]],2),""))))</f>
        <v/>
      </c>
      <c r="N1353" s="77" t="str">
        <f>IF(Main[[#This Row],[Tech Start Date]]&lt;1/1/1990,"",IF(Main[[#This Row],[Class]]="C",WORKDAY(Main[[#This Row],[Tech Start Date]],19),IF(Main[[#This Row],[Class]]="B", WORKDAY(Main[[#This Row],[Tech Start Date]],12),IF(Main[[#This Row],[Class]]="A",WORKDAY(Main[[#This Row],[Tech Start Date]],4),""))))</f>
        <v/>
      </c>
      <c r="O1353" s="77" t="str">
        <f>IF(Main[[#This Row],[Tech Start Date]]&lt;1/1/1990,"",IF(Main[[#This Row],[Class]]="C",WORKDAY(Main[[#This Row],[Tech Start Date]],23),IF(Main[[#This Row],[Class]]="B", WORKDAY(Main[[#This Row],[Tech Start Date]],15),IF(Main[[#This Row],[Class]]="A",WORKDAY(Main[[#This Row],[Tech Start Date]],5),""))))</f>
        <v/>
      </c>
      <c r="P1353" s="77" t="str">
        <f>IF(Main[[#This Row],[Tech Start Date]]&lt;1/1/1990,"",IF(Main[[#This Row],[Class]]="C",WORKDAY(Main[[#This Row],[Tech Start Date]],28),IF(Main[[#This Row],[Class]]="B", WORKDAY(Main[[#This Row],[Tech Start Date]],19),IF(Main[[#This Row],[Class]]="A",WORKDAY(Main[[#This Row],[Tech Start Date]],9),""))))</f>
        <v/>
      </c>
      <c r="Q1353" s="74">
        <v>40724</v>
      </c>
      <c r="R1353" s="74">
        <v>41152</v>
      </c>
      <c r="S1353" s="72" t="s">
        <v>17</v>
      </c>
      <c r="T1353" s="80" t="s">
        <v>2469</v>
      </c>
      <c r="U1353" s="72" t="s">
        <v>29</v>
      </c>
      <c r="V1353" s="72" t="s">
        <v>1917</v>
      </c>
      <c r="W1353" s="72" t="s">
        <v>1922</v>
      </c>
      <c r="X1353" s="72" t="s">
        <v>129</v>
      </c>
      <c r="Y1353" s="128" t="s">
        <v>2939</v>
      </c>
      <c r="Z1353" s="128" t="s">
        <v>129</v>
      </c>
      <c r="AA1353" s="146" t="s">
        <v>129</v>
      </c>
    </row>
    <row r="1354" spans="1:27" ht="18.600000000000001" customHeight="1">
      <c r="A1354" s="142" t="str">
        <f>IF(priority(Main[[#This Row],[Comments]])&lt;&gt;0, priority(Main[[#This Row],[Comments]]),"")</f>
        <v/>
      </c>
      <c r="B1354" s="127" t="s">
        <v>3275</v>
      </c>
      <c r="C1354" s="72" t="s">
        <v>4</v>
      </c>
      <c r="D1354" s="73" t="s">
        <v>3822</v>
      </c>
      <c r="E1354" s="74">
        <v>40934.394444444442</v>
      </c>
      <c r="F1354" s="74"/>
      <c r="G1354" s="75" t="str">
        <f>IF(stdProdLT(Main[[#This Row],[Comments]])=0.1,"N/A",IF(stdProdLT(Main[[#This Row],[Comments]])=0,"",stdProdLT(Main[[#This Row],[Comments]])))</f>
        <v/>
      </c>
      <c r="H1354" s="76" t="str">
        <f>IF(AND(Main[[#This Row],[In Stock Date]]&lt;&gt;"",Main[[#This Row],[Revised Due Date]]&lt;&gt;""),Main[[#This Row],[In Stock Date]]-Main[[#This Row],[Revised Due Date]],"")</f>
        <v/>
      </c>
      <c r="I1354" s="72" t="s">
        <v>69</v>
      </c>
      <c r="J1354" s="72" t="s">
        <v>70</v>
      </c>
      <c r="K1354" s="72" t="s">
        <v>1926</v>
      </c>
      <c r="L1354" s="74"/>
      <c r="M1354" s="77" t="str">
        <f>IF(Main[[#This Row],[Tech Start Date]]&lt;1/1/1990,"",IF(Main[[#This Row],[Class]]="C",WORKDAY(Main[[#This Row],[Tech Start Date]],9),IF(Main[[#This Row],[Class]]="B", WORKDAY(Main[[#This Row],[Tech Start Date]],6),IF(Main[[#This Row],[Class]]="A",WORKDAY(Main[[#This Row],[Tech Start Date]],2),""))))</f>
        <v/>
      </c>
      <c r="N1354" s="77" t="str">
        <f>IF(Main[[#This Row],[Tech Start Date]]&lt;1/1/1990,"",IF(Main[[#This Row],[Class]]="C",WORKDAY(Main[[#This Row],[Tech Start Date]],19),IF(Main[[#This Row],[Class]]="B", WORKDAY(Main[[#This Row],[Tech Start Date]],12),IF(Main[[#This Row],[Class]]="A",WORKDAY(Main[[#This Row],[Tech Start Date]],4),""))))</f>
        <v/>
      </c>
      <c r="O1354" s="77" t="str">
        <f>IF(Main[[#This Row],[Tech Start Date]]&lt;1/1/1990,"",IF(Main[[#This Row],[Class]]="C",WORKDAY(Main[[#This Row],[Tech Start Date]],23),IF(Main[[#This Row],[Class]]="B", WORKDAY(Main[[#This Row],[Tech Start Date]],15),IF(Main[[#This Row],[Class]]="A",WORKDAY(Main[[#This Row],[Tech Start Date]],5),""))))</f>
        <v/>
      </c>
      <c r="P1354" s="77" t="str">
        <f>IF(Main[[#This Row],[Tech Start Date]]&lt;1/1/1990,"",IF(Main[[#This Row],[Class]]="C",WORKDAY(Main[[#This Row],[Tech Start Date]],28),IF(Main[[#This Row],[Class]]="B", WORKDAY(Main[[#This Row],[Tech Start Date]],19),IF(Main[[#This Row],[Class]]="A",WORKDAY(Main[[#This Row],[Tech Start Date]],9),""))))</f>
        <v/>
      </c>
      <c r="Q1354" s="74">
        <v>40968</v>
      </c>
      <c r="R1354" s="74"/>
      <c r="S1354" s="72" t="s">
        <v>6</v>
      </c>
      <c r="T1354" s="80" t="s">
        <v>4</v>
      </c>
      <c r="U1354" s="72" t="s">
        <v>29</v>
      </c>
      <c r="V1354" s="72" t="s">
        <v>1920</v>
      </c>
      <c r="W1354" s="72" t="s">
        <v>1921</v>
      </c>
      <c r="X1354" s="72" t="s">
        <v>2824</v>
      </c>
      <c r="Y1354" s="128" t="s">
        <v>2935</v>
      </c>
      <c r="Z1354" s="128" t="s">
        <v>30</v>
      </c>
      <c r="AA1354" s="146" t="s">
        <v>2824</v>
      </c>
    </row>
    <row r="1355" spans="1:27" ht="18.600000000000001" customHeight="1">
      <c r="A1355" s="142" t="str">
        <f>IF(priority(Main[[#This Row],[Comments]])&lt;&gt;0, priority(Main[[#This Row],[Comments]]),"")</f>
        <v/>
      </c>
      <c r="B1355" s="127" t="s">
        <v>1896</v>
      </c>
      <c r="C1355" s="72" t="s">
        <v>4</v>
      </c>
      <c r="D1355" s="73" t="s">
        <v>950</v>
      </c>
      <c r="E1355" s="74">
        <v>40112.566631944443</v>
      </c>
      <c r="F1355" s="74"/>
      <c r="G1355" s="75" t="str">
        <f>IF(stdProdLT(Main[[#This Row],[Comments]])=0.1,"N/A",IF(stdProdLT(Main[[#This Row],[Comments]])=0,"",stdProdLT(Main[[#This Row],[Comments]])))</f>
        <v/>
      </c>
      <c r="H1355" s="76" t="str">
        <f>IF(AND(Main[[#This Row],[In Stock Date]]&lt;&gt;"",Main[[#This Row],[Revised Due Date]]&lt;&gt;""),Main[[#This Row],[In Stock Date]]-Main[[#This Row],[Revised Due Date]],"")</f>
        <v/>
      </c>
      <c r="I1355" s="72" t="s">
        <v>900</v>
      </c>
      <c r="J1355" s="72" t="s">
        <v>4</v>
      </c>
      <c r="K1355" s="72" t="s">
        <v>1929</v>
      </c>
      <c r="L1355" s="74"/>
      <c r="M1355" s="77" t="str">
        <f>IF(Main[[#This Row],[Tech Start Date]]&lt;1/1/1990,"",IF(Main[[#This Row],[Class]]="C",WORKDAY(Main[[#This Row],[Tech Start Date]],9),IF(Main[[#This Row],[Class]]="B", WORKDAY(Main[[#This Row],[Tech Start Date]],6),IF(Main[[#This Row],[Class]]="A",WORKDAY(Main[[#This Row],[Tech Start Date]],2),""))))</f>
        <v/>
      </c>
      <c r="N1355" s="77" t="str">
        <f>IF(Main[[#This Row],[Tech Start Date]]&lt;1/1/1990,"",IF(Main[[#This Row],[Class]]="C",WORKDAY(Main[[#This Row],[Tech Start Date]],19),IF(Main[[#This Row],[Class]]="B", WORKDAY(Main[[#This Row],[Tech Start Date]],12),IF(Main[[#This Row],[Class]]="A",WORKDAY(Main[[#This Row],[Tech Start Date]],4),""))))</f>
        <v/>
      </c>
      <c r="O1355" s="77" t="str">
        <f>IF(Main[[#This Row],[Tech Start Date]]&lt;1/1/1990,"",IF(Main[[#This Row],[Class]]="C",WORKDAY(Main[[#This Row],[Tech Start Date]],23),IF(Main[[#This Row],[Class]]="B", WORKDAY(Main[[#This Row],[Tech Start Date]],15),IF(Main[[#This Row],[Class]]="A",WORKDAY(Main[[#This Row],[Tech Start Date]],5),""))))</f>
        <v/>
      </c>
      <c r="P1355" s="77" t="str">
        <f>IF(Main[[#This Row],[Tech Start Date]]&lt;1/1/1990,"",IF(Main[[#This Row],[Class]]="C",WORKDAY(Main[[#This Row],[Tech Start Date]],28),IF(Main[[#This Row],[Class]]="B", WORKDAY(Main[[#This Row],[Tech Start Date]],19),IF(Main[[#This Row],[Class]]="A",WORKDAY(Main[[#This Row],[Tech Start Date]],9),""))))</f>
        <v/>
      </c>
      <c r="Q1355" s="74">
        <v>40564</v>
      </c>
      <c r="R1355" s="74">
        <v>41264</v>
      </c>
      <c r="S1355" s="72" t="s">
        <v>17</v>
      </c>
      <c r="T1355" s="80" t="s">
        <v>4</v>
      </c>
      <c r="U1355" s="72" t="s">
        <v>29</v>
      </c>
      <c r="V1355" s="72" t="s">
        <v>1920</v>
      </c>
      <c r="W1355" s="72" t="s">
        <v>1922</v>
      </c>
      <c r="X1355" s="72" t="s">
        <v>970</v>
      </c>
      <c r="Y1355" s="128" t="s">
        <v>3121</v>
      </c>
      <c r="Z1355" s="128" t="s">
        <v>415</v>
      </c>
      <c r="AA1355" s="146" t="s">
        <v>970</v>
      </c>
    </row>
    <row r="1356" spans="1:27" ht="18.600000000000001" customHeight="1">
      <c r="A1356" s="142" t="str">
        <f>IF(priority(Main[[#This Row],[Comments]])&lt;&gt;0, priority(Main[[#This Row],[Comments]]),"")</f>
        <v/>
      </c>
      <c r="B1356" s="127" t="s">
        <v>2610</v>
      </c>
      <c r="C1356" s="107" t="s">
        <v>2359</v>
      </c>
      <c r="D1356" s="108" t="s">
        <v>2360</v>
      </c>
      <c r="E1356" s="109"/>
      <c r="F1356" s="109">
        <v>41036</v>
      </c>
      <c r="G1356" s="110" t="str">
        <f>IF(stdProdLT(Main[[#This Row],[Comments]])=0.1,"N/A",IF(stdProdLT(Main[[#This Row],[Comments]])=0,"",stdProdLT(Main[[#This Row],[Comments]])))</f>
        <v/>
      </c>
      <c r="H1356" s="111" t="str">
        <f>IF(AND(Main[[#This Row],[In Stock Date]]&lt;&gt;"",Main[[#This Row],[Revised Due Date]]&lt;&gt;""),Main[[#This Row],[In Stock Date]]-Main[[#This Row],[Revised Due Date]],"")</f>
        <v/>
      </c>
      <c r="I1356" s="107" t="s">
        <v>4</v>
      </c>
      <c r="J1356" s="107" t="s">
        <v>4</v>
      </c>
      <c r="K1356" s="107" t="s">
        <v>4</v>
      </c>
      <c r="L1356" s="109"/>
      <c r="M1356" s="112" t="str">
        <f>IF(Main[[#This Row],[Tech Start Date]]&lt;1/1/1990,"",IF(Main[[#This Row],[Class]]="C",WORKDAY(Main[[#This Row],[Tech Start Date]],9),IF(Main[[#This Row],[Class]]="B", WORKDAY(Main[[#This Row],[Tech Start Date]],6),IF(Main[[#This Row],[Class]]="A",WORKDAY(Main[[#This Row],[Tech Start Date]],2),""))))</f>
        <v/>
      </c>
      <c r="N1356" s="112" t="str">
        <f>IF(Main[[#This Row],[Tech Start Date]]&lt;1/1/1990,"",IF(Main[[#This Row],[Class]]="C",WORKDAY(Main[[#This Row],[Tech Start Date]],19),IF(Main[[#This Row],[Class]]="B", WORKDAY(Main[[#This Row],[Tech Start Date]],12),IF(Main[[#This Row],[Class]]="A",WORKDAY(Main[[#This Row],[Tech Start Date]],4),""))))</f>
        <v/>
      </c>
      <c r="O1356" s="112" t="str">
        <f>IF(Main[[#This Row],[Tech Start Date]]&lt;1/1/1990,"",IF(Main[[#This Row],[Class]]="C",WORKDAY(Main[[#This Row],[Tech Start Date]],23),IF(Main[[#This Row],[Class]]="B", WORKDAY(Main[[#This Row],[Tech Start Date]],15),IF(Main[[#This Row],[Class]]="A",WORKDAY(Main[[#This Row],[Tech Start Date]],5),""))))</f>
        <v/>
      </c>
      <c r="P1356" s="112" t="str">
        <f>IF(Main[[#This Row],[Tech Start Date]]&lt;1/1/1990,"",IF(Main[[#This Row],[Class]]="C",WORKDAY(Main[[#This Row],[Tech Start Date]],28),IF(Main[[#This Row],[Class]]="B", WORKDAY(Main[[#This Row],[Tech Start Date]],19),IF(Main[[#This Row],[Class]]="A",WORKDAY(Main[[#This Row],[Tech Start Date]],9),""))))</f>
        <v/>
      </c>
      <c r="Q1356" s="109">
        <v>40854</v>
      </c>
      <c r="R1356" s="109"/>
      <c r="S1356" s="107" t="s">
        <v>11</v>
      </c>
      <c r="T1356" s="113" t="s">
        <v>4</v>
      </c>
      <c r="U1356" s="107" t="s">
        <v>12</v>
      </c>
      <c r="V1356" s="107" t="s">
        <v>1920</v>
      </c>
      <c r="W1356" s="107" t="s">
        <v>1923</v>
      </c>
      <c r="X1356" s="107" t="s">
        <v>2849</v>
      </c>
      <c r="Y1356" s="128" t="s">
        <v>4</v>
      </c>
      <c r="Z1356" s="128" t="s">
        <v>4</v>
      </c>
      <c r="AA1356" s="146" t="s">
        <v>2849</v>
      </c>
    </row>
    <row r="1357" spans="1:27" ht="18.600000000000001" customHeight="1">
      <c r="A1357" s="142" t="str">
        <f>IF(priority(Main[[#This Row],[Comments]])&lt;&gt;0, priority(Main[[#This Row],[Comments]]),"")</f>
        <v/>
      </c>
      <c r="B1357" s="127" t="s">
        <v>2249</v>
      </c>
      <c r="C1357" s="72" t="s">
        <v>2250</v>
      </c>
      <c r="D1357" s="73" t="s">
        <v>2251</v>
      </c>
      <c r="E1357" s="74"/>
      <c r="F1357" s="74"/>
      <c r="G1357" s="75" t="str">
        <f>IF(stdProdLT(Main[[#This Row],[Comments]])=0.1,"N/A",IF(stdProdLT(Main[[#This Row],[Comments]])=0,"",stdProdLT(Main[[#This Row],[Comments]])))</f>
        <v/>
      </c>
      <c r="H1357" s="76" t="str">
        <f>IF(AND(Main[[#This Row],[In Stock Date]]&lt;&gt;"",Main[[#This Row],[Revised Due Date]]&lt;&gt;""),Main[[#This Row],[In Stock Date]]-Main[[#This Row],[Revised Due Date]],"")</f>
        <v/>
      </c>
      <c r="I1357" s="72" t="s">
        <v>2209</v>
      </c>
      <c r="J1357" s="72" t="s">
        <v>4</v>
      </c>
      <c r="K1357" s="72" t="s">
        <v>1926</v>
      </c>
      <c r="L1357" s="74">
        <v>37622</v>
      </c>
      <c r="M1357" s="77">
        <f>IF(Main[[#This Row],[Tech Start Date]]&lt;1/1/1990,"",IF(Main[[#This Row],[Class]]="C",WORKDAY(Main[[#This Row],[Tech Start Date]],9),IF(Main[[#This Row],[Class]]="B", WORKDAY(Main[[#This Row],[Tech Start Date]],6),IF(Main[[#This Row],[Class]]="A",WORKDAY(Main[[#This Row],[Tech Start Date]],2),""))))</f>
        <v>37624</v>
      </c>
      <c r="N1357" s="77">
        <f>IF(Main[[#This Row],[Tech Start Date]]&lt;1/1/1990,"",IF(Main[[#This Row],[Class]]="C",WORKDAY(Main[[#This Row],[Tech Start Date]],19),IF(Main[[#This Row],[Class]]="B", WORKDAY(Main[[#This Row],[Tech Start Date]],12),IF(Main[[#This Row],[Class]]="A",WORKDAY(Main[[#This Row],[Tech Start Date]],4),""))))</f>
        <v>37628</v>
      </c>
      <c r="O1357" s="77">
        <f>IF(Main[[#This Row],[Tech Start Date]]&lt;1/1/1990,"",IF(Main[[#This Row],[Class]]="C",WORKDAY(Main[[#This Row],[Tech Start Date]],23),IF(Main[[#This Row],[Class]]="B", WORKDAY(Main[[#This Row],[Tech Start Date]],15),IF(Main[[#This Row],[Class]]="A",WORKDAY(Main[[#This Row],[Tech Start Date]],5),""))))</f>
        <v>37629</v>
      </c>
      <c r="P1357" s="77">
        <f>IF(Main[[#This Row],[Tech Start Date]]&lt;1/1/1990,"",IF(Main[[#This Row],[Class]]="C",WORKDAY(Main[[#This Row],[Tech Start Date]],28),IF(Main[[#This Row],[Class]]="B", WORKDAY(Main[[#This Row],[Tech Start Date]],19),IF(Main[[#This Row],[Class]]="A",WORKDAY(Main[[#This Row],[Tech Start Date]],9),""))))</f>
        <v>37635</v>
      </c>
      <c r="Q1357" s="74"/>
      <c r="R1357" s="74">
        <v>37623</v>
      </c>
      <c r="S1357" s="72" t="s">
        <v>11</v>
      </c>
      <c r="T1357" s="80" t="s">
        <v>4</v>
      </c>
      <c r="U1357" s="72" t="s">
        <v>14</v>
      </c>
      <c r="V1357" s="72" t="s">
        <v>1932</v>
      </c>
      <c r="W1357" s="72" t="s">
        <v>1925</v>
      </c>
      <c r="X1357" s="72" t="s">
        <v>2920</v>
      </c>
      <c r="Y1357" s="128" t="s">
        <v>3147</v>
      </c>
      <c r="Z1357" s="128" t="s">
        <v>4</v>
      </c>
      <c r="AA1357" s="146" t="s">
        <v>3481</v>
      </c>
    </row>
    <row r="1358" spans="1:27" ht="18.600000000000001" customHeight="1">
      <c r="A1358" s="142" t="str">
        <f>IF(priority(Main[[#This Row],[Comments]])&lt;&gt;0, priority(Main[[#This Row],[Comments]]),"")</f>
        <v/>
      </c>
      <c r="B1358" s="127" t="s">
        <v>2287</v>
      </c>
      <c r="C1358" s="107" t="s">
        <v>2207</v>
      </c>
      <c r="D1358" s="108" t="s">
        <v>2208</v>
      </c>
      <c r="E1358" s="109">
        <v>40813.570081018515</v>
      </c>
      <c r="F1358" s="109"/>
      <c r="G1358" s="110" t="str">
        <f>IF(stdProdLT(Main[[#This Row],[Comments]])=0.1,"N/A",IF(stdProdLT(Main[[#This Row],[Comments]])=0,"",stdProdLT(Main[[#This Row],[Comments]])))</f>
        <v/>
      </c>
      <c r="H1358" s="111" t="str">
        <f>IF(AND(Main[[#This Row],[In Stock Date]]&lt;&gt;"",Main[[#This Row],[Revised Due Date]]&lt;&gt;""),Main[[#This Row],[In Stock Date]]-Main[[#This Row],[Revised Due Date]],"")</f>
        <v/>
      </c>
      <c r="I1358" s="107" t="s">
        <v>2209</v>
      </c>
      <c r="J1358" s="107" t="s">
        <v>4</v>
      </c>
      <c r="K1358" s="107" t="s">
        <v>1926</v>
      </c>
      <c r="L1358" s="109">
        <v>37622</v>
      </c>
      <c r="M1358" s="112">
        <f>IF(Main[[#This Row],[Tech Start Date]]&lt;1/1/1990,"",IF(Main[[#This Row],[Class]]="C",WORKDAY(Main[[#This Row],[Tech Start Date]],9),IF(Main[[#This Row],[Class]]="B", WORKDAY(Main[[#This Row],[Tech Start Date]],6),IF(Main[[#This Row],[Class]]="A",WORKDAY(Main[[#This Row],[Tech Start Date]],2),""))))</f>
        <v>37624</v>
      </c>
      <c r="N1358" s="112">
        <f>IF(Main[[#This Row],[Tech Start Date]]&lt;1/1/1990,"",IF(Main[[#This Row],[Class]]="C",WORKDAY(Main[[#This Row],[Tech Start Date]],19),IF(Main[[#This Row],[Class]]="B", WORKDAY(Main[[#This Row],[Tech Start Date]],12),IF(Main[[#This Row],[Class]]="A",WORKDAY(Main[[#This Row],[Tech Start Date]],4),""))))</f>
        <v>37628</v>
      </c>
      <c r="O1358" s="112">
        <f>IF(Main[[#This Row],[Tech Start Date]]&lt;1/1/1990,"",IF(Main[[#This Row],[Class]]="C",WORKDAY(Main[[#This Row],[Tech Start Date]],23),IF(Main[[#This Row],[Class]]="B", WORKDAY(Main[[#This Row],[Tech Start Date]],15),IF(Main[[#This Row],[Class]]="A",WORKDAY(Main[[#This Row],[Tech Start Date]],5),""))))</f>
        <v>37629</v>
      </c>
      <c r="P1358" s="112">
        <f>IF(Main[[#This Row],[Tech Start Date]]&lt;1/1/1990,"",IF(Main[[#This Row],[Class]]="C",WORKDAY(Main[[#This Row],[Tech Start Date]],28),IF(Main[[#This Row],[Class]]="B", WORKDAY(Main[[#This Row],[Tech Start Date]],19),IF(Main[[#This Row],[Class]]="A",WORKDAY(Main[[#This Row],[Tech Start Date]],9),""))))</f>
        <v>37635</v>
      </c>
      <c r="Q1358" s="109"/>
      <c r="R1358" s="109">
        <v>37623</v>
      </c>
      <c r="S1358" s="107" t="s">
        <v>11</v>
      </c>
      <c r="T1358" s="113" t="s">
        <v>4</v>
      </c>
      <c r="U1358" s="107" t="s">
        <v>29</v>
      </c>
      <c r="V1358" s="107" t="s">
        <v>2288</v>
      </c>
      <c r="W1358" s="107" t="s">
        <v>1925</v>
      </c>
      <c r="X1358" s="107" t="s">
        <v>2209</v>
      </c>
      <c r="Y1358" s="128" t="s">
        <v>3147</v>
      </c>
      <c r="Z1358" s="128" t="s">
        <v>4</v>
      </c>
      <c r="AA1358" s="146" t="s">
        <v>3481</v>
      </c>
    </row>
    <row r="1359" spans="1:27" ht="18.600000000000001" customHeight="1">
      <c r="A1359" s="142" t="str">
        <f>IF(priority(Main[[#This Row],[Comments]])&lt;&gt;0, priority(Main[[#This Row],[Comments]]),"")</f>
        <v/>
      </c>
      <c r="B1359" s="127" t="s">
        <v>2248</v>
      </c>
      <c r="C1359" s="128" t="s">
        <v>2207</v>
      </c>
      <c r="D1359" s="159" t="s">
        <v>2208</v>
      </c>
      <c r="E1359" s="161"/>
      <c r="F1359" s="161"/>
      <c r="G1359" s="163" t="str">
        <f>IF(stdProdLT(Main[[#This Row],[Comments]])=0.1,"N/A",IF(stdProdLT(Main[[#This Row],[Comments]])=0,"",stdProdLT(Main[[#This Row],[Comments]])))</f>
        <v/>
      </c>
      <c r="H1359" s="165" t="str">
        <f>IF(AND(Main[[#This Row],[In Stock Date]]&lt;&gt;"",Main[[#This Row],[Revised Due Date]]&lt;&gt;""),Main[[#This Row],[In Stock Date]]-Main[[#This Row],[Revised Due Date]],"")</f>
        <v/>
      </c>
      <c r="I1359" s="128" t="s">
        <v>2209</v>
      </c>
      <c r="J1359" s="128" t="s">
        <v>4</v>
      </c>
      <c r="K1359" s="128" t="s">
        <v>1926</v>
      </c>
      <c r="L1359" s="161">
        <v>37622</v>
      </c>
      <c r="M1359" s="168">
        <f>IF(Main[[#This Row],[Tech Start Date]]&lt;1/1/1990,"",IF(Main[[#This Row],[Class]]="C",WORKDAY(Main[[#This Row],[Tech Start Date]],9),IF(Main[[#This Row],[Class]]="B", WORKDAY(Main[[#This Row],[Tech Start Date]],6),IF(Main[[#This Row],[Class]]="A",WORKDAY(Main[[#This Row],[Tech Start Date]],2),""))))</f>
        <v>37624</v>
      </c>
      <c r="N1359" s="168">
        <f>IF(Main[[#This Row],[Tech Start Date]]&lt;1/1/1990,"",IF(Main[[#This Row],[Class]]="C",WORKDAY(Main[[#This Row],[Tech Start Date]],19),IF(Main[[#This Row],[Class]]="B", WORKDAY(Main[[#This Row],[Tech Start Date]],12),IF(Main[[#This Row],[Class]]="A",WORKDAY(Main[[#This Row],[Tech Start Date]],4),""))))</f>
        <v>37628</v>
      </c>
      <c r="O1359" s="168">
        <f>IF(Main[[#This Row],[Tech Start Date]]&lt;1/1/1990,"",IF(Main[[#This Row],[Class]]="C",WORKDAY(Main[[#This Row],[Tech Start Date]],23),IF(Main[[#This Row],[Class]]="B", WORKDAY(Main[[#This Row],[Tech Start Date]],15),IF(Main[[#This Row],[Class]]="A",WORKDAY(Main[[#This Row],[Tech Start Date]],5),""))))</f>
        <v>37629</v>
      </c>
      <c r="P1359" s="168">
        <f>IF(Main[[#This Row],[Tech Start Date]]&lt;1/1/1990,"",IF(Main[[#This Row],[Class]]="C",WORKDAY(Main[[#This Row],[Tech Start Date]],28),IF(Main[[#This Row],[Class]]="B", WORKDAY(Main[[#This Row],[Tech Start Date]],19),IF(Main[[#This Row],[Class]]="A",WORKDAY(Main[[#This Row],[Tech Start Date]],9),""))))</f>
        <v>37635</v>
      </c>
      <c r="Q1359" s="161"/>
      <c r="R1359" s="161">
        <v>37623</v>
      </c>
      <c r="S1359" s="128" t="s">
        <v>11</v>
      </c>
      <c r="T1359" s="172" t="s">
        <v>4</v>
      </c>
      <c r="U1359" s="128" t="s">
        <v>14</v>
      </c>
      <c r="V1359" s="128" t="s">
        <v>1932</v>
      </c>
      <c r="W1359" s="128" t="s">
        <v>1925</v>
      </c>
      <c r="X1359" s="128" t="s">
        <v>2209</v>
      </c>
      <c r="Y1359" s="128" t="s">
        <v>3147</v>
      </c>
      <c r="Z1359" s="128" t="s">
        <v>4</v>
      </c>
      <c r="AA1359" s="146" t="s">
        <v>3481</v>
      </c>
    </row>
    <row r="1360" spans="1:27" ht="18.600000000000001" customHeight="1">
      <c r="A1360" s="142" t="str">
        <f>IF(priority(Main[[#This Row],[Comments]])&lt;&gt;0, priority(Main[[#This Row],[Comments]]),"")</f>
        <v/>
      </c>
      <c r="B1360" s="127" t="s">
        <v>2206</v>
      </c>
      <c r="C1360" s="128" t="s">
        <v>2207</v>
      </c>
      <c r="D1360" s="159" t="s">
        <v>2208</v>
      </c>
      <c r="E1360" s="161"/>
      <c r="F1360" s="161"/>
      <c r="G1360" s="163" t="str">
        <f>IF(stdProdLT(Main[[#This Row],[Comments]])=0.1,"N/A",IF(stdProdLT(Main[[#This Row],[Comments]])=0,"",stdProdLT(Main[[#This Row],[Comments]])))</f>
        <v/>
      </c>
      <c r="H1360" s="165" t="str">
        <f>IF(AND(Main[[#This Row],[In Stock Date]]&lt;&gt;"",Main[[#This Row],[Revised Due Date]]&lt;&gt;""),Main[[#This Row],[In Stock Date]]-Main[[#This Row],[Revised Due Date]],"")</f>
        <v/>
      </c>
      <c r="I1360" s="128" t="s">
        <v>2209</v>
      </c>
      <c r="J1360" s="128" t="s">
        <v>4</v>
      </c>
      <c r="K1360" s="128" t="s">
        <v>1926</v>
      </c>
      <c r="L1360" s="161">
        <v>37622</v>
      </c>
      <c r="M1360" s="168">
        <f>IF(Main[[#This Row],[Tech Start Date]]&lt;1/1/1990,"",IF(Main[[#This Row],[Class]]="C",WORKDAY(Main[[#This Row],[Tech Start Date]],9),IF(Main[[#This Row],[Class]]="B", WORKDAY(Main[[#This Row],[Tech Start Date]],6),IF(Main[[#This Row],[Class]]="A",WORKDAY(Main[[#This Row],[Tech Start Date]],2),""))))</f>
        <v>37624</v>
      </c>
      <c r="N1360" s="168">
        <f>IF(Main[[#This Row],[Tech Start Date]]&lt;1/1/1990,"",IF(Main[[#This Row],[Class]]="C",WORKDAY(Main[[#This Row],[Tech Start Date]],19),IF(Main[[#This Row],[Class]]="B", WORKDAY(Main[[#This Row],[Tech Start Date]],12),IF(Main[[#This Row],[Class]]="A",WORKDAY(Main[[#This Row],[Tech Start Date]],4),""))))</f>
        <v>37628</v>
      </c>
      <c r="O1360" s="168">
        <f>IF(Main[[#This Row],[Tech Start Date]]&lt;1/1/1990,"",IF(Main[[#This Row],[Class]]="C",WORKDAY(Main[[#This Row],[Tech Start Date]],23),IF(Main[[#This Row],[Class]]="B", WORKDAY(Main[[#This Row],[Tech Start Date]],15),IF(Main[[#This Row],[Class]]="A",WORKDAY(Main[[#This Row],[Tech Start Date]],5),""))))</f>
        <v>37629</v>
      </c>
      <c r="P1360" s="168">
        <f>IF(Main[[#This Row],[Tech Start Date]]&lt;1/1/1990,"",IF(Main[[#This Row],[Class]]="C",WORKDAY(Main[[#This Row],[Tech Start Date]],28),IF(Main[[#This Row],[Class]]="B", WORKDAY(Main[[#This Row],[Tech Start Date]],19),IF(Main[[#This Row],[Class]]="A",WORKDAY(Main[[#This Row],[Tech Start Date]],9),""))))</f>
        <v>37635</v>
      </c>
      <c r="Q1360" s="161"/>
      <c r="R1360" s="161">
        <v>37623</v>
      </c>
      <c r="S1360" s="128" t="s">
        <v>11</v>
      </c>
      <c r="T1360" s="172" t="s">
        <v>4</v>
      </c>
      <c r="U1360" s="128" t="s">
        <v>14</v>
      </c>
      <c r="V1360" s="128" t="s">
        <v>1932</v>
      </c>
      <c r="W1360" s="128" t="s">
        <v>1925</v>
      </c>
      <c r="X1360" s="128" t="s">
        <v>2209</v>
      </c>
      <c r="Y1360" s="128" t="s">
        <v>3147</v>
      </c>
      <c r="Z1360" s="128" t="s">
        <v>4</v>
      </c>
      <c r="AA1360" s="146" t="s">
        <v>3481</v>
      </c>
    </row>
    <row r="1361" spans="1:27" ht="18.600000000000001" customHeight="1">
      <c r="A1361" s="142" t="str">
        <f>IF(priority(Main[[#This Row],[Comments]])&lt;&gt;0, priority(Main[[#This Row],[Comments]]),"")</f>
        <v/>
      </c>
      <c r="B1361" s="127" t="s">
        <v>1813</v>
      </c>
      <c r="C1361" s="128" t="s">
        <v>857</v>
      </c>
      <c r="D1361" s="159" t="s">
        <v>861</v>
      </c>
      <c r="E1361" s="161">
        <v>40085.252314814818</v>
      </c>
      <c r="F1361" s="161">
        <v>40421</v>
      </c>
      <c r="G1361" s="163" t="str">
        <f>IF(stdProdLT(Main[[#This Row],[Comments]])=0.1,"N/A",IF(stdProdLT(Main[[#This Row],[Comments]])=0,"",stdProdLT(Main[[#This Row],[Comments]])))</f>
        <v/>
      </c>
      <c r="H1361" s="165">
        <f>IF(AND(Main[[#This Row],[In Stock Date]]&lt;&gt;"",Main[[#This Row],[Revised Due Date]]&lt;&gt;""),Main[[#This Row],[In Stock Date]]-Main[[#This Row],[Revised Due Date]],"")</f>
        <v>193</v>
      </c>
      <c r="I1361" s="128" t="s">
        <v>854</v>
      </c>
      <c r="J1361" s="128" t="s">
        <v>4</v>
      </c>
      <c r="K1361" s="128" t="s">
        <v>1929</v>
      </c>
      <c r="L1361" s="161">
        <v>40091</v>
      </c>
      <c r="M1361" s="168" t="str">
        <f>IF(Main[[#This Row],[Tech Start Date]]&lt;1/1/1990,"",IF(Main[[#This Row],[Class]]="C",WORKDAY(Main[[#This Row],[Tech Start Date]],9),IF(Main[[#This Row],[Class]]="B", WORKDAY(Main[[#This Row],[Tech Start Date]],6),IF(Main[[#This Row],[Class]]="A",WORKDAY(Main[[#This Row],[Tech Start Date]],2),""))))</f>
        <v/>
      </c>
      <c r="N1361" s="168" t="str">
        <f>IF(Main[[#This Row],[Tech Start Date]]&lt;1/1/1990,"",IF(Main[[#This Row],[Class]]="C",WORKDAY(Main[[#This Row],[Tech Start Date]],19),IF(Main[[#This Row],[Class]]="B", WORKDAY(Main[[#This Row],[Tech Start Date]],12),IF(Main[[#This Row],[Class]]="A",WORKDAY(Main[[#This Row],[Tech Start Date]],4),""))))</f>
        <v/>
      </c>
      <c r="O1361" s="168" t="str">
        <f>IF(Main[[#This Row],[Tech Start Date]]&lt;1/1/1990,"",IF(Main[[#This Row],[Class]]="C",WORKDAY(Main[[#This Row],[Tech Start Date]],23),IF(Main[[#This Row],[Class]]="B", WORKDAY(Main[[#This Row],[Tech Start Date]],15),IF(Main[[#This Row],[Class]]="A",WORKDAY(Main[[#This Row],[Tech Start Date]],5),""))))</f>
        <v/>
      </c>
      <c r="P1361" s="168" t="str">
        <f>IF(Main[[#This Row],[Tech Start Date]]&lt;1/1/1990,"",IF(Main[[#This Row],[Class]]="C",WORKDAY(Main[[#This Row],[Tech Start Date]],28),IF(Main[[#This Row],[Class]]="B", WORKDAY(Main[[#This Row],[Tech Start Date]],19),IF(Main[[#This Row],[Class]]="A",WORKDAY(Main[[#This Row],[Tech Start Date]],9),""))))</f>
        <v/>
      </c>
      <c r="Q1361" s="161">
        <v>40239</v>
      </c>
      <c r="R1361" s="161">
        <v>40228</v>
      </c>
      <c r="S1361" s="128" t="s">
        <v>17</v>
      </c>
      <c r="T1361" s="172" t="s">
        <v>4</v>
      </c>
      <c r="U1361" s="128" t="s">
        <v>29</v>
      </c>
      <c r="V1361" s="128" t="s">
        <v>1920</v>
      </c>
      <c r="W1361" s="128" t="s">
        <v>1922</v>
      </c>
      <c r="X1361" s="128" t="s">
        <v>2921</v>
      </c>
      <c r="Y1361" s="128" t="s">
        <v>4</v>
      </c>
      <c r="Z1361" s="128" t="s">
        <v>854</v>
      </c>
      <c r="AA1361" s="146" t="s">
        <v>2921</v>
      </c>
    </row>
    <row r="1362" spans="1:27" ht="18.600000000000001" customHeight="1">
      <c r="A1362" s="142" t="str">
        <f>IF(priority(Main[[#This Row],[Comments]])&lt;&gt;0, priority(Main[[#This Row],[Comments]]),"")</f>
        <v/>
      </c>
      <c r="B1362" s="127" t="s">
        <v>1806</v>
      </c>
      <c r="C1362" s="128" t="s">
        <v>93</v>
      </c>
      <c r="D1362" s="159" t="s">
        <v>852</v>
      </c>
      <c r="E1362" s="161"/>
      <c r="F1362" s="161">
        <v>40238</v>
      </c>
      <c r="G1362" s="163" t="str">
        <f>IF(stdProdLT(Main[[#This Row],[Comments]])=0.1,"N/A",IF(stdProdLT(Main[[#This Row],[Comments]])=0,"",stdProdLT(Main[[#This Row],[Comments]])))</f>
        <v/>
      </c>
      <c r="H1362" s="165">
        <f>IF(AND(Main[[#This Row],[In Stock Date]]&lt;&gt;"",Main[[#This Row],[Revised Due Date]]&lt;&gt;""),Main[[#This Row],[In Stock Date]]-Main[[#This Row],[Revised Due Date]],"")</f>
        <v>81</v>
      </c>
      <c r="I1362" s="128" t="s">
        <v>44</v>
      </c>
      <c r="J1362" s="128" t="s">
        <v>4</v>
      </c>
      <c r="K1362" s="128" t="s">
        <v>4</v>
      </c>
      <c r="L1362" s="161">
        <v>40127</v>
      </c>
      <c r="M1362" s="168" t="str">
        <f>IF(Main[[#This Row],[Tech Start Date]]&lt;1/1/1990,"",IF(Main[[#This Row],[Class]]="C",WORKDAY(Main[[#This Row],[Tech Start Date]],9),IF(Main[[#This Row],[Class]]="B", WORKDAY(Main[[#This Row],[Tech Start Date]],6),IF(Main[[#This Row],[Class]]="A",WORKDAY(Main[[#This Row],[Tech Start Date]],2),""))))</f>
        <v/>
      </c>
      <c r="N1362" s="168" t="str">
        <f>IF(Main[[#This Row],[Tech Start Date]]&lt;1/1/1990,"",IF(Main[[#This Row],[Class]]="C",WORKDAY(Main[[#This Row],[Tech Start Date]],19),IF(Main[[#This Row],[Class]]="B", WORKDAY(Main[[#This Row],[Tech Start Date]],12),IF(Main[[#This Row],[Class]]="A",WORKDAY(Main[[#This Row],[Tech Start Date]],4),""))))</f>
        <v/>
      </c>
      <c r="O1362" s="168" t="str">
        <f>IF(Main[[#This Row],[Tech Start Date]]&lt;1/1/1990,"",IF(Main[[#This Row],[Class]]="C",WORKDAY(Main[[#This Row],[Tech Start Date]],23),IF(Main[[#This Row],[Class]]="B", WORKDAY(Main[[#This Row],[Tech Start Date]],15),IF(Main[[#This Row],[Class]]="A",WORKDAY(Main[[#This Row],[Tech Start Date]],5),""))))</f>
        <v/>
      </c>
      <c r="P1362" s="168" t="str">
        <f>IF(Main[[#This Row],[Tech Start Date]]&lt;1/1/1990,"",IF(Main[[#This Row],[Class]]="C",WORKDAY(Main[[#This Row],[Tech Start Date]],28),IF(Main[[#This Row],[Class]]="B", WORKDAY(Main[[#This Row],[Tech Start Date]],19),IF(Main[[#This Row],[Class]]="A",WORKDAY(Main[[#This Row],[Tech Start Date]],9),""))))</f>
        <v/>
      </c>
      <c r="Q1362" s="161">
        <v>40223</v>
      </c>
      <c r="R1362" s="161">
        <v>40157</v>
      </c>
      <c r="S1362" s="128" t="s">
        <v>11</v>
      </c>
      <c r="T1362" s="172" t="s">
        <v>4</v>
      </c>
      <c r="U1362" s="128" t="s">
        <v>14</v>
      </c>
      <c r="V1362" s="128" t="s">
        <v>1927</v>
      </c>
      <c r="W1362" s="128" t="s">
        <v>1928</v>
      </c>
      <c r="X1362" s="128" t="s">
        <v>2851</v>
      </c>
      <c r="Y1362" s="128" t="s">
        <v>4</v>
      </c>
      <c r="Z1362" s="128" t="s">
        <v>4</v>
      </c>
      <c r="AA1362" s="146" t="s">
        <v>2851</v>
      </c>
    </row>
    <row r="1363" spans="1:27" ht="18.600000000000001" customHeight="1">
      <c r="A1363" s="142" t="str">
        <f>IF(priority(Main[[#This Row],[Comments]])&lt;&gt;0, priority(Main[[#This Row],[Comments]]),"")</f>
        <v/>
      </c>
      <c r="B1363" s="127" t="s">
        <v>1183</v>
      </c>
      <c r="C1363" s="128" t="s">
        <v>4</v>
      </c>
      <c r="D1363" s="159" t="s">
        <v>238</v>
      </c>
      <c r="E1363" s="161"/>
      <c r="F1363" s="161"/>
      <c r="G1363" s="163" t="str">
        <f>IF(stdProdLT(Main[[#This Row],[Comments]])=0.1,"N/A",IF(stdProdLT(Main[[#This Row],[Comments]])=0,"",stdProdLT(Main[[#This Row],[Comments]])))</f>
        <v/>
      </c>
      <c r="H1363" s="165" t="str">
        <f>IF(AND(Main[[#This Row],[In Stock Date]]&lt;&gt;"",Main[[#This Row],[Revised Due Date]]&lt;&gt;""),Main[[#This Row],[In Stock Date]]-Main[[#This Row],[Revised Due Date]],"")</f>
        <v/>
      </c>
      <c r="I1363" s="128" t="s">
        <v>239</v>
      </c>
      <c r="J1363" s="128" t="s">
        <v>4</v>
      </c>
      <c r="K1363" s="128" t="s">
        <v>4</v>
      </c>
      <c r="L1363" s="161">
        <v>40134</v>
      </c>
      <c r="M1363" s="168" t="str">
        <f>IF(Main[[#This Row],[Tech Start Date]]&lt;1/1/1990,"",IF(Main[[#This Row],[Class]]="C",WORKDAY(Main[[#This Row],[Tech Start Date]],9),IF(Main[[#This Row],[Class]]="B", WORKDAY(Main[[#This Row],[Tech Start Date]],6),IF(Main[[#This Row],[Class]]="A",WORKDAY(Main[[#This Row],[Tech Start Date]],2),""))))</f>
        <v/>
      </c>
      <c r="N1363" s="168" t="str">
        <f>IF(Main[[#This Row],[Tech Start Date]]&lt;1/1/1990,"",IF(Main[[#This Row],[Class]]="C",WORKDAY(Main[[#This Row],[Tech Start Date]],19),IF(Main[[#This Row],[Class]]="B", WORKDAY(Main[[#This Row],[Tech Start Date]],12),IF(Main[[#This Row],[Class]]="A",WORKDAY(Main[[#This Row],[Tech Start Date]],4),""))))</f>
        <v/>
      </c>
      <c r="O1363" s="168" t="str">
        <f>IF(Main[[#This Row],[Tech Start Date]]&lt;1/1/1990,"",IF(Main[[#This Row],[Class]]="C",WORKDAY(Main[[#This Row],[Tech Start Date]],23),IF(Main[[#This Row],[Class]]="B", WORKDAY(Main[[#This Row],[Tech Start Date]],15),IF(Main[[#This Row],[Class]]="A",WORKDAY(Main[[#This Row],[Tech Start Date]],5),""))))</f>
        <v/>
      </c>
      <c r="P1363" s="168" t="str">
        <f>IF(Main[[#This Row],[Tech Start Date]]&lt;1/1/1990,"",IF(Main[[#This Row],[Class]]="C",WORKDAY(Main[[#This Row],[Tech Start Date]],28),IF(Main[[#This Row],[Class]]="B", WORKDAY(Main[[#This Row],[Tech Start Date]],19),IF(Main[[#This Row],[Class]]="A",WORKDAY(Main[[#This Row],[Tech Start Date]],9),""))))</f>
        <v/>
      </c>
      <c r="Q1363" s="161"/>
      <c r="R1363" s="161"/>
      <c r="S1363" s="128" t="s">
        <v>6</v>
      </c>
      <c r="T1363" s="172" t="s">
        <v>4</v>
      </c>
      <c r="U1363" s="128" t="s">
        <v>14</v>
      </c>
      <c r="V1363" s="128" t="s">
        <v>1920</v>
      </c>
      <c r="W1363" s="128" t="s">
        <v>4</v>
      </c>
      <c r="X1363" s="128" t="s">
        <v>2828</v>
      </c>
      <c r="Y1363" s="128" t="s">
        <v>3148</v>
      </c>
      <c r="Z1363" s="128" t="s">
        <v>4</v>
      </c>
      <c r="AA1363" s="146" t="s">
        <v>2828</v>
      </c>
    </row>
    <row r="1364" spans="1:27" ht="18.600000000000001" customHeight="1">
      <c r="A1364" s="142" t="str">
        <f>IF(priority(Main[[#This Row],[Comments]])&lt;&gt;0, priority(Main[[#This Row],[Comments]]),"")</f>
        <v/>
      </c>
      <c r="B1364" s="127" t="s">
        <v>1852</v>
      </c>
      <c r="C1364" s="128" t="s">
        <v>859</v>
      </c>
      <c r="D1364" s="159" t="s">
        <v>907</v>
      </c>
      <c r="E1364" s="161"/>
      <c r="F1364" s="161">
        <v>40305</v>
      </c>
      <c r="G1364" s="163" t="str">
        <f>IF(stdProdLT(Main[[#This Row],[Comments]])=0.1,"N/A",IF(stdProdLT(Main[[#This Row],[Comments]])=0,"",stdProdLT(Main[[#This Row],[Comments]])))</f>
        <v/>
      </c>
      <c r="H1364" s="165">
        <f>IF(AND(Main[[#This Row],[In Stock Date]]&lt;&gt;"",Main[[#This Row],[Revised Due Date]]&lt;&gt;""),Main[[#This Row],[In Stock Date]]-Main[[#This Row],[Revised Due Date]],"")</f>
        <v>-226</v>
      </c>
      <c r="I1364" s="128" t="s">
        <v>431</v>
      </c>
      <c r="J1364" s="128" t="s">
        <v>4</v>
      </c>
      <c r="K1364" s="166" t="s">
        <v>1924</v>
      </c>
      <c r="L1364" s="161">
        <v>40162</v>
      </c>
      <c r="M1364" s="168">
        <f>IF(Main[[#This Row],[Tech Start Date]]&lt;1/1/1990,"",IF(Main[[#This Row],[Class]]="C",WORKDAY(Main[[#This Row],[Tech Start Date]],9),IF(Main[[#This Row],[Class]]="B", WORKDAY(Main[[#This Row],[Tech Start Date]],6),IF(Main[[#This Row],[Class]]="A",WORKDAY(Main[[#This Row],[Tech Start Date]],2),""))))</f>
        <v>40170</v>
      </c>
      <c r="N1364" s="168">
        <f>IF(Main[[#This Row],[Tech Start Date]]&lt;1/1/1990,"",IF(Main[[#This Row],[Class]]="C",WORKDAY(Main[[#This Row],[Tech Start Date]],19),IF(Main[[#This Row],[Class]]="B", WORKDAY(Main[[#This Row],[Tech Start Date]],12),IF(Main[[#This Row],[Class]]="A",WORKDAY(Main[[#This Row],[Tech Start Date]],4),""))))</f>
        <v>40178</v>
      </c>
      <c r="O1364" s="168">
        <f>IF(Main[[#This Row],[Tech Start Date]]&lt;1/1/1990,"",IF(Main[[#This Row],[Class]]="C",WORKDAY(Main[[#This Row],[Tech Start Date]],23),IF(Main[[#This Row],[Class]]="B", WORKDAY(Main[[#This Row],[Tech Start Date]],15),IF(Main[[#This Row],[Class]]="A",WORKDAY(Main[[#This Row],[Tech Start Date]],5),""))))</f>
        <v>40183</v>
      </c>
      <c r="P1364" s="168">
        <f>IF(Main[[#This Row],[Tech Start Date]]&lt;1/1/1990,"",IF(Main[[#This Row],[Class]]="C",WORKDAY(Main[[#This Row],[Tech Start Date]],28),IF(Main[[#This Row],[Class]]="B", WORKDAY(Main[[#This Row],[Tech Start Date]],19),IF(Main[[#This Row],[Class]]="A",WORKDAY(Main[[#This Row],[Tech Start Date]],9),""))))</f>
        <v>40189</v>
      </c>
      <c r="Q1364" s="161">
        <v>40531</v>
      </c>
      <c r="R1364" s="161">
        <v>40531</v>
      </c>
      <c r="S1364" s="128" t="s">
        <v>11</v>
      </c>
      <c r="T1364" s="172" t="s">
        <v>4</v>
      </c>
      <c r="U1364" s="128" t="s">
        <v>14</v>
      </c>
      <c r="V1364" s="128" t="s">
        <v>1920</v>
      </c>
      <c r="W1364" s="128" t="s">
        <v>1925</v>
      </c>
      <c r="X1364" s="128" t="s">
        <v>2922</v>
      </c>
      <c r="Y1364" s="128" t="s">
        <v>4</v>
      </c>
      <c r="Z1364" s="128" t="s">
        <v>4</v>
      </c>
      <c r="AA1364" s="146" t="s">
        <v>2922</v>
      </c>
    </row>
    <row r="1365" spans="1:27" ht="18.600000000000001" customHeight="1">
      <c r="A1365" s="142" t="str">
        <f>IF(priority(Main[[#This Row],[Comments]])&lt;&gt;0, priority(Main[[#This Row],[Comments]]),"")</f>
        <v/>
      </c>
      <c r="B1365" s="127" t="s">
        <v>1810</v>
      </c>
      <c r="C1365" s="128" t="s">
        <v>31</v>
      </c>
      <c r="D1365" s="159" t="s">
        <v>856</v>
      </c>
      <c r="E1365" s="161"/>
      <c r="F1365" s="161">
        <v>40192</v>
      </c>
      <c r="G1365" s="163" t="str">
        <f>IF(stdProdLT(Main[[#This Row],[Comments]])=0.1,"N/A",IF(stdProdLT(Main[[#This Row],[Comments]])=0,"",stdProdLT(Main[[#This Row],[Comments]])))</f>
        <v/>
      </c>
      <c r="H1365" s="165">
        <f>IF(AND(Main[[#This Row],[In Stock Date]]&lt;&gt;"",Main[[#This Row],[Revised Due Date]]&lt;&gt;""),Main[[#This Row],[In Stock Date]]-Main[[#This Row],[Revised Due Date]],"")</f>
        <v>0</v>
      </c>
      <c r="I1365" s="128" t="s">
        <v>767</v>
      </c>
      <c r="J1365" s="128" t="s">
        <v>4</v>
      </c>
      <c r="K1365" s="128" t="s">
        <v>4</v>
      </c>
      <c r="L1365" s="161">
        <v>40163</v>
      </c>
      <c r="M1365" s="168" t="str">
        <f>IF(Main[[#This Row],[Tech Start Date]]&lt;1/1/1990,"",IF(Main[[#This Row],[Class]]="C",WORKDAY(Main[[#This Row],[Tech Start Date]],9),IF(Main[[#This Row],[Class]]="B", WORKDAY(Main[[#This Row],[Tech Start Date]],6),IF(Main[[#This Row],[Class]]="A",WORKDAY(Main[[#This Row],[Tech Start Date]],2),""))))</f>
        <v/>
      </c>
      <c r="N1365" s="168" t="str">
        <f>IF(Main[[#This Row],[Tech Start Date]]&lt;1/1/1990,"",IF(Main[[#This Row],[Class]]="C",WORKDAY(Main[[#This Row],[Tech Start Date]],19),IF(Main[[#This Row],[Class]]="B", WORKDAY(Main[[#This Row],[Tech Start Date]],12),IF(Main[[#This Row],[Class]]="A",WORKDAY(Main[[#This Row],[Tech Start Date]],4),""))))</f>
        <v/>
      </c>
      <c r="O1365" s="168" t="str">
        <f>IF(Main[[#This Row],[Tech Start Date]]&lt;1/1/1990,"",IF(Main[[#This Row],[Class]]="C",WORKDAY(Main[[#This Row],[Tech Start Date]],23),IF(Main[[#This Row],[Class]]="B", WORKDAY(Main[[#This Row],[Tech Start Date]],15),IF(Main[[#This Row],[Class]]="A",WORKDAY(Main[[#This Row],[Tech Start Date]],5),""))))</f>
        <v/>
      </c>
      <c r="P1365" s="168" t="str">
        <f>IF(Main[[#This Row],[Tech Start Date]]&lt;1/1/1990,"",IF(Main[[#This Row],[Class]]="C",WORKDAY(Main[[#This Row],[Tech Start Date]],28),IF(Main[[#This Row],[Class]]="B", WORKDAY(Main[[#This Row],[Tech Start Date]],19),IF(Main[[#This Row],[Class]]="A",WORKDAY(Main[[#This Row],[Tech Start Date]],9),""))))</f>
        <v/>
      </c>
      <c r="Q1365" s="161">
        <v>40226</v>
      </c>
      <c r="R1365" s="161">
        <v>40192</v>
      </c>
      <c r="S1365" s="128" t="s">
        <v>11</v>
      </c>
      <c r="T1365" s="172" t="s">
        <v>4</v>
      </c>
      <c r="U1365" s="128" t="s">
        <v>14</v>
      </c>
      <c r="V1365" s="128" t="s">
        <v>1927</v>
      </c>
      <c r="W1365" s="128" t="s">
        <v>1923</v>
      </c>
      <c r="X1365" s="128" t="s">
        <v>2877</v>
      </c>
      <c r="Y1365" s="128" t="s">
        <v>4</v>
      </c>
      <c r="Z1365" s="128" t="s">
        <v>4</v>
      </c>
      <c r="AA1365" s="146" t="s">
        <v>2877</v>
      </c>
    </row>
    <row r="1366" spans="1:27" ht="18.600000000000001" customHeight="1">
      <c r="A1366" s="142" t="str">
        <f>IF(priority(Main[[#This Row],[Comments]])&lt;&gt;0, priority(Main[[#This Row],[Comments]]),"")</f>
        <v/>
      </c>
      <c r="B1366" s="127" t="s">
        <v>1809</v>
      </c>
      <c r="C1366" s="128" t="s">
        <v>31</v>
      </c>
      <c r="D1366" s="159" t="s">
        <v>855</v>
      </c>
      <c r="E1366" s="161"/>
      <c r="F1366" s="161">
        <v>40192</v>
      </c>
      <c r="G1366" s="163" t="str">
        <f>IF(stdProdLT(Main[[#This Row],[Comments]])=0.1,"N/A",IF(stdProdLT(Main[[#This Row],[Comments]])=0,"",stdProdLT(Main[[#This Row],[Comments]])))</f>
        <v/>
      </c>
      <c r="H1366" s="165">
        <f>IF(AND(Main[[#This Row],[In Stock Date]]&lt;&gt;"",Main[[#This Row],[Revised Due Date]]&lt;&gt;""),Main[[#This Row],[In Stock Date]]-Main[[#This Row],[Revised Due Date]],"")</f>
        <v>0</v>
      </c>
      <c r="I1366" s="128" t="s">
        <v>767</v>
      </c>
      <c r="J1366" s="128" t="s">
        <v>4</v>
      </c>
      <c r="K1366" s="128" t="s">
        <v>4</v>
      </c>
      <c r="L1366" s="161">
        <v>40163</v>
      </c>
      <c r="M1366" s="168" t="str">
        <f>IF(Main[[#This Row],[Tech Start Date]]&lt;1/1/1990,"",IF(Main[[#This Row],[Class]]="C",WORKDAY(Main[[#This Row],[Tech Start Date]],9),IF(Main[[#This Row],[Class]]="B", WORKDAY(Main[[#This Row],[Tech Start Date]],6),IF(Main[[#This Row],[Class]]="A",WORKDAY(Main[[#This Row],[Tech Start Date]],2),""))))</f>
        <v/>
      </c>
      <c r="N1366" s="168" t="str">
        <f>IF(Main[[#This Row],[Tech Start Date]]&lt;1/1/1990,"",IF(Main[[#This Row],[Class]]="C",WORKDAY(Main[[#This Row],[Tech Start Date]],19),IF(Main[[#This Row],[Class]]="B", WORKDAY(Main[[#This Row],[Tech Start Date]],12),IF(Main[[#This Row],[Class]]="A",WORKDAY(Main[[#This Row],[Tech Start Date]],4),""))))</f>
        <v/>
      </c>
      <c r="O1366" s="168" t="str">
        <f>IF(Main[[#This Row],[Tech Start Date]]&lt;1/1/1990,"",IF(Main[[#This Row],[Class]]="C",WORKDAY(Main[[#This Row],[Tech Start Date]],23),IF(Main[[#This Row],[Class]]="B", WORKDAY(Main[[#This Row],[Tech Start Date]],15),IF(Main[[#This Row],[Class]]="A",WORKDAY(Main[[#This Row],[Tech Start Date]],5),""))))</f>
        <v/>
      </c>
      <c r="P1366" s="168" t="str">
        <f>IF(Main[[#This Row],[Tech Start Date]]&lt;1/1/1990,"",IF(Main[[#This Row],[Class]]="C",WORKDAY(Main[[#This Row],[Tech Start Date]],28),IF(Main[[#This Row],[Class]]="B", WORKDAY(Main[[#This Row],[Tech Start Date]],19),IF(Main[[#This Row],[Class]]="A",WORKDAY(Main[[#This Row],[Tech Start Date]],9),""))))</f>
        <v/>
      </c>
      <c r="Q1366" s="161">
        <v>40226</v>
      </c>
      <c r="R1366" s="161">
        <v>40192</v>
      </c>
      <c r="S1366" s="128" t="s">
        <v>11</v>
      </c>
      <c r="T1366" s="172" t="s">
        <v>4</v>
      </c>
      <c r="U1366" s="128" t="s">
        <v>14</v>
      </c>
      <c r="V1366" s="128" t="s">
        <v>1927</v>
      </c>
      <c r="W1366" s="128" t="s">
        <v>1923</v>
      </c>
      <c r="X1366" s="128" t="s">
        <v>2877</v>
      </c>
      <c r="Y1366" s="128" t="s">
        <v>4</v>
      </c>
      <c r="Z1366" s="128" t="s">
        <v>4</v>
      </c>
      <c r="AA1366" s="146" t="s">
        <v>2877</v>
      </c>
    </row>
    <row r="1367" spans="1:27" ht="18.600000000000001" customHeight="1">
      <c r="A1367" s="142" t="str">
        <f>IF(priority(Main[[#This Row],[Comments]])&lt;&gt;0, priority(Main[[#This Row],[Comments]]),"")</f>
        <v/>
      </c>
      <c r="B1367" s="216" t="s">
        <v>1812</v>
      </c>
      <c r="C1367" s="218" t="s">
        <v>859</v>
      </c>
      <c r="D1367" s="220" t="s">
        <v>860</v>
      </c>
      <c r="E1367" s="222"/>
      <c r="F1367" s="222">
        <v>40305</v>
      </c>
      <c r="G1367" s="224" t="str">
        <f>IF(stdProdLT(Main[[#This Row],[Comments]])=0.1,"N/A",IF(stdProdLT(Main[[#This Row],[Comments]])=0,"",stdProdLT(Main[[#This Row],[Comments]])))</f>
        <v/>
      </c>
      <c r="H1367" s="226">
        <f>IF(AND(Main[[#This Row],[In Stock Date]]&lt;&gt;"",Main[[#This Row],[Revised Due Date]]&lt;&gt;""),Main[[#This Row],[In Stock Date]]-Main[[#This Row],[Revised Due Date]],"")</f>
        <v>80</v>
      </c>
      <c r="I1367" s="218" t="s">
        <v>767</v>
      </c>
      <c r="J1367" s="218" t="s">
        <v>4</v>
      </c>
      <c r="K1367" s="218" t="s">
        <v>4</v>
      </c>
      <c r="L1367" s="222">
        <v>40192</v>
      </c>
      <c r="M1367" s="228" t="str">
        <f>IF(Main[[#This Row],[Tech Start Date]]&lt;1/1/1990,"",IF(Main[[#This Row],[Class]]="C",WORKDAY(Main[[#This Row],[Tech Start Date]],9),IF(Main[[#This Row],[Class]]="B", WORKDAY(Main[[#This Row],[Tech Start Date]],6),IF(Main[[#This Row],[Class]]="A",WORKDAY(Main[[#This Row],[Tech Start Date]],2),""))))</f>
        <v/>
      </c>
      <c r="N1367" s="228" t="str">
        <f>IF(Main[[#This Row],[Tech Start Date]]&lt;1/1/1990,"",IF(Main[[#This Row],[Class]]="C",WORKDAY(Main[[#This Row],[Tech Start Date]],19),IF(Main[[#This Row],[Class]]="B", WORKDAY(Main[[#This Row],[Tech Start Date]],12),IF(Main[[#This Row],[Class]]="A",WORKDAY(Main[[#This Row],[Tech Start Date]],4),""))))</f>
        <v/>
      </c>
      <c r="O1367" s="228" t="str">
        <f>IF(Main[[#This Row],[Tech Start Date]]&lt;1/1/1990,"",IF(Main[[#This Row],[Class]]="C",WORKDAY(Main[[#This Row],[Tech Start Date]],23),IF(Main[[#This Row],[Class]]="B", WORKDAY(Main[[#This Row],[Tech Start Date]],15),IF(Main[[#This Row],[Class]]="A",WORKDAY(Main[[#This Row],[Tech Start Date]],5),""))))</f>
        <v/>
      </c>
      <c r="P1367" s="228" t="str">
        <f>IF(Main[[#This Row],[Tech Start Date]]&lt;1/1/1990,"",IF(Main[[#This Row],[Class]]="C",WORKDAY(Main[[#This Row],[Tech Start Date]],28),IF(Main[[#This Row],[Class]]="B", WORKDAY(Main[[#This Row],[Tech Start Date]],19),IF(Main[[#This Row],[Class]]="A",WORKDAY(Main[[#This Row],[Tech Start Date]],9),""))))</f>
        <v/>
      </c>
      <c r="Q1367" s="222">
        <v>40178</v>
      </c>
      <c r="R1367" s="222">
        <v>40225</v>
      </c>
      <c r="S1367" s="218" t="s">
        <v>11</v>
      </c>
      <c r="T1367" s="230" t="s">
        <v>4</v>
      </c>
      <c r="U1367" s="218" t="s">
        <v>14</v>
      </c>
      <c r="V1367" s="218" t="s">
        <v>1920</v>
      </c>
      <c r="W1367" s="218" t="s">
        <v>1925</v>
      </c>
      <c r="X1367" s="218" t="s">
        <v>2860</v>
      </c>
      <c r="Y1367" s="218" t="s">
        <v>4</v>
      </c>
      <c r="Z1367" s="218" t="s">
        <v>4</v>
      </c>
      <c r="AA1367" s="146" t="s">
        <v>2860</v>
      </c>
    </row>
    <row r="1368" spans="1:27" ht="18.600000000000001" customHeight="1">
      <c r="A1368" s="142" t="str">
        <f>IF(priority(Main[[#This Row],[Comments]])&lt;&gt;0, priority(Main[[#This Row],[Comments]]),"")</f>
        <v/>
      </c>
      <c r="B1368" s="127" t="s">
        <v>1811</v>
      </c>
      <c r="C1368" s="128" t="s">
        <v>857</v>
      </c>
      <c r="D1368" s="159" t="s">
        <v>858</v>
      </c>
      <c r="E1368" s="161"/>
      <c r="F1368" s="161">
        <v>40305</v>
      </c>
      <c r="G1368" s="163" t="str">
        <f>IF(stdProdLT(Main[[#This Row],[Comments]])=0.1,"N/A",IF(stdProdLT(Main[[#This Row],[Comments]])=0,"",stdProdLT(Main[[#This Row],[Comments]])))</f>
        <v/>
      </c>
      <c r="H1368" s="165">
        <f>IF(AND(Main[[#This Row],[In Stock Date]]&lt;&gt;"",Main[[#This Row],[Revised Due Date]]&lt;&gt;""),Main[[#This Row],[In Stock Date]]-Main[[#This Row],[Revised Due Date]],"")</f>
        <v>81</v>
      </c>
      <c r="I1368" s="128" t="s">
        <v>44</v>
      </c>
      <c r="J1368" s="128" t="s">
        <v>4</v>
      </c>
      <c r="K1368" s="166" t="s">
        <v>4</v>
      </c>
      <c r="L1368" s="161">
        <v>40192</v>
      </c>
      <c r="M1368" s="168" t="str">
        <f>IF(Main[[#This Row],[Tech Start Date]]&lt;1/1/1990,"",IF(Main[[#This Row],[Class]]="C",WORKDAY(Main[[#This Row],[Tech Start Date]],9),IF(Main[[#This Row],[Class]]="B", WORKDAY(Main[[#This Row],[Tech Start Date]],6),IF(Main[[#This Row],[Class]]="A",WORKDAY(Main[[#This Row],[Tech Start Date]],2),""))))</f>
        <v/>
      </c>
      <c r="N1368" s="168" t="str">
        <f>IF(Main[[#This Row],[Tech Start Date]]&lt;1/1/1990,"",IF(Main[[#This Row],[Class]]="C",WORKDAY(Main[[#This Row],[Tech Start Date]],19),IF(Main[[#This Row],[Class]]="B", WORKDAY(Main[[#This Row],[Tech Start Date]],12),IF(Main[[#This Row],[Class]]="A",WORKDAY(Main[[#This Row],[Tech Start Date]],4),""))))</f>
        <v/>
      </c>
      <c r="O1368" s="168" t="str">
        <f>IF(Main[[#This Row],[Tech Start Date]]&lt;1/1/1990,"",IF(Main[[#This Row],[Class]]="C",WORKDAY(Main[[#This Row],[Tech Start Date]],23),IF(Main[[#This Row],[Class]]="B", WORKDAY(Main[[#This Row],[Tech Start Date]],15),IF(Main[[#This Row],[Class]]="A",WORKDAY(Main[[#This Row],[Tech Start Date]],5),""))))</f>
        <v/>
      </c>
      <c r="P1368" s="168" t="str">
        <f>IF(Main[[#This Row],[Tech Start Date]]&lt;1/1/1990,"",IF(Main[[#This Row],[Class]]="C",WORKDAY(Main[[#This Row],[Tech Start Date]],28),IF(Main[[#This Row],[Class]]="B", WORKDAY(Main[[#This Row],[Tech Start Date]],19),IF(Main[[#This Row],[Class]]="A",WORKDAY(Main[[#This Row],[Tech Start Date]],9),""))))</f>
        <v/>
      </c>
      <c r="Q1368" s="161">
        <v>40178</v>
      </c>
      <c r="R1368" s="161">
        <v>40224</v>
      </c>
      <c r="S1368" s="128" t="s">
        <v>11</v>
      </c>
      <c r="T1368" s="172" t="s">
        <v>4</v>
      </c>
      <c r="U1368" s="128" t="s">
        <v>14</v>
      </c>
      <c r="V1368" s="128" t="s">
        <v>1920</v>
      </c>
      <c r="W1368" s="128" t="s">
        <v>1925</v>
      </c>
      <c r="X1368" s="128" t="s">
        <v>2860</v>
      </c>
      <c r="Y1368" s="128" t="s">
        <v>4</v>
      </c>
      <c r="Z1368" s="128" t="s">
        <v>4</v>
      </c>
      <c r="AA1368" s="146" t="s">
        <v>2860</v>
      </c>
    </row>
    <row r="1369" spans="1:27" ht="18.600000000000001" customHeight="1">
      <c r="A1369" s="142" t="str">
        <f>IF(priority(Main[[#This Row],[Comments]])&lt;&gt;0, priority(Main[[#This Row],[Comments]]),"")</f>
        <v/>
      </c>
      <c r="B1369" s="127" t="s">
        <v>1814</v>
      </c>
      <c r="C1369" s="128" t="s">
        <v>4</v>
      </c>
      <c r="D1369" s="159" t="s">
        <v>862</v>
      </c>
      <c r="E1369" s="161"/>
      <c r="F1369" s="161"/>
      <c r="G1369" s="163" t="str">
        <f>IF(stdProdLT(Main[[#This Row],[Comments]])=0.1,"N/A",IF(stdProdLT(Main[[#This Row],[Comments]])=0,"",stdProdLT(Main[[#This Row],[Comments]])))</f>
        <v/>
      </c>
      <c r="H1369" s="165" t="str">
        <f>IF(AND(Main[[#This Row],[In Stock Date]]&lt;&gt;"",Main[[#This Row],[Revised Due Date]]&lt;&gt;""),Main[[#This Row],[In Stock Date]]-Main[[#This Row],[Revised Due Date]],"")</f>
        <v/>
      </c>
      <c r="I1369" s="128" t="s">
        <v>30</v>
      </c>
      <c r="J1369" s="128" t="s">
        <v>28</v>
      </c>
      <c r="K1369" s="128" t="s">
        <v>1924</v>
      </c>
      <c r="L1369" s="161">
        <v>40231</v>
      </c>
      <c r="M1369" s="168">
        <f>IF(Main[[#This Row],[Tech Start Date]]&lt;1/1/1990,"",IF(Main[[#This Row],[Class]]="C",WORKDAY(Main[[#This Row],[Tech Start Date]],9),IF(Main[[#This Row],[Class]]="B", WORKDAY(Main[[#This Row],[Tech Start Date]],6),IF(Main[[#This Row],[Class]]="A",WORKDAY(Main[[#This Row],[Tech Start Date]],2),""))))</f>
        <v>40239</v>
      </c>
      <c r="N1369" s="168">
        <f>IF(Main[[#This Row],[Tech Start Date]]&lt;1/1/1990,"",IF(Main[[#This Row],[Class]]="C",WORKDAY(Main[[#This Row],[Tech Start Date]],19),IF(Main[[#This Row],[Class]]="B", WORKDAY(Main[[#This Row],[Tech Start Date]],12),IF(Main[[#This Row],[Class]]="A",WORKDAY(Main[[#This Row],[Tech Start Date]],4),""))))</f>
        <v>40247</v>
      </c>
      <c r="O1369" s="168">
        <f>IF(Main[[#This Row],[Tech Start Date]]&lt;1/1/1990,"",IF(Main[[#This Row],[Class]]="C",WORKDAY(Main[[#This Row],[Tech Start Date]],23),IF(Main[[#This Row],[Class]]="B", WORKDAY(Main[[#This Row],[Tech Start Date]],15),IF(Main[[#This Row],[Class]]="A",WORKDAY(Main[[#This Row],[Tech Start Date]],5),""))))</f>
        <v>40252</v>
      </c>
      <c r="P1369" s="168">
        <f>IF(Main[[#This Row],[Tech Start Date]]&lt;1/1/1990,"",IF(Main[[#This Row],[Class]]="C",WORKDAY(Main[[#This Row],[Tech Start Date]],28),IF(Main[[#This Row],[Class]]="B", WORKDAY(Main[[#This Row],[Tech Start Date]],19),IF(Main[[#This Row],[Class]]="A",WORKDAY(Main[[#This Row],[Tech Start Date]],9),""))))</f>
        <v>40256</v>
      </c>
      <c r="Q1369" s="161">
        <v>40269</v>
      </c>
      <c r="R1369" s="161">
        <v>40246</v>
      </c>
      <c r="S1369" s="128" t="s">
        <v>6</v>
      </c>
      <c r="T1369" s="172" t="s">
        <v>4</v>
      </c>
      <c r="U1369" s="128" t="s">
        <v>14</v>
      </c>
      <c r="V1369" s="128" t="s">
        <v>1920</v>
      </c>
      <c r="W1369" s="128" t="s">
        <v>1919</v>
      </c>
      <c r="X1369" s="128" t="s">
        <v>2893</v>
      </c>
      <c r="Y1369" s="128" t="s">
        <v>3049</v>
      </c>
      <c r="Z1369" s="128" t="s">
        <v>4</v>
      </c>
      <c r="AA1369" s="146" t="s">
        <v>2893</v>
      </c>
    </row>
    <row r="1370" spans="1:27" ht="18.600000000000001" customHeight="1">
      <c r="A1370" s="142" t="str">
        <f>IF(priority(Main[[#This Row],[Comments]])&lt;&gt;0, priority(Main[[#This Row],[Comments]]),"")</f>
        <v/>
      </c>
      <c r="B1370" s="127" t="s">
        <v>1949</v>
      </c>
      <c r="C1370" s="128" t="s">
        <v>864</v>
      </c>
      <c r="D1370" s="159" t="s">
        <v>865</v>
      </c>
      <c r="E1370" s="161"/>
      <c r="F1370" s="161"/>
      <c r="G1370" s="163" t="str">
        <f>IF(stdProdLT(Main[[#This Row],[Comments]])=0.1,"N/A",IF(stdProdLT(Main[[#This Row],[Comments]])=0,"",stdProdLT(Main[[#This Row],[Comments]])))</f>
        <v/>
      </c>
      <c r="H1370" s="165" t="str">
        <f>IF(AND(Main[[#This Row],[In Stock Date]]&lt;&gt;"",Main[[#This Row],[Revised Due Date]]&lt;&gt;""),Main[[#This Row],[In Stock Date]]-Main[[#This Row],[Revised Due Date]],"")</f>
        <v/>
      </c>
      <c r="I1370" s="128" t="s">
        <v>767</v>
      </c>
      <c r="J1370" s="128" t="s">
        <v>4</v>
      </c>
      <c r="K1370" s="166" t="s">
        <v>1929</v>
      </c>
      <c r="L1370" s="161">
        <v>40231</v>
      </c>
      <c r="M1370" s="168" t="str">
        <f>IF(Main[[#This Row],[Tech Start Date]]&lt;1/1/1990,"",IF(Main[[#This Row],[Class]]="C",WORKDAY(Main[[#This Row],[Tech Start Date]],9),IF(Main[[#This Row],[Class]]="B", WORKDAY(Main[[#This Row],[Tech Start Date]],6),IF(Main[[#This Row],[Class]]="A",WORKDAY(Main[[#This Row],[Tech Start Date]],2),""))))</f>
        <v/>
      </c>
      <c r="N1370" s="168" t="str">
        <f>IF(Main[[#This Row],[Tech Start Date]]&lt;1/1/1990,"",IF(Main[[#This Row],[Class]]="C",WORKDAY(Main[[#This Row],[Tech Start Date]],19),IF(Main[[#This Row],[Class]]="B", WORKDAY(Main[[#This Row],[Tech Start Date]],12),IF(Main[[#This Row],[Class]]="A",WORKDAY(Main[[#This Row],[Tech Start Date]],4),""))))</f>
        <v/>
      </c>
      <c r="O1370" s="168" t="str">
        <f>IF(Main[[#This Row],[Tech Start Date]]&lt;1/1/1990,"",IF(Main[[#This Row],[Class]]="C",WORKDAY(Main[[#This Row],[Tech Start Date]],23),IF(Main[[#This Row],[Class]]="B", WORKDAY(Main[[#This Row],[Tech Start Date]],15),IF(Main[[#This Row],[Class]]="A",WORKDAY(Main[[#This Row],[Tech Start Date]],5),""))))</f>
        <v/>
      </c>
      <c r="P1370" s="168" t="str">
        <f>IF(Main[[#This Row],[Tech Start Date]]&lt;1/1/1990,"",IF(Main[[#This Row],[Class]]="C",WORKDAY(Main[[#This Row],[Tech Start Date]],28),IF(Main[[#This Row],[Class]]="B", WORKDAY(Main[[#This Row],[Tech Start Date]],19),IF(Main[[#This Row],[Class]]="A",WORKDAY(Main[[#This Row],[Tech Start Date]],9),""))))</f>
        <v/>
      </c>
      <c r="Q1370" s="161">
        <v>40268</v>
      </c>
      <c r="R1370" s="161">
        <v>40268</v>
      </c>
      <c r="S1370" s="128" t="s">
        <v>17</v>
      </c>
      <c r="T1370" s="172" t="s">
        <v>4</v>
      </c>
      <c r="U1370" s="128" t="s">
        <v>14</v>
      </c>
      <c r="V1370" s="128" t="s">
        <v>1920</v>
      </c>
      <c r="W1370" s="128" t="s">
        <v>1922</v>
      </c>
      <c r="X1370" s="128" t="s">
        <v>2923</v>
      </c>
      <c r="Y1370" s="128" t="s">
        <v>3149</v>
      </c>
      <c r="Z1370" s="128" t="s">
        <v>4</v>
      </c>
      <c r="AA1370" s="146" t="s">
        <v>554</v>
      </c>
    </row>
    <row r="1371" spans="1:27" ht="18.600000000000001" customHeight="1">
      <c r="A1371" s="142" t="str">
        <f>IF(priority(Main[[#This Row],[Comments]])&lt;&gt;0, priority(Main[[#This Row],[Comments]]),"")</f>
        <v/>
      </c>
      <c r="B1371" s="127" t="s">
        <v>1822</v>
      </c>
      <c r="C1371" s="128" t="s">
        <v>47</v>
      </c>
      <c r="D1371" s="159" t="s">
        <v>873</v>
      </c>
      <c r="E1371" s="161">
        <v>40220.456550925926</v>
      </c>
      <c r="F1371" s="161"/>
      <c r="G1371" s="163" t="str">
        <f>IF(stdProdLT(Main[[#This Row],[Comments]])=0.1,"N/A",IF(stdProdLT(Main[[#This Row],[Comments]])=0,"",stdProdLT(Main[[#This Row],[Comments]])))</f>
        <v/>
      </c>
      <c r="H1371" s="165" t="str">
        <f>IF(AND(Main[[#This Row],[In Stock Date]]&lt;&gt;"",Main[[#This Row],[Revised Due Date]]&lt;&gt;""),Main[[#This Row],[In Stock Date]]-Main[[#This Row],[Revised Due Date]],"")</f>
        <v/>
      </c>
      <c r="I1371" s="128" t="s">
        <v>81</v>
      </c>
      <c r="J1371" s="128" t="s">
        <v>52</v>
      </c>
      <c r="K1371" s="128" t="s">
        <v>1929</v>
      </c>
      <c r="L1371" s="161">
        <v>40231</v>
      </c>
      <c r="M1371" s="168" t="str">
        <f>IF(Main[[#This Row],[Tech Start Date]]&lt;1/1/1990,"",IF(Main[[#This Row],[Class]]="C",WORKDAY(Main[[#This Row],[Tech Start Date]],9),IF(Main[[#This Row],[Class]]="B", WORKDAY(Main[[#This Row],[Tech Start Date]],6),IF(Main[[#This Row],[Class]]="A",WORKDAY(Main[[#This Row],[Tech Start Date]],2),""))))</f>
        <v/>
      </c>
      <c r="N1371" s="168" t="str">
        <f>IF(Main[[#This Row],[Tech Start Date]]&lt;1/1/1990,"",IF(Main[[#This Row],[Class]]="C",WORKDAY(Main[[#This Row],[Tech Start Date]],19),IF(Main[[#This Row],[Class]]="B", WORKDAY(Main[[#This Row],[Tech Start Date]],12),IF(Main[[#This Row],[Class]]="A",WORKDAY(Main[[#This Row],[Tech Start Date]],4),""))))</f>
        <v/>
      </c>
      <c r="O1371" s="168" t="str">
        <f>IF(Main[[#This Row],[Tech Start Date]]&lt;1/1/1990,"",IF(Main[[#This Row],[Class]]="C",WORKDAY(Main[[#This Row],[Tech Start Date]],23),IF(Main[[#This Row],[Class]]="B", WORKDAY(Main[[#This Row],[Tech Start Date]],15),IF(Main[[#This Row],[Class]]="A",WORKDAY(Main[[#This Row],[Tech Start Date]],5),""))))</f>
        <v/>
      </c>
      <c r="P1371" s="168" t="str">
        <f>IF(Main[[#This Row],[Tech Start Date]]&lt;1/1/1990,"",IF(Main[[#This Row],[Class]]="C",WORKDAY(Main[[#This Row],[Tech Start Date]],28),IF(Main[[#This Row],[Class]]="B", WORKDAY(Main[[#This Row],[Tech Start Date]],19),IF(Main[[#This Row],[Class]]="A",WORKDAY(Main[[#This Row],[Tech Start Date]],9),""))))</f>
        <v/>
      </c>
      <c r="Q1371" s="161">
        <v>40255</v>
      </c>
      <c r="R1371" s="161">
        <v>40310</v>
      </c>
      <c r="S1371" s="128" t="s">
        <v>17</v>
      </c>
      <c r="T1371" s="172" t="s">
        <v>4</v>
      </c>
      <c r="U1371" s="128" t="s">
        <v>29</v>
      </c>
      <c r="V1371" s="128" t="s">
        <v>1927</v>
      </c>
      <c r="W1371" s="128" t="s">
        <v>1919</v>
      </c>
      <c r="X1371" s="128" t="s">
        <v>2823</v>
      </c>
      <c r="Y1371" s="128" t="s">
        <v>4</v>
      </c>
      <c r="Z1371" s="128" t="s">
        <v>44</v>
      </c>
      <c r="AA1371" s="146" t="s">
        <v>2823</v>
      </c>
    </row>
    <row r="1372" spans="1:27" ht="18.600000000000001" customHeight="1">
      <c r="A1372" s="142" t="str">
        <f>IF(priority(Main[[#This Row],[Comments]])&lt;&gt;0, priority(Main[[#This Row],[Comments]]),"")</f>
        <v/>
      </c>
      <c r="B1372" s="127" t="s">
        <v>1817</v>
      </c>
      <c r="C1372" s="128" t="s">
        <v>47</v>
      </c>
      <c r="D1372" s="159" t="s">
        <v>867</v>
      </c>
      <c r="E1372" s="161"/>
      <c r="F1372" s="161"/>
      <c r="G1372" s="163" t="str">
        <f>IF(stdProdLT(Main[[#This Row],[Comments]])=0.1,"N/A",IF(stdProdLT(Main[[#This Row],[Comments]])=0,"",stdProdLT(Main[[#This Row],[Comments]])))</f>
        <v/>
      </c>
      <c r="H1372" s="165" t="str">
        <f>IF(AND(Main[[#This Row],[In Stock Date]]&lt;&gt;"",Main[[#This Row],[Revised Due Date]]&lt;&gt;""),Main[[#This Row],[In Stock Date]]-Main[[#This Row],[Revised Due Date]],"")</f>
        <v/>
      </c>
      <c r="I1372" s="128" t="s">
        <v>431</v>
      </c>
      <c r="J1372" s="128" t="s">
        <v>4</v>
      </c>
      <c r="K1372" s="128" t="s">
        <v>1929</v>
      </c>
      <c r="L1372" s="161">
        <v>40248</v>
      </c>
      <c r="M1372" s="168" t="str">
        <f>IF(Main[[#This Row],[Tech Start Date]]&lt;1/1/1990,"",IF(Main[[#This Row],[Class]]="C",WORKDAY(Main[[#This Row],[Tech Start Date]],9),IF(Main[[#This Row],[Class]]="B", WORKDAY(Main[[#This Row],[Tech Start Date]],6),IF(Main[[#This Row],[Class]]="A",WORKDAY(Main[[#This Row],[Tech Start Date]],2),""))))</f>
        <v/>
      </c>
      <c r="N1372" s="168" t="str">
        <f>IF(Main[[#This Row],[Tech Start Date]]&lt;1/1/1990,"",IF(Main[[#This Row],[Class]]="C",WORKDAY(Main[[#This Row],[Tech Start Date]],19),IF(Main[[#This Row],[Class]]="B", WORKDAY(Main[[#This Row],[Tech Start Date]],12),IF(Main[[#This Row],[Class]]="A",WORKDAY(Main[[#This Row],[Tech Start Date]],4),""))))</f>
        <v/>
      </c>
      <c r="O1372" s="168" t="str">
        <f>IF(Main[[#This Row],[Tech Start Date]]&lt;1/1/1990,"",IF(Main[[#This Row],[Class]]="C",WORKDAY(Main[[#This Row],[Tech Start Date]],23),IF(Main[[#This Row],[Class]]="B", WORKDAY(Main[[#This Row],[Tech Start Date]],15),IF(Main[[#This Row],[Class]]="A",WORKDAY(Main[[#This Row],[Tech Start Date]],5),""))))</f>
        <v/>
      </c>
      <c r="P1372" s="168" t="str">
        <f>IF(Main[[#This Row],[Tech Start Date]]&lt;1/1/1990,"",IF(Main[[#This Row],[Class]]="C",WORKDAY(Main[[#This Row],[Tech Start Date]],28),IF(Main[[#This Row],[Class]]="B", WORKDAY(Main[[#This Row],[Tech Start Date]],19),IF(Main[[#This Row],[Class]]="A",WORKDAY(Main[[#This Row],[Tech Start Date]],9),""))))</f>
        <v/>
      </c>
      <c r="Q1372" s="161">
        <v>40289</v>
      </c>
      <c r="R1372" s="161">
        <v>40289</v>
      </c>
      <c r="S1372" s="128" t="s">
        <v>17</v>
      </c>
      <c r="T1372" s="172" t="s">
        <v>4</v>
      </c>
      <c r="U1372" s="128" t="s">
        <v>14</v>
      </c>
      <c r="V1372" s="128" t="s">
        <v>1920</v>
      </c>
      <c r="W1372" s="128" t="s">
        <v>1923</v>
      </c>
      <c r="X1372" s="128" t="s">
        <v>530</v>
      </c>
      <c r="Y1372" s="128" t="s">
        <v>3150</v>
      </c>
      <c r="Z1372" s="128" t="s">
        <v>4</v>
      </c>
      <c r="AA1372" s="146" t="s">
        <v>530</v>
      </c>
    </row>
    <row r="1373" spans="1:27" ht="18.600000000000001" customHeight="1">
      <c r="A1373" s="142" t="str">
        <f>IF(priority(Main[[#This Row],[Comments]])&lt;&gt;0, priority(Main[[#This Row],[Comments]]),"")</f>
        <v/>
      </c>
      <c r="B1373" s="127" t="s">
        <v>1818</v>
      </c>
      <c r="C1373" s="128" t="s">
        <v>869</v>
      </c>
      <c r="D1373" s="159" t="s">
        <v>870</v>
      </c>
      <c r="E1373" s="161"/>
      <c r="F1373" s="161">
        <v>40299</v>
      </c>
      <c r="G1373" s="163" t="str">
        <f>IF(stdProdLT(Main[[#This Row],[Comments]])=0.1,"N/A",IF(stdProdLT(Main[[#This Row],[Comments]])=0,"",stdProdLT(Main[[#This Row],[Comments]])))</f>
        <v/>
      </c>
      <c r="H1373" s="165">
        <f>IF(AND(Main[[#This Row],[In Stock Date]]&lt;&gt;"",Main[[#This Row],[Revised Due Date]]&lt;&gt;""),Main[[#This Row],[In Stock Date]]-Main[[#This Row],[Revised Due Date]],"")</f>
        <v>8</v>
      </c>
      <c r="I1373" s="128" t="s">
        <v>654</v>
      </c>
      <c r="J1373" s="128" t="s">
        <v>28</v>
      </c>
      <c r="K1373" s="128" t="s">
        <v>1929</v>
      </c>
      <c r="L1373" s="161">
        <v>40266</v>
      </c>
      <c r="M1373" s="168" t="str">
        <f>IF(Main[[#This Row],[Tech Start Date]]&lt;1/1/1990,"",IF(Main[[#This Row],[Class]]="C",WORKDAY(Main[[#This Row],[Tech Start Date]],9),IF(Main[[#This Row],[Class]]="B", WORKDAY(Main[[#This Row],[Tech Start Date]],6),IF(Main[[#This Row],[Class]]="A",WORKDAY(Main[[#This Row],[Tech Start Date]],2),""))))</f>
        <v/>
      </c>
      <c r="N1373" s="168" t="str">
        <f>IF(Main[[#This Row],[Tech Start Date]]&lt;1/1/1990,"",IF(Main[[#This Row],[Class]]="C",WORKDAY(Main[[#This Row],[Tech Start Date]],19),IF(Main[[#This Row],[Class]]="B", WORKDAY(Main[[#This Row],[Tech Start Date]],12),IF(Main[[#This Row],[Class]]="A",WORKDAY(Main[[#This Row],[Tech Start Date]],4),""))))</f>
        <v/>
      </c>
      <c r="O1373" s="168" t="str">
        <f>IF(Main[[#This Row],[Tech Start Date]]&lt;1/1/1990,"",IF(Main[[#This Row],[Class]]="C",WORKDAY(Main[[#This Row],[Tech Start Date]],23),IF(Main[[#This Row],[Class]]="B", WORKDAY(Main[[#This Row],[Tech Start Date]],15),IF(Main[[#This Row],[Class]]="A",WORKDAY(Main[[#This Row],[Tech Start Date]],5),""))))</f>
        <v/>
      </c>
      <c r="P1373" s="168" t="str">
        <f>IF(Main[[#This Row],[Tech Start Date]]&lt;1/1/1990,"",IF(Main[[#This Row],[Class]]="C",WORKDAY(Main[[#This Row],[Tech Start Date]],28),IF(Main[[#This Row],[Class]]="B", WORKDAY(Main[[#This Row],[Tech Start Date]],19),IF(Main[[#This Row],[Class]]="A",WORKDAY(Main[[#This Row],[Tech Start Date]],9),""))))</f>
        <v/>
      </c>
      <c r="Q1373" s="161">
        <v>40299</v>
      </c>
      <c r="R1373" s="161">
        <v>40291</v>
      </c>
      <c r="S1373" s="128" t="s">
        <v>17</v>
      </c>
      <c r="T1373" s="172" t="s">
        <v>4</v>
      </c>
      <c r="U1373" s="128" t="s">
        <v>14</v>
      </c>
      <c r="V1373" s="128" t="s">
        <v>1927</v>
      </c>
      <c r="W1373" s="128" t="s">
        <v>1922</v>
      </c>
      <c r="X1373" s="128" t="s">
        <v>530</v>
      </c>
      <c r="Y1373" s="128" t="s">
        <v>3150</v>
      </c>
      <c r="Z1373" s="128" t="s">
        <v>654</v>
      </c>
      <c r="AA1373" s="146" t="s">
        <v>530</v>
      </c>
    </row>
    <row r="1374" spans="1:27" ht="18.600000000000001" customHeight="1">
      <c r="A1374" s="142" t="str">
        <f>IF(priority(Main[[#This Row],[Comments]])&lt;&gt;0, priority(Main[[#This Row],[Comments]]),"")</f>
        <v/>
      </c>
      <c r="B1374" s="127" t="s">
        <v>1821</v>
      </c>
      <c r="C1374" s="128" t="s">
        <v>4</v>
      </c>
      <c r="D1374" s="159" t="s">
        <v>872</v>
      </c>
      <c r="E1374" s="161"/>
      <c r="F1374" s="161"/>
      <c r="G1374" s="163" t="str">
        <f>IF(stdProdLT(Main[[#This Row],[Comments]])=0.1,"N/A",IF(stdProdLT(Main[[#This Row],[Comments]])=0,"",stdProdLT(Main[[#This Row],[Comments]])))</f>
        <v/>
      </c>
      <c r="H1374" s="165" t="str">
        <f>IF(AND(Main[[#This Row],[In Stock Date]]&lt;&gt;"",Main[[#This Row],[Revised Due Date]]&lt;&gt;""),Main[[#This Row],[In Stock Date]]-Main[[#This Row],[Revised Due Date]],"")</f>
        <v/>
      </c>
      <c r="I1374" s="128" t="s">
        <v>399</v>
      </c>
      <c r="J1374" s="128" t="s">
        <v>75</v>
      </c>
      <c r="K1374" s="166" t="s">
        <v>1926</v>
      </c>
      <c r="L1374" s="161">
        <v>40288</v>
      </c>
      <c r="M1374" s="168">
        <f>IF(Main[[#This Row],[Tech Start Date]]&lt;1/1/1990,"",IF(Main[[#This Row],[Class]]="C",WORKDAY(Main[[#This Row],[Tech Start Date]],9),IF(Main[[#This Row],[Class]]="B", WORKDAY(Main[[#This Row],[Tech Start Date]],6),IF(Main[[#This Row],[Class]]="A",WORKDAY(Main[[#This Row],[Tech Start Date]],2),""))))</f>
        <v>40290</v>
      </c>
      <c r="N1374" s="168">
        <f>IF(Main[[#This Row],[Tech Start Date]]&lt;1/1/1990,"",IF(Main[[#This Row],[Class]]="C",WORKDAY(Main[[#This Row],[Tech Start Date]],19),IF(Main[[#This Row],[Class]]="B", WORKDAY(Main[[#This Row],[Tech Start Date]],12),IF(Main[[#This Row],[Class]]="A",WORKDAY(Main[[#This Row],[Tech Start Date]],4),""))))</f>
        <v>40294</v>
      </c>
      <c r="O1374" s="168">
        <f>IF(Main[[#This Row],[Tech Start Date]]&lt;1/1/1990,"",IF(Main[[#This Row],[Class]]="C",WORKDAY(Main[[#This Row],[Tech Start Date]],23),IF(Main[[#This Row],[Class]]="B", WORKDAY(Main[[#This Row],[Tech Start Date]],15),IF(Main[[#This Row],[Class]]="A",WORKDAY(Main[[#This Row],[Tech Start Date]],5),""))))</f>
        <v>40295</v>
      </c>
      <c r="P1374" s="168">
        <f>IF(Main[[#This Row],[Tech Start Date]]&lt;1/1/1990,"",IF(Main[[#This Row],[Class]]="C",WORKDAY(Main[[#This Row],[Tech Start Date]],28),IF(Main[[#This Row],[Class]]="B", WORKDAY(Main[[#This Row],[Tech Start Date]],19),IF(Main[[#This Row],[Class]]="A",WORKDAY(Main[[#This Row],[Tech Start Date]],9),""))))</f>
        <v>40301</v>
      </c>
      <c r="Q1374" s="161"/>
      <c r="R1374" s="161">
        <v>40309</v>
      </c>
      <c r="S1374" s="128" t="s">
        <v>6</v>
      </c>
      <c r="T1374" s="172" t="s">
        <v>4</v>
      </c>
      <c r="U1374" s="128" t="s">
        <v>14</v>
      </c>
      <c r="V1374" s="128" t="s">
        <v>1920</v>
      </c>
      <c r="W1374" s="128" t="s">
        <v>4</v>
      </c>
      <c r="X1374" s="128" t="s">
        <v>2842</v>
      </c>
      <c r="Y1374" s="128" t="s">
        <v>2971</v>
      </c>
      <c r="Z1374" s="128" t="s">
        <v>306</v>
      </c>
      <c r="AA1374" s="146" t="s">
        <v>2842</v>
      </c>
    </row>
    <row r="1375" spans="1:27" ht="18.600000000000001" customHeight="1">
      <c r="A1375" s="142" t="str">
        <f>IF(priority(Main[[#This Row],[Comments]])&lt;&gt;0, priority(Main[[#This Row],[Comments]]),"")</f>
        <v/>
      </c>
      <c r="B1375" s="127" t="s">
        <v>1823</v>
      </c>
      <c r="C1375" s="128" t="s">
        <v>4</v>
      </c>
      <c r="D1375" s="159" t="s">
        <v>874</v>
      </c>
      <c r="E1375" s="161"/>
      <c r="F1375" s="161"/>
      <c r="G1375" s="163" t="str">
        <f>IF(stdProdLT(Main[[#This Row],[Comments]])=0.1,"N/A",IF(stdProdLT(Main[[#This Row],[Comments]])=0,"",stdProdLT(Main[[#This Row],[Comments]])))</f>
        <v/>
      </c>
      <c r="H1375" s="165" t="str">
        <f>IF(AND(Main[[#This Row],[In Stock Date]]&lt;&gt;"",Main[[#This Row],[Revised Due Date]]&lt;&gt;""),Main[[#This Row],[In Stock Date]]-Main[[#This Row],[Revised Due Date]],"")</f>
        <v/>
      </c>
      <c r="I1375" s="128" t="s">
        <v>767</v>
      </c>
      <c r="J1375" s="128" t="s">
        <v>4</v>
      </c>
      <c r="K1375" s="128" t="s">
        <v>1924</v>
      </c>
      <c r="L1375" s="161">
        <v>40291</v>
      </c>
      <c r="M1375" s="168">
        <f>IF(Main[[#This Row],[Tech Start Date]]&lt;1/1/1990,"",IF(Main[[#This Row],[Class]]="C",WORKDAY(Main[[#This Row],[Tech Start Date]],9),IF(Main[[#This Row],[Class]]="B", WORKDAY(Main[[#This Row],[Tech Start Date]],6),IF(Main[[#This Row],[Class]]="A",WORKDAY(Main[[#This Row],[Tech Start Date]],2),""))))</f>
        <v>40301</v>
      </c>
      <c r="N1375" s="168">
        <f>IF(Main[[#This Row],[Tech Start Date]]&lt;1/1/1990,"",IF(Main[[#This Row],[Class]]="C",WORKDAY(Main[[#This Row],[Tech Start Date]],19),IF(Main[[#This Row],[Class]]="B", WORKDAY(Main[[#This Row],[Tech Start Date]],12),IF(Main[[#This Row],[Class]]="A",WORKDAY(Main[[#This Row],[Tech Start Date]],4),""))))</f>
        <v>40309</v>
      </c>
      <c r="O1375" s="168">
        <f>IF(Main[[#This Row],[Tech Start Date]]&lt;1/1/1990,"",IF(Main[[#This Row],[Class]]="C",WORKDAY(Main[[#This Row],[Tech Start Date]],23),IF(Main[[#This Row],[Class]]="B", WORKDAY(Main[[#This Row],[Tech Start Date]],15),IF(Main[[#This Row],[Class]]="A",WORKDAY(Main[[#This Row],[Tech Start Date]],5),""))))</f>
        <v>40312</v>
      </c>
      <c r="P1375" s="168">
        <f>IF(Main[[#This Row],[Tech Start Date]]&lt;1/1/1990,"",IF(Main[[#This Row],[Class]]="C",WORKDAY(Main[[#This Row],[Tech Start Date]],28),IF(Main[[#This Row],[Class]]="B", WORKDAY(Main[[#This Row],[Tech Start Date]],19),IF(Main[[#This Row],[Class]]="A",WORKDAY(Main[[#This Row],[Tech Start Date]],9),""))))</f>
        <v>40318</v>
      </c>
      <c r="Q1375" s="161">
        <v>40312</v>
      </c>
      <c r="R1375" s="161">
        <v>40312</v>
      </c>
      <c r="S1375" s="128" t="s">
        <v>6</v>
      </c>
      <c r="T1375" s="172" t="s">
        <v>4</v>
      </c>
      <c r="U1375" s="128" t="s">
        <v>14</v>
      </c>
      <c r="V1375" s="128" t="s">
        <v>1920</v>
      </c>
      <c r="W1375" s="128" t="s">
        <v>4</v>
      </c>
      <c r="X1375" s="128" t="s">
        <v>2924</v>
      </c>
      <c r="Y1375" s="128" t="s">
        <v>3151</v>
      </c>
      <c r="Z1375" s="128" t="s">
        <v>4</v>
      </c>
      <c r="AA1375" s="146" t="s">
        <v>2924</v>
      </c>
    </row>
    <row r="1376" spans="1:27" ht="18.600000000000001" customHeight="1">
      <c r="A1376" s="142" t="str">
        <f>IF(priority(Main[[#This Row],[Comments]])&lt;&gt;0, priority(Main[[#This Row],[Comments]]),"")</f>
        <v/>
      </c>
      <c r="B1376" s="127" t="s">
        <v>1825</v>
      </c>
      <c r="C1376" s="128" t="s">
        <v>4</v>
      </c>
      <c r="D1376" s="159" t="s">
        <v>2135</v>
      </c>
      <c r="E1376" s="161"/>
      <c r="F1376" s="161"/>
      <c r="G1376" s="163" t="str">
        <f>IF(stdProdLT(Main[[#This Row],[Comments]])=0.1,"N/A",IF(stdProdLT(Main[[#This Row],[Comments]])=0,"",stdProdLT(Main[[#This Row],[Comments]])))</f>
        <v/>
      </c>
      <c r="H1376" s="165" t="str">
        <f>IF(AND(Main[[#This Row],[In Stock Date]]&lt;&gt;"",Main[[#This Row],[Revised Due Date]]&lt;&gt;""),Main[[#This Row],[In Stock Date]]-Main[[#This Row],[Revised Due Date]],"")</f>
        <v/>
      </c>
      <c r="I1376" s="128" t="s">
        <v>530</v>
      </c>
      <c r="J1376" s="128" t="s">
        <v>28</v>
      </c>
      <c r="K1376" s="128" t="s">
        <v>1924</v>
      </c>
      <c r="L1376" s="161">
        <v>40294</v>
      </c>
      <c r="M1376" s="168">
        <f>IF(Main[[#This Row],[Tech Start Date]]&lt;1/1/1990,"",IF(Main[[#This Row],[Class]]="C",WORKDAY(Main[[#This Row],[Tech Start Date]],9),IF(Main[[#This Row],[Class]]="B", WORKDAY(Main[[#This Row],[Tech Start Date]],6),IF(Main[[#This Row],[Class]]="A",WORKDAY(Main[[#This Row],[Tech Start Date]],2),""))))</f>
        <v>40302</v>
      </c>
      <c r="N1376" s="168">
        <f>IF(Main[[#This Row],[Tech Start Date]]&lt;1/1/1990,"",IF(Main[[#This Row],[Class]]="C",WORKDAY(Main[[#This Row],[Tech Start Date]],19),IF(Main[[#This Row],[Class]]="B", WORKDAY(Main[[#This Row],[Tech Start Date]],12),IF(Main[[#This Row],[Class]]="A",WORKDAY(Main[[#This Row],[Tech Start Date]],4),""))))</f>
        <v>40310</v>
      </c>
      <c r="O1376" s="168">
        <f>IF(Main[[#This Row],[Tech Start Date]]&lt;1/1/1990,"",IF(Main[[#This Row],[Class]]="C",WORKDAY(Main[[#This Row],[Tech Start Date]],23),IF(Main[[#This Row],[Class]]="B", WORKDAY(Main[[#This Row],[Tech Start Date]],15),IF(Main[[#This Row],[Class]]="A",WORKDAY(Main[[#This Row],[Tech Start Date]],5),""))))</f>
        <v>40315</v>
      </c>
      <c r="P1376" s="168">
        <f>IF(Main[[#This Row],[Tech Start Date]]&lt;1/1/1990,"",IF(Main[[#This Row],[Class]]="C",WORKDAY(Main[[#This Row],[Tech Start Date]],28),IF(Main[[#This Row],[Class]]="B", WORKDAY(Main[[#This Row],[Tech Start Date]],19),IF(Main[[#This Row],[Class]]="A",WORKDAY(Main[[#This Row],[Tech Start Date]],9),""))))</f>
        <v>40319</v>
      </c>
      <c r="Q1376" s="161">
        <v>40329</v>
      </c>
      <c r="R1376" s="161">
        <v>40326</v>
      </c>
      <c r="S1376" s="128" t="s">
        <v>6</v>
      </c>
      <c r="T1376" s="172" t="s">
        <v>4</v>
      </c>
      <c r="U1376" s="128" t="s">
        <v>14</v>
      </c>
      <c r="V1376" s="128" t="s">
        <v>1920</v>
      </c>
      <c r="W1376" s="128" t="s">
        <v>1921</v>
      </c>
      <c r="X1376" s="128" t="s">
        <v>2924</v>
      </c>
      <c r="Y1376" s="128" t="s">
        <v>3151</v>
      </c>
      <c r="Z1376" s="128" t="s">
        <v>30</v>
      </c>
      <c r="AA1376" s="146" t="s">
        <v>2924</v>
      </c>
    </row>
    <row r="1377" spans="1:27" ht="18.600000000000001" customHeight="1">
      <c r="A1377" s="142" t="str">
        <f>IF(priority(Main[[#This Row],[Comments]])&lt;&gt;0, priority(Main[[#This Row],[Comments]]),"")</f>
        <v/>
      </c>
      <c r="B1377" s="127" t="s">
        <v>1824</v>
      </c>
      <c r="C1377" s="128" t="s">
        <v>4</v>
      </c>
      <c r="D1377" s="159" t="s">
        <v>875</v>
      </c>
      <c r="E1377" s="161"/>
      <c r="F1377" s="161"/>
      <c r="G1377" s="163" t="str">
        <f>IF(stdProdLT(Main[[#This Row],[Comments]])=0.1,"N/A",IF(stdProdLT(Main[[#This Row],[Comments]])=0,"",stdProdLT(Main[[#This Row],[Comments]])))</f>
        <v/>
      </c>
      <c r="H1377" s="165" t="str">
        <f>IF(AND(Main[[#This Row],[In Stock Date]]&lt;&gt;"",Main[[#This Row],[Revised Due Date]]&lt;&gt;""),Main[[#This Row],[In Stock Date]]-Main[[#This Row],[Revised Due Date]],"")</f>
        <v/>
      </c>
      <c r="I1377" s="128" t="s">
        <v>489</v>
      </c>
      <c r="J1377" s="128" t="s">
        <v>4</v>
      </c>
      <c r="K1377" s="128" t="s">
        <v>1924</v>
      </c>
      <c r="L1377" s="161">
        <v>40295</v>
      </c>
      <c r="M1377" s="168">
        <f>IF(Main[[#This Row],[Tech Start Date]]&lt;1/1/1990,"",IF(Main[[#This Row],[Class]]="C",WORKDAY(Main[[#This Row],[Tech Start Date]],9),IF(Main[[#This Row],[Class]]="B", WORKDAY(Main[[#This Row],[Tech Start Date]],6),IF(Main[[#This Row],[Class]]="A",WORKDAY(Main[[#This Row],[Tech Start Date]],2),""))))</f>
        <v>40303</v>
      </c>
      <c r="N1377" s="168">
        <f>IF(Main[[#This Row],[Tech Start Date]]&lt;1/1/1990,"",IF(Main[[#This Row],[Class]]="C",WORKDAY(Main[[#This Row],[Tech Start Date]],19),IF(Main[[#This Row],[Class]]="B", WORKDAY(Main[[#This Row],[Tech Start Date]],12),IF(Main[[#This Row],[Class]]="A",WORKDAY(Main[[#This Row],[Tech Start Date]],4),""))))</f>
        <v>40311</v>
      </c>
      <c r="O1377" s="168">
        <f>IF(Main[[#This Row],[Tech Start Date]]&lt;1/1/1990,"",IF(Main[[#This Row],[Class]]="C",WORKDAY(Main[[#This Row],[Tech Start Date]],23),IF(Main[[#This Row],[Class]]="B", WORKDAY(Main[[#This Row],[Tech Start Date]],15),IF(Main[[#This Row],[Class]]="A",WORKDAY(Main[[#This Row],[Tech Start Date]],5),""))))</f>
        <v>40316</v>
      </c>
      <c r="P1377" s="168">
        <f>IF(Main[[#This Row],[Tech Start Date]]&lt;1/1/1990,"",IF(Main[[#This Row],[Class]]="C",WORKDAY(Main[[#This Row],[Tech Start Date]],28),IF(Main[[#This Row],[Class]]="B", WORKDAY(Main[[#This Row],[Tech Start Date]],19),IF(Main[[#This Row],[Class]]="A",WORKDAY(Main[[#This Row],[Tech Start Date]],9),""))))</f>
        <v>40322</v>
      </c>
      <c r="Q1377" s="161">
        <v>40329</v>
      </c>
      <c r="R1377" s="161">
        <v>40325</v>
      </c>
      <c r="S1377" s="128" t="s">
        <v>6</v>
      </c>
      <c r="T1377" s="172" t="s">
        <v>4</v>
      </c>
      <c r="U1377" s="128" t="s">
        <v>14</v>
      </c>
      <c r="V1377" s="128" t="s">
        <v>1920</v>
      </c>
      <c r="W1377" s="128" t="s">
        <v>4</v>
      </c>
      <c r="X1377" s="128" t="s">
        <v>2924</v>
      </c>
      <c r="Y1377" s="128" t="s">
        <v>3151</v>
      </c>
      <c r="Z1377" s="128" t="s">
        <v>975</v>
      </c>
      <c r="AA1377" s="146" t="s">
        <v>2924</v>
      </c>
    </row>
    <row r="1378" spans="1:27" ht="18.600000000000001" customHeight="1">
      <c r="A1378" s="142" t="str">
        <f>IF(priority(Main[[#This Row],[Comments]])&lt;&gt;0, priority(Main[[#This Row],[Comments]]),"")</f>
        <v/>
      </c>
      <c r="B1378" s="127" t="s">
        <v>1874</v>
      </c>
      <c r="C1378" s="128" t="s">
        <v>33</v>
      </c>
      <c r="D1378" s="159" t="s">
        <v>928</v>
      </c>
      <c r="E1378" s="161">
        <v>40314.31863425926</v>
      </c>
      <c r="F1378" s="161">
        <v>40489</v>
      </c>
      <c r="G1378" s="163" t="str">
        <f>IF(stdProdLT(Main[[#This Row],[Comments]])=0.1,"N/A",IF(stdProdLT(Main[[#This Row],[Comments]])=0,"",stdProdLT(Main[[#This Row],[Comments]])))</f>
        <v/>
      </c>
      <c r="H1378" s="165">
        <f>IF(AND(Main[[#This Row],[In Stock Date]]&lt;&gt;"",Main[[#This Row],[Revised Due Date]]&lt;&gt;""),Main[[#This Row],[In Stock Date]]-Main[[#This Row],[Revised Due Date]],"")</f>
        <v>-373</v>
      </c>
      <c r="I1378" s="128" t="s">
        <v>163</v>
      </c>
      <c r="J1378" s="128" t="s">
        <v>4</v>
      </c>
      <c r="K1378" s="166" t="s">
        <v>1929</v>
      </c>
      <c r="L1378" s="161">
        <v>40331</v>
      </c>
      <c r="M1378" s="168" t="str">
        <f>IF(Main[[#This Row],[Tech Start Date]]&lt;1/1/1990,"",IF(Main[[#This Row],[Class]]="C",WORKDAY(Main[[#This Row],[Tech Start Date]],9),IF(Main[[#This Row],[Class]]="B", WORKDAY(Main[[#This Row],[Tech Start Date]],6),IF(Main[[#This Row],[Class]]="A",WORKDAY(Main[[#This Row],[Tech Start Date]],2),""))))</f>
        <v/>
      </c>
      <c r="N1378" s="168" t="str">
        <f>IF(Main[[#This Row],[Tech Start Date]]&lt;1/1/1990,"",IF(Main[[#This Row],[Class]]="C",WORKDAY(Main[[#This Row],[Tech Start Date]],19),IF(Main[[#This Row],[Class]]="B", WORKDAY(Main[[#This Row],[Tech Start Date]],12),IF(Main[[#This Row],[Class]]="A",WORKDAY(Main[[#This Row],[Tech Start Date]],4),""))))</f>
        <v/>
      </c>
      <c r="O1378" s="168" t="str">
        <f>IF(Main[[#This Row],[Tech Start Date]]&lt;1/1/1990,"",IF(Main[[#This Row],[Class]]="C",WORKDAY(Main[[#This Row],[Tech Start Date]],23),IF(Main[[#This Row],[Class]]="B", WORKDAY(Main[[#This Row],[Tech Start Date]],15),IF(Main[[#This Row],[Class]]="A",WORKDAY(Main[[#This Row],[Tech Start Date]],5),""))))</f>
        <v/>
      </c>
      <c r="P1378" s="168" t="str">
        <f>IF(Main[[#This Row],[Tech Start Date]]&lt;1/1/1990,"",IF(Main[[#This Row],[Class]]="C",WORKDAY(Main[[#This Row],[Tech Start Date]],28),IF(Main[[#This Row],[Class]]="B", WORKDAY(Main[[#This Row],[Tech Start Date]],19),IF(Main[[#This Row],[Class]]="A",WORKDAY(Main[[#This Row],[Tech Start Date]],9),""))))</f>
        <v/>
      </c>
      <c r="Q1378" s="161">
        <v>40349</v>
      </c>
      <c r="R1378" s="161">
        <v>40862</v>
      </c>
      <c r="S1378" s="128" t="s">
        <v>17</v>
      </c>
      <c r="T1378" s="172" t="s">
        <v>4</v>
      </c>
      <c r="U1378" s="128" t="s">
        <v>29</v>
      </c>
      <c r="V1378" s="128" t="s">
        <v>1920</v>
      </c>
      <c r="W1378" s="128" t="s">
        <v>1922</v>
      </c>
      <c r="X1378" s="128" t="s">
        <v>2925</v>
      </c>
      <c r="Y1378" s="128" t="s">
        <v>4</v>
      </c>
      <c r="Z1378" s="128" t="s">
        <v>415</v>
      </c>
      <c r="AA1378" s="146" t="s">
        <v>2925</v>
      </c>
    </row>
    <row r="1379" spans="1:27" ht="18.600000000000001" customHeight="1">
      <c r="A1379" s="142" t="str">
        <f>IF(priority(Main[[#This Row],[Comments]])&lt;&gt;0, priority(Main[[#This Row],[Comments]]),"")</f>
        <v/>
      </c>
      <c r="B1379" s="127" t="s">
        <v>1834</v>
      </c>
      <c r="C1379" s="128" t="s">
        <v>180</v>
      </c>
      <c r="D1379" s="159" t="s">
        <v>884</v>
      </c>
      <c r="E1379" s="161"/>
      <c r="F1379" s="161">
        <v>40421</v>
      </c>
      <c r="G1379" s="163" t="str">
        <f>IF(stdProdLT(Main[[#This Row],[Comments]])=0.1,"N/A",IF(stdProdLT(Main[[#This Row],[Comments]])=0,"",stdProdLT(Main[[#This Row],[Comments]])))</f>
        <v/>
      </c>
      <c r="H1379" s="165">
        <f>IF(AND(Main[[#This Row],[In Stock Date]]&lt;&gt;"",Main[[#This Row],[Revised Due Date]]&lt;&gt;""),Main[[#This Row],[In Stock Date]]-Main[[#This Row],[Revised Due Date]],"")</f>
        <v>4</v>
      </c>
      <c r="I1379" s="128" t="s">
        <v>885</v>
      </c>
      <c r="J1379" s="128" t="s">
        <v>51</v>
      </c>
      <c r="K1379" s="128" t="s">
        <v>1926</v>
      </c>
      <c r="L1379" s="161">
        <v>40354</v>
      </c>
      <c r="M1379" s="168">
        <f>IF(Main[[#This Row],[Tech Start Date]]&lt;1/1/1990,"",IF(Main[[#This Row],[Class]]="C",WORKDAY(Main[[#This Row],[Tech Start Date]],9),IF(Main[[#This Row],[Class]]="B", WORKDAY(Main[[#This Row],[Tech Start Date]],6),IF(Main[[#This Row],[Class]]="A",WORKDAY(Main[[#This Row],[Tech Start Date]],2),""))))</f>
        <v>40358</v>
      </c>
      <c r="N1379" s="168">
        <f>IF(Main[[#This Row],[Tech Start Date]]&lt;1/1/1990,"",IF(Main[[#This Row],[Class]]="C",WORKDAY(Main[[#This Row],[Tech Start Date]],19),IF(Main[[#This Row],[Class]]="B", WORKDAY(Main[[#This Row],[Tech Start Date]],12),IF(Main[[#This Row],[Class]]="A",WORKDAY(Main[[#This Row],[Tech Start Date]],4),""))))</f>
        <v>40360</v>
      </c>
      <c r="O1379" s="168">
        <f>IF(Main[[#This Row],[Tech Start Date]]&lt;1/1/1990,"",IF(Main[[#This Row],[Class]]="C",WORKDAY(Main[[#This Row],[Tech Start Date]],23),IF(Main[[#This Row],[Class]]="B", WORKDAY(Main[[#This Row],[Tech Start Date]],15),IF(Main[[#This Row],[Class]]="A",WORKDAY(Main[[#This Row],[Tech Start Date]],5),""))))</f>
        <v>40361</v>
      </c>
      <c r="P1379" s="168">
        <f>IF(Main[[#This Row],[Tech Start Date]]&lt;1/1/1990,"",IF(Main[[#This Row],[Class]]="C",WORKDAY(Main[[#This Row],[Tech Start Date]],28),IF(Main[[#This Row],[Class]]="B", WORKDAY(Main[[#This Row],[Tech Start Date]],19),IF(Main[[#This Row],[Class]]="A",WORKDAY(Main[[#This Row],[Tech Start Date]],9),""))))</f>
        <v>40367</v>
      </c>
      <c r="Q1379" s="161">
        <v>40417</v>
      </c>
      <c r="R1379" s="161">
        <v>40417</v>
      </c>
      <c r="S1379" s="128" t="s">
        <v>11</v>
      </c>
      <c r="T1379" s="172" t="s">
        <v>4</v>
      </c>
      <c r="U1379" s="128" t="s">
        <v>14</v>
      </c>
      <c r="V1379" s="128" t="s">
        <v>1927</v>
      </c>
      <c r="W1379" s="128" t="s">
        <v>1923</v>
      </c>
      <c r="X1379" s="128" t="s">
        <v>2878</v>
      </c>
      <c r="Y1379" s="128" t="s">
        <v>3002</v>
      </c>
      <c r="Z1379" s="128" t="s">
        <v>885</v>
      </c>
      <c r="AA1379" s="146" t="s">
        <v>2878</v>
      </c>
    </row>
    <row r="1380" spans="1:27" ht="18.600000000000001" customHeight="1">
      <c r="A1380" s="142" t="str">
        <f>IF(priority(Main[[#This Row],[Comments]])&lt;&gt;0, priority(Main[[#This Row],[Comments]]),"")</f>
        <v/>
      </c>
      <c r="B1380" s="127" t="s">
        <v>1833</v>
      </c>
      <c r="C1380" s="128" t="s">
        <v>180</v>
      </c>
      <c r="D1380" s="159" t="s">
        <v>886</v>
      </c>
      <c r="E1380" s="161"/>
      <c r="F1380" s="161">
        <v>40421</v>
      </c>
      <c r="G1380" s="163" t="str">
        <f>IF(stdProdLT(Main[[#This Row],[Comments]])=0.1,"N/A",IF(stdProdLT(Main[[#This Row],[Comments]])=0,"",stdProdLT(Main[[#This Row],[Comments]])))</f>
        <v/>
      </c>
      <c r="H1380" s="165">
        <f>IF(AND(Main[[#This Row],[In Stock Date]]&lt;&gt;"",Main[[#This Row],[Revised Due Date]]&lt;&gt;""),Main[[#This Row],[In Stock Date]]-Main[[#This Row],[Revised Due Date]],"")</f>
        <v>4</v>
      </c>
      <c r="I1380" s="128" t="s">
        <v>885</v>
      </c>
      <c r="J1380" s="128" t="s">
        <v>51</v>
      </c>
      <c r="K1380" s="128" t="s">
        <v>1926</v>
      </c>
      <c r="L1380" s="161">
        <v>40354</v>
      </c>
      <c r="M1380" s="168">
        <f>IF(Main[[#This Row],[Tech Start Date]]&lt;1/1/1990,"",IF(Main[[#This Row],[Class]]="C",WORKDAY(Main[[#This Row],[Tech Start Date]],9),IF(Main[[#This Row],[Class]]="B", WORKDAY(Main[[#This Row],[Tech Start Date]],6),IF(Main[[#This Row],[Class]]="A",WORKDAY(Main[[#This Row],[Tech Start Date]],2),""))))</f>
        <v>40358</v>
      </c>
      <c r="N1380" s="168">
        <f>IF(Main[[#This Row],[Tech Start Date]]&lt;1/1/1990,"",IF(Main[[#This Row],[Class]]="C",WORKDAY(Main[[#This Row],[Tech Start Date]],19),IF(Main[[#This Row],[Class]]="B", WORKDAY(Main[[#This Row],[Tech Start Date]],12),IF(Main[[#This Row],[Class]]="A",WORKDAY(Main[[#This Row],[Tech Start Date]],4),""))))</f>
        <v>40360</v>
      </c>
      <c r="O1380" s="168">
        <f>IF(Main[[#This Row],[Tech Start Date]]&lt;1/1/1990,"",IF(Main[[#This Row],[Class]]="C",WORKDAY(Main[[#This Row],[Tech Start Date]],23),IF(Main[[#This Row],[Class]]="B", WORKDAY(Main[[#This Row],[Tech Start Date]],15),IF(Main[[#This Row],[Class]]="A",WORKDAY(Main[[#This Row],[Tech Start Date]],5),""))))</f>
        <v>40361</v>
      </c>
      <c r="P1380" s="168">
        <f>IF(Main[[#This Row],[Tech Start Date]]&lt;1/1/1990,"",IF(Main[[#This Row],[Class]]="C",WORKDAY(Main[[#This Row],[Tech Start Date]],28),IF(Main[[#This Row],[Class]]="B", WORKDAY(Main[[#This Row],[Tech Start Date]],19),IF(Main[[#This Row],[Class]]="A",WORKDAY(Main[[#This Row],[Tech Start Date]],9),""))))</f>
        <v>40367</v>
      </c>
      <c r="Q1380" s="161">
        <v>40417</v>
      </c>
      <c r="R1380" s="161">
        <v>40417</v>
      </c>
      <c r="S1380" s="128" t="s">
        <v>11</v>
      </c>
      <c r="T1380" s="172" t="s">
        <v>4</v>
      </c>
      <c r="U1380" s="128" t="s">
        <v>14</v>
      </c>
      <c r="V1380" s="128" t="s">
        <v>1927</v>
      </c>
      <c r="W1380" s="128" t="s">
        <v>1923</v>
      </c>
      <c r="X1380" s="128" t="s">
        <v>2878</v>
      </c>
      <c r="Y1380" s="128" t="s">
        <v>3002</v>
      </c>
      <c r="Z1380" s="128" t="s">
        <v>885</v>
      </c>
      <c r="AA1380" s="146" t="s">
        <v>2878</v>
      </c>
    </row>
    <row r="1381" spans="1:27" ht="18.600000000000001" customHeight="1">
      <c r="A1381" s="142" t="str">
        <f>IF(priority(Main[[#This Row],[Comments]])&lt;&gt;0, priority(Main[[#This Row],[Comments]]),"")</f>
        <v/>
      </c>
      <c r="B1381" s="127" t="s">
        <v>1831</v>
      </c>
      <c r="C1381" s="128" t="s">
        <v>881</v>
      </c>
      <c r="D1381" s="159" t="s">
        <v>882</v>
      </c>
      <c r="E1381" s="161"/>
      <c r="F1381" s="161">
        <v>40442</v>
      </c>
      <c r="G1381" s="163" t="str">
        <f>IF(stdProdLT(Main[[#This Row],[Comments]])=0.1,"N/A",IF(stdProdLT(Main[[#This Row],[Comments]])=0,"",stdProdLT(Main[[#This Row],[Comments]])))</f>
        <v/>
      </c>
      <c r="H1381" s="165">
        <f>IF(AND(Main[[#This Row],[In Stock Date]]&lt;&gt;"",Main[[#This Row],[Revised Due Date]]&lt;&gt;""),Main[[#This Row],[In Stock Date]]-Main[[#This Row],[Revised Due Date]],"")</f>
        <v>40</v>
      </c>
      <c r="I1381" s="128" t="s">
        <v>554</v>
      </c>
      <c r="J1381" s="128" t="s">
        <v>28</v>
      </c>
      <c r="K1381" s="166" t="s">
        <v>1929</v>
      </c>
      <c r="L1381" s="161">
        <v>40366</v>
      </c>
      <c r="M1381" s="168" t="str">
        <f>IF(Main[[#This Row],[Tech Start Date]]&lt;1/1/1990,"",IF(Main[[#This Row],[Class]]="C",WORKDAY(Main[[#This Row],[Tech Start Date]],9),IF(Main[[#This Row],[Class]]="B", WORKDAY(Main[[#This Row],[Tech Start Date]],6),IF(Main[[#This Row],[Class]]="A",WORKDAY(Main[[#This Row],[Tech Start Date]],2),""))))</f>
        <v/>
      </c>
      <c r="N1381" s="168" t="str">
        <f>IF(Main[[#This Row],[Tech Start Date]]&lt;1/1/1990,"",IF(Main[[#This Row],[Class]]="C",WORKDAY(Main[[#This Row],[Tech Start Date]],19),IF(Main[[#This Row],[Class]]="B", WORKDAY(Main[[#This Row],[Tech Start Date]],12),IF(Main[[#This Row],[Class]]="A",WORKDAY(Main[[#This Row],[Tech Start Date]],4),""))))</f>
        <v/>
      </c>
      <c r="O1381" s="168" t="str">
        <f>IF(Main[[#This Row],[Tech Start Date]]&lt;1/1/1990,"",IF(Main[[#This Row],[Class]]="C",WORKDAY(Main[[#This Row],[Tech Start Date]],23),IF(Main[[#This Row],[Class]]="B", WORKDAY(Main[[#This Row],[Tech Start Date]],15),IF(Main[[#This Row],[Class]]="A",WORKDAY(Main[[#This Row],[Tech Start Date]],5),""))))</f>
        <v/>
      </c>
      <c r="P1381" s="168" t="str">
        <f>IF(Main[[#This Row],[Tech Start Date]]&lt;1/1/1990,"",IF(Main[[#This Row],[Class]]="C",WORKDAY(Main[[#This Row],[Tech Start Date]],28),IF(Main[[#This Row],[Class]]="B", WORKDAY(Main[[#This Row],[Tech Start Date]],19),IF(Main[[#This Row],[Class]]="A",WORKDAY(Main[[#This Row],[Tech Start Date]],9),""))))</f>
        <v/>
      </c>
      <c r="Q1381" s="161">
        <v>40374</v>
      </c>
      <c r="R1381" s="161">
        <v>40402</v>
      </c>
      <c r="S1381" s="128" t="s">
        <v>11</v>
      </c>
      <c r="T1381" s="172" t="s">
        <v>4</v>
      </c>
      <c r="U1381" s="128" t="s">
        <v>14</v>
      </c>
      <c r="V1381" s="128" t="s">
        <v>1920</v>
      </c>
      <c r="W1381" s="128" t="s">
        <v>1922</v>
      </c>
      <c r="X1381" s="128" t="s">
        <v>2880</v>
      </c>
      <c r="Y1381" s="128" t="s">
        <v>3025</v>
      </c>
      <c r="Z1381" s="128" t="s">
        <v>4</v>
      </c>
      <c r="AA1381" s="146" t="s">
        <v>2880</v>
      </c>
    </row>
    <row r="1382" spans="1:27" ht="18.600000000000001" customHeight="1">
      <c r="A1382" s="142" t="str">
        <f>IF(priority(Main[[#This Row],[Comments]])&lt;&gt;0, priority(Main[[#This Row],[Comments]]),"")</f>
        <v/>
      </c>
      <c r="B1382" s="127" t="s">
        <v>1247</v>
      </c>
      <c r="C1382" s="128" t="s">
        <v>4</v>
      </c>
      <c r="D1382" s="159" t="s">
        <v>309</v>
      </c>
      <c r="E1382" s="161">
        <v>40395.401192129626</v>
      </c>
      <c r="F1382" s="161">
        <v>40574</v>
      </c>
      <c r="G1382" s="163" t="str">
        <f>IF(stdProdLT(Main[[#This Row],[Comments]])=0.1,"N/A",IF(stdProdLT(Main[[#This Row],[Comments]])=0,"",stdProdLT(Main[[#This Row],[Comments]])))</f>
        <v/>
      </c>
      <c r="H1382" s="165">
        <f>IF(AND(Main[[#This Row],[In Stock Date]]&lt;&gt;"",Main[[#This Row],[Revised Due Date]]&lt;&gt;""),Main[[#This Row],[In Stock Date]]-Main[[#This Row],[Revised Due Date]],"")</f>
        <v>-465</v>
      </c>
      <c r="I1382" s="128" t="s">
        <v>4</v>
      </c>
      <c r="J1382" s="128" t="s">
        <v>28</v>
      </c>
      <c r="K1382" s="166" t="s">
        <v>1929</v>
      </c>
      <c r="L1382" s="161">
        <v>40405</v>
      </c>
      <c r="M1382" s="168" t="str">
        <f>IF(Main[[#This Row],[Tech Start Date]]&lt;1/1/1990,"",IF(Main[[#This Row],[Class]]="C",WORKDAY(Main[[#This Row],[Tech Start Date]],9),IF(Main[[#This Row],[Class]]="B", WORKDAY(Main[[#This Row],[Tech Start Date]],6),IF(Main[[#This Row],[Class]]="A",WORKDAY(Main[[#This Row],[Tech Start Date]],2),""))))</f>
        <v/>
      </c>
      <c r="N1382" s="168" t="str">
        <f>IF(Main[[#This Row],[Tech Start Date]]&lt;1/1/1990,"",IF(Main[[#This Row],[Class]]="C",WORKDAY(Main[[#This Row],[Tech Start Date]],19),IF(Main[[#This Row],[Class]]="B", WORKDAY(Main[[#This Row],[Tech Start Date]],12),IF(Main[[#This Row],[Class]]="A",WORKDAY(Main[[#This Row],[Tech Start Date]],4),""))))</f>
        <v/>
      </c>
      <c r="O1382" s="168" t="str">
        <f>IF(Main[[#This Row],[Tech Start Date]]&lt;1/1/1990,"",IF(Main[[#This Row],[Class]]="C",WORKDAY(Main[[#This Row],[Tech Start Date]],23),IF(Main[[#This Row],[Class]]="B", WORKDAY(Main[[#This Row],[Tech Start Date]],15),IF(Main[[#This Row],[Class]]="A",WORKDAY(Main[[#This Row],[Tech Start Date]],5),""))))</f>
        <v/>
      </c>
      <c r="P1382" s="168" t="str">
        <f>IF(Main[[#This Row],[Tech Start Date]]&lt;1/1/1990,"",IF(Main[[#This Row],[Class]]="C",WORKDAY(Main[[#This Row],[Tech Start Date]],28),IF(Main[[#This Row],[Class]]="B", WORKDAY(Main[[#This Row],[Tech Start Date]],19),IF(Main[[#This Row],[Class]]="A",WORKDAY(Main[[#This Row],[Tech Start Date]],9),""))))</f>
        <v/>
      </c>
      <c r="Q1382" s="161"/>
      <c r="R1382" s="161">
        <v>41039</v>
      </c>
      <c r="S1382" s="128" t="s">
        <v>17</v>
      </c>
      <c r="T1382" s="172" t="s">
        <v>4</v>
      </c>
      <c r="U1382" s="128" t="s">
        <v>29</v>
      </c>
      <c r="V1382" s="128" t="s">
        <v>1920</v>
      </c>
      <c r="W1382" s="128" t="s">
        <v>1922</v>
      </c>
      <c r="X1382" s="128" t="s">
        <v>50</v>
      </c>
      <c r="Y1382" s="128" t="s">
        <v>2991</v>
      </c>
      <c r="Z1382" s="128" t="s">
        <v>970</v>
      </c>
      <c r="AA1382" s="146" t="s">
        <v>65</v>
      </c>
    </row>
    <row r="1383" spans="1:27" ht="18.600000000000001" customHeight="1">
      <c r="A1383" s="142" t="str">
        <f>IF(priority(Main[[#This Row],[Comments]])&lt;&gt;0, priority(Main[[#This Row],[Comments]]),"")</f>
        <v/>
      </c>
      <c r="B1383" s="127" t="s">
        <v>1714</v>
      </c>
      <c r="C1383" s="128" t="s">
        <v>4</v>
      </c>
      <c r="D1383" s="159" t="s">
        <v>764</v>
      </c>
      <c r="E1383" s="161">
        <v>40395.395856481482</v>
      </c>
      <c r="F1383" s="161">
        <v>40574</v>
      </c>
      <c r="G1383" s="163" t="str">
        <f>IF(stdProdLT(Main[[#This Row],[Comments]])=0.1,"N/A",IF(stdProdLT(Main[[#This Row],[Comments]])=0,"",stdProdLT(Main[[#This Row],[Comments]])))</f>
        <v/>
      </c>
      <c r="H1383" s="165">
        <f>IF(AND(Main[[#This Row],[In Stock Date]]&lt;&gt;"",Main[[#This Row],[Revised Due Date]]&lt;&gt;""),Main[[#This Row],[In Stock Date]]-Main[[#This Row],[Revised Due Date]],"")</f>
        <v>-431</v>
      </c>
      <c r="I1383" s="128" t="s">
        <v>4</v>
      </c>
      <c r="J1383" s="128" t="s">
        <v>28</v>
      </c>
      <c r="K1383" s="166" t="s">
        <v>1929</v>
      </c>
      <c r="L1383" s="161">
        <v>40405</v>
      </c>
      <c r="M1383" s="168" t="str">
        <f>IF(Main[[#This Row],[Tech Start Date]]&lt;1/1/1990,"",IF(Main[[#This Row],[Class]]="C",WORKDAY(Main[[#This Row],[Tech Start Date]],9),IF(Main[[#This Row],[Class]]="B", WORKDAY(Main[[#This Row],[Tech Start Date]],6),IF(Main[[#This Row],[Class]]="A",WORKDAY(Main[[#This Row],[Tech Start Date]],2),""))))</f>
        <v/>
      </c>
      <c r="N1383" s="168" t="str">
        <f>IF(Main[[#This Row],[Tech Start Date]]&lt;1/1/1990,"",IF(Main[[#This Row],[Class]]="C",WORKDAY(Main[[#This Row],[Tech Start Date]],19),IF(Main[[#This Row],[Class]]="B", WORKDAY(Main[[#This Row],[Tech Start Date]],12),IF(Main[[#This Row],[Class]]="A",WORKDAY(Main[[#This Row],[Tech Start Date]],4),""))))</f>
        <v/>
      </c>
      <c r="O1383" s="168" t="str">
        <f>IF(Main[[#This Row],[Tech Start Date]]&lt;1/1/1990,"",IF(Main[[#This Row],[Class]]="C",WORKDAY(Main[[#This Row],[Tech Start Date]],23),IF(Main[[#This Row],[Class]]="B", WORKDAY(Main[[#This Row],[Tech Start Date]],15),IF(Main[[#This Row],[Class]]="A",WORKDAY(Main[[#This Row],[Tech Start Date]],5),""))))</f>
        <v/>
      </c>
      <c r="P1383" s="168" t="str">
        <f>IF(Main[[#This Row],[Tech Start Date]]&lt;1/1/1990,"",IF(Main[[#This Row],[Class]]="C",WORKDAY(Main[[#This Row],[Tech Start Date]],28),IF(Main[[#This Row],[Class]]="B", WORKDAY(Main[[#This Row],[Tech Start Date]],19),IF(Main[[#This Row],[Class]]="A",WORKDAY(Main[[#This Row],[Tech Start Date]],9),""))))</f>
        <v/>
      </c>
      <c r="Q1383" s="161"/>
      <c r="R1383" s="161">
        <v>41005</v>
      </c>
      <c r="S1383" s="128" t="s">
        <v>17</v>
      </c>
      <c r="T1383" s="172" t="s">
        <v>4</v>
      </c>
      <c r="U1383" s="128" t="s">
        <v>29</v>
      </c>
      <c r="V1383" s="128" t="s">
        <v>1920</v>
      </c>
      <c r="W1383" s="128" t="s">
        <v>1922</v>
      </c>
      <c r="X1383" s="128" t="s">
        <v>50</v>
      </c>
      <c r="Y1383" s="128" t="s">
        <v>2991</v>
      </c>
      <c r="Z1383" s="128" t="s">
        <v>970</v>
      </c>
      <c r="AA1383" s="146" t="s">
        <v>65</v>
      </c>
    </row>
    <row r="1384" spans="1:27" ht="18.600000000000001" customHeight="1">
      <c r="A1384" s="142" t="str">
        <f>IF(priority(Main[[#This Row],[Comments]])&lt;&gt;0, priority(Main[[#This Row],[Comments]]),"")</f>
        <v/>
      </c>
      <c r="B1384" s="127" t="s">
        <v>1523</v>
      </c>
      <c r="C1384" s="128" t="s">
        <v>4</v>
      </c>
      <c r="D1384" s="159" t="s">
        <v>3826</v>
      </c>
      <c r="E1384" s="161">
        <v>40436.377106481479</v>
      </c>
      <c r="F1384" s="161"/>
      <c r="G1384" s="163" t="str">
        <f>IF(stdProdLT(Main[[#This Row],[Comments]])=0.1,"N/A",IF(stdProdLT(Main[[#This Row],[Comments]])=0,"",stdProdLT(Main[[#This Row],[Comments]])))</f>
        <v/>
      </c>
      <c r="H1384" s="165" t="str">
        <f>IF(AND(Main[[#This Row],[In Stock Date]]&lt;&gt;"",Main[[#This Row],[Revised Due Date]]&lt;&gt;""),Main[[#This Row],[In Stock Date]]-Main[[#This Row],[Revised Due Date]],"")</f>
        <v/>
      </c>
      <c r="I1384" s="128" t="s">
        <v>888</v>
      </c>
      <c r="J1384" s="128" t="s">
        <v>4</v>
      </c>
      <c r="K1384" s="128" t="s">
        <v>1929</v>
      </c>
      <c r="L1384" s="161">
        <v>40441</v>
      </c>
      <c r="M1384" s="168" t="str">
        <f>IF(Main[[#This Row],[Tech Start Date]]&lt;1/1/1990,"",IF(Main[[#This Row],[Class]]="C",WORKDAY(Main[[#This Row],[Tech Start Date]],9),IF(Main[[#This Row],[Class]]="B", WORKDAY(Main[[#This Row],[Tech Start Date]],6),IF(Main[[#This Row],[Class]]="A",WORKDAY(Main[[#This Row],[Tech Start Date]],2),""))))</f>
        <v/>
      </c>
      <c r="N1384" s="168" t="str">
        <f>IF(Main[[#This Row],[Tech Start Date]]&lt;1/1/1990,"",IF(Main[[#This Row],[Class]]="C",WORKDAY(Main[[#This Row],[Tech Start Date]],19),IF(Main[[#This Row],[Class]]="B", WORKDAY(Main[[#This Row],[Tech Start Date]],12),IF(Main[[#This Row],[Class]]="A",WORKDAY(Main[[#This Row],[Tech Start Date]],4),""))))</f>
        <v/>
      </c>
      <c r="O1384" s="168" t="str">
        <f>IF(Main[[#This Row],[Tech Start Date]]&lt;1/1/1990,"",IF(Main[[#This Row],[Class]]="C",WORKDAY(Main[[#This Row],[Tech Start Date]],23),IF(Main[[#This Row],[Class]]="B", WORKDAY(Main[[#This Row],[Tech Start Date]],15),IF(Main[[#This Row],[Class]]="A",WORKDAY(Main[[#This Row],[Tech Start Date]],5),""))))</f>
        <v/>
      </c>
      <c r="P1384" s="168" t="str">
        <f>IF(Main[[#This Row],[Tech Start Date]]&lt;1/1/1990,"",IF(Main[[#This Row],[Class]]="C",WORKDAY(Main[[#This Row],[Tech Start Date]],28),IF(Main[[#This Row],[Class]]="B", WORKDAY(Main[[#This Row],[Tech Start Date]],19),IF(Main[[#This Row],[Class]]="A",WORKDAY(Main[[#This Row],[Tech Start Date]],9),""))))</f>
        <v/>
      </c>
      <c r="Q1384" s="161">
        <v>41274</v>
      </c>
      <c r="R1384" s="161">
        <v>41180</v>
      </c>
      <c r="S1384" s="128" t="s">
        <v>17</v>
      </c>
      <c r="T1384" s="172" t="s">
        <v>2608</v>
      </c>
      <c r="U1384" s="128" t="s">
        <v>29</v>
      </c>
      <c r="V1384" s="128" t="s">
        <v>1917</v>
      </c>
      <c r="W1384" s="128" t="s">
        <v>1922</v>
      </c>
      <c r="X1384" s="128" t="s">
        <v>924</v>
      </c>
      <c r="Y1384" s="128" t="s">
        <v>3152</v>
      </c>
      <c r="Z1384" s="128" t="s">
        <v>879</v>
      </c>
      <c r="AA1384" s="146" t="s">
        <v>2834</v>
      </c>
    </row>
    <row r="1385" spans="1:27" ht="18.600000000000001" customHeight="1">
      <c r="A1385" s="142" t="str">
        <f>IF(priority(Main[[#This Row],[Comments]])&lt;&gt;0, priority(Main[[#This Row],[Comments]]),"")</f>
        <v/>
      </c>
      <c r="B1385" s="127" t="s">
        <v>1842</v>
      </c>
      <c r="C1385" s="128" t="s">
        <v>4</v>
      </c>
      <c r="D1385" s="159" t="s">
        <v>897</v>
      </c>
      <c r="E1385" s="161"/>
      <c r="F1385" s="161"/>
      <c r="G1385" s="163" t="str">
        <f>IF(stdProdLT(Main[[#This Row],[Comments]])=0.1,"N/A",IF(stdProdLT(Main[[#This Row],[Comments]])=0,"",stdProdLT(Main[[#This Row],[Comments]])))</f>
        <v/>
      </c>
      <c r="H1385" s="165" t="str">
        <f>IF(AND(Main[[#This Row],[In Stock Date]]&lt;&gt;"",Main[[#This Row],[Revised Due Date]]&lt;&gt;""),Main[[#This Row],[In Stock Date]]-Main[[#This Row],[Revised Due Date]],"")</f>
        <v/>
      </c>
      <c r="I1385" s="128" t="s">
        <v>710</v>
      </c>
      <c r="J1385" s="128" t="s">
        <v>4</v>
      </c>
      <c r="K1385" s="128" t="s">
        <v>4</v>
      </c>
      <c r="L1385" s="161">
        <v>40469</v>
      </c>
      <c r="M1385" s="168" t="str">
        <f>IF(Main[[#This Row],[Tech Start Date]]&lt;1/1/1990,"",IF(Main[[#This Row],[Class]]="C",WORKDAY(Main[[#This Row],[Tech Start Date]],9),IF(Main[[#This Row],[Class]]="B", WORKDAY(Main[[#This Row],[Tech Start Date]],6),IF(Main[[#This Row],[Class]]="A",WORKDAY(Main[[#This Row],[Tech Start Date]],2),""))))</f>
        <v/>
      </c>
      <c r="N1385" s="168" t="str">
        <f>IF(Main[[#This Row],[Tech Start Date]]&lt;1/1/1990,"",IF(Main[[#This Row],[Class]]="C",WORKDAY(Main[[#This Row],[Tech Start Date]],19),IF(Main[[#This Row],[Class]]="B", WORKDAY(Main[[#This Row],[Tech Start Date]],12),IF(Main[[#This Row],[Class]]="A",WORKDAY(Main[[#This Row],[Tech Start Date]],4),""))))</f>
        <v/>
      </c>
      <c r="O1385" s="168" t="str">
        <f>IF(Main[[#This Row],[Tech Start Date]]&lt;1/1/1990,"",IF(Main[[#This Row],[Class]]="C",WORKDAY(Main[[#This Row],[Tech Start Date]],23),IF(Main[[#This Row],[Class]]="B", WORKDAY(Main[[#This Row],[Tech Start Date]],15),IF(Main[[#This Row],[Class]]="A",WORKDAY(Main[[#This Row],[Tech Start Date]],5),""))))</f>
        <v/>
      </c>
      <c r="P1385" s="168" t="str">
        <f>IF(Main[[#This Row],[Tech Start Date]]&lt;1/1/1990,"",IF(Main[[#This Row],[Class]]="C",WORKDAY(Main[[#This Row],[Tech Start Date]],28),IF(Main[[#This Row],[Class]]="B", WORKDAY(Main[[#This Row],[Tech Start Date]],19),IF(Main[[#This Row],[Class]]="A",WORKDAY(Main[[#This Row],[Tech Start Date]],9),""))))</f>
        <v/>
      </c>
      <c r="Q1385" s="161"/>
      <c r="R1385" s="161">
        <v>40473</v>
      </c>
      <c r="S1385" s="128" t="s">
        <v>23</v>
      </c>
      <c r="T1385" s="172" t="s">
        <v>4</v>
      </c>
      <c r="U1385" s="128" t="s">
        <v>14</v>
      </c>
      <c r="V1385" s="128" t="s">
        <v>1917</v>
      </c>
      <c r="W1385" s="128" t="s">
        <v>1921</v>
      </c>
      <c r="X1385" s="128" t="s">
        <v>306</v>
      </c>
      <c r="Y1385" s="128" t="s">
        <v>4</v>
      </c>
      <c r="Z1385" s="128" t="s">
        <v>129</v>
      </c>
      <c r="AA1385" s="146" t="s">
        <v>3482</v>
      </c>
    </row>
    <row r="1386" spans="1:27" ht="18.600000000000001" customHeight="1">
      <c r="A1386" s="142" t="str">
        <f>IF(priority(Main[[#This Row],[Comments]])&lt;&gt;0, priority(Main[[#This Row],[Comments]]),"")</f>
        <v/>
      </c>
      <c r="B1386" s="127" t="s">
        <v>1091</v>
      </c>
      <c r="C1386" s="128" t="s">
        <v>4</v>
      </c>
      <c r="D1386" s="159" t="s">
        <v>2003</v>
      </c>
      <c r="E1386" s="161"/>
      <c r="F1386" s="161"/>
      <c r="G1386" s="163" t="str">
        <f>IF(stdProdLT(Main[[#This Row],[Comments]])=0.1,"N/A",IF(stdProdLT(Main[[#This Row],[Comments]])=0,"",stdProdLT(Main[[#This Row],[Comments]])))</f>
        <v/>
      </c>
      <c r="H1386" s="165" t="str">
        <f>IF(AND(Main[[#This Row],[In Stock Date]]&lt;&gt;"",Main[[#This Row],[Revised Due Date]]&lt;&gt;""),Main[[#This Row],[In Stock Date]]-Main[[#This Row],[Revised Due Date]],"")</f>
        <v/>
      </c>
      <c r="I1386" s="128" t="s">
        <v>30</v>
      </c>
      <c r="J1386" s="128" t="s">
        <v>28</v>
      </c>
      <c r="K1386" s="166" t="s">
        <v>1924</v>
      </c>
      <c r="L1386" s="161">
        <v>40486</v>
      </c>
      <c r="M1386" s="168">
        <f>IF(Main[[#This Row],[Tech Start Date]]&lt;1/1/1990,"",IF(Main[[#This Row],[Class]]="C",WORKDAY(Main[[#This Row],[Tech Start Date]],9),IF(Main[[#This Row],[Class]]="B", WORKDAY(Main[[#This Row],[Tech Start Date]],6),IF(Main[[#This Row],[Class]]="A",WORKDAY(Main[[#This Row],[Tech Start Date]],2),""))))</f>
        <v>40494</v>
      </c>
      <c r="N1386" s="168">
        <f>IF(Main[[#This Row],[Tech Start Date]]&lt;1/1/1990,"",IF(Main[[#This Row],[Class]]="C",WORKDAY(Main[[#This Row],[Tech Start Date]],19),IF(Main[[#This Row],[Class]]="B", WORKDAY(Main[[#This Row],[Tech Start Date]],12),IF(Main[[#This Row],[Class]]="A",WORKDAY(Main[[#This Row],[Tech Start Date]],4),""))))</f>
        <v>40504</v>
      </c>
      <c r="O1386" s="168">
        <f>IF(Main[[#This Row],[Tech Start Date]]&lt;1/1/1990,"",IF(Main[[#This Row],[Class]]="C",WORKDAY(Main[[#This Row],[Tech Start Date]],23),IF(Main[[#This Row],[Class]]="B", WORKDAY(Main[[#This Row],[Tech Start Date]],15),IF(Main[[#This Row],[Class]]="A",WORKDAY(Main[[#This Row],[Tech Start Date]],5),""))))</f>
        <v>40507</v>
      </c>
      <c r="P1386" s="168">
        <f>IF(Main[[#This Row],[Tech Start Date]]&lt;1/1/1990,"",IF(Main[[#This Row],[Class]]="C",WORKDAY(Main[[#This Row],[Tech Start Date]],28),IF(Main[[#This Row],[Class]]="B", WORKDAY(Main[[#This Row],[Tech Start Date]],19),IF(Main[[#This Row],[Class]]="A",WORKDAY(Main[[#This Row],[Tech Start Date]],9),""))))</f>
        <v>40513</v>
      </c>
      <c r="Q1386" s="161"/>
      <c r="R1386" s="161"/>
      <c r="S1386" s="128" t="s">
        <v>6</v>
      </c>
      <c r="T1386" s="172" t="s">
        <v>4</v>
      </c>
      <c r="U1386" s="128" t="s">
        <v>14</v>
      </c>
      <c r="V1386" s="128" t="s">
        <v>1920</v>
      </c>
      <c r="W1386" s="128" t="s">
        <v>1921</v>
      </c>
      <c r="X1386" s="128" t="s">
        <v>2872</v>
      </c>
      <c r="Y1386" s="128" t="s">
        <v>3006</v>
      </c>
      <c r="Z1386" s="128" t="s">
        <v>530</v>
      </c>
      <c r="AA1386" s="146" t="s">
        <v>2872</v>
      </c>
    </row>
    <row r="1387" spans="1:27" ht="18.600000000000001" customHeight="1">
      <c r="A1387" s="142" t="str">
        <f>IF(priority(Main[[#This Row],[Comments]])&lt;&gt;0, priority(Main[[#This Row],[Comments]]),"")</f>
        <v/>
      </c>
      <c r="B1387" s="127" t="s">
        <v>1715</v>
      </c>
      <c r="C1387" s="128" t="s">
        <v>4</v>
      </c>
      <c r="D1387" s="159" t="s">
        <v>765</v>
      </c>
      <c r="E1387" s="161"/>
      <c r="F1387" s="161"/>
      <c r="G1387" s="163" t="str">
        <f>IF(stdProdLT(Main[[#This Row],[Comments]])=0.1,"N/A",IF(stdProdLT(Main[[#This Row],[Comments]])=0,"",stdProdLT(Main[[#This Row],[Comments]])))</f>
        <v/>
      </c>
      <c r="H1387" s="165" t="str">
        <f>IF(AND(Main[[#This Row],[In Stock Date]]&lt;&gt;"",Main[[#This Row],[Revised Due Date]]&lt;&gt;""),Main[[#This Row],[In Stock Date]]-Main[[#This Row],[Revised Due Date]],"")</f>
        <v/>
      </c>
      <c r="I1387" s="128" t="s">
        <v>171</v>
      </c>
      <c r="J1387" s="128" t="s">
        <v>70</v>
      </c>
      <c r="K1387" s="128" t="s">
        <v>1924</v>
      </c>
      <c r="L1387" s="161">
        <v>40486</v>
      </c>
      <c r="M1387" s="168">
        <f>IF(Main[[#This Row],[Tech Start Date]]&lt;1/1/1990,"",IF(Main[[#This Row],[Class]]="C",WORKDAY(Main[[#This Row],[Tech Start Date]],9),IF(Main[[#This Row],[Class]]="B", WORKDAY(Main[[#This Row],[Tech Start Date]],6),IF(Main[[#This Row],[Class]]="A",WORKDAY(Main[[#This Row],[Tech Start Date]],2),""))))</f>
        <v>40494</v>
      </c>
      <c r="N1387" s="168">
        <f>IF(Main[[#This Row],[Tech Start Date]]&lt;1/1/1990,"",IF(Main[[#This Row],[Class]]="C",WORKDAY(Main[[#This Row],[Tech Start Date]],19),IF(Main[[#This Row],[Class]]="B", WORKDAY(Main[[#This Row],[Tech Start Date]],12),IF(Main[[#This Row],[Class]]="A",WORKDAY(Main[[#This Row],[Tech Start Date]],4),""))))</f>
        <v>40504</v>
      </c>
      <c r="O1387" s="168">
        <f>IF(Main[[#This Row],[Tech Start Date]]&lt;1/1/1990,"",IF(Main[[#This Row],[Class]]="C",WORKDAY(Main[[#This Row],[Tech Start Date]],23),IF(Main[[#This Row],[Class]]="B", WORKDAY(Main[[#This Row],[Tech Start Date]],15),IF(Main[[#This Row],[Class]]="A",WORKDAY(Main[[#This Row],[Tech Start Date]],5),""))))</f>
        <v>40507</v>
      </c>
      <c r="P1387" s="168">
        <f>IF(Main[[#This Row],[Tech Start Date]]&lt;1/1/1990,"",IF(Main[[#This Row],[Class]]="C",WORKDAY(Main[[#This Row],[Tech Start Date]],28),IF(Main[[#This Row],[Class]]="B", WORKDAY(Main[[#This Row],[Tech Start Date]],19),IF(Main[[#This Row],[Class]]="A",WORKDAY(Main[[#This Row],[Tech Start Date]],9),""))))</f>
        <v>40513</v>
      </c>
      <c r="Q1387" s="161">
        <v>40504</v>
      </c>
      <c r="R1387" s="161"/>
      <c r="S1387" s="128" t="s">
        <v>6</v>
      </c>
      <c r="T1387" s="172" t="s">
        <v>4</v>
      </c>
      <c r="U1387" s="128" t="s">
        <v>14</v>
      </c>
      <c r="V1387" s="128" t="s">
        <v>1920</v>
      </c>
      <c r="W1387" s="128" t="s">
        <v>1921</v>
      </c>
      <c r="X1387" s="128" t="s">
        <v>2828</v>
      </c>
      <c r="Y1387" s="128" t="s">
        <v>2944</v>
      </c>
      <c r="Z1387" s="128" t="s">
        <v>30</v>
      </c>
      <c r="AA1387" s="146" t="s">
        <v>2828</v>
      </c>
    </row>
    <row r="1388" spans="1:27" ht="18.600000000000001" customHeight="1">
      <c r="A1388" s="142" t="str">
        <f>IF(priority(Main[[#This Row],[Comments]])&lt;&gt;0, priority(Main[[#This Row],[Comments]]),"")</f>
        <v/>
      </c>
      <c r="B1388" s="127" t="s">
        <v>1728</v>
      </c>
      <c r="C1388" s="128" t="s">
        <v>4</v>
      </c>
      <c r="D1388" s="159" t="s">
        <v>2297</v>
      </c>
      <c r="E1388" s="161">
        <v>40462.421793981484</v>
      </c>
      <c r="F1388" s="161"/>
      <c r="G1388" s="163" t="str">
        <f>IF(stdProdLT(Main[[#This Row],[Comments]])=0.1,"N/A",IF(stdProdLT(Main[[#This Row],[Comments]])=0,"",stdProdLT(Main[[#This Row],[Comments]])))</f>
        <v/>
      </c>
      <c r="H1388" s="165" t="str">
        <f>IF(AND(Main[[#This Row],[In Stock Date]]&lt;&gt;"",Main[[#This Row],[Revised Due Date]]&lt;&gt;""),Main[[#This Row],[In Stock Date]]-Main[[#This Row],[Revised Due Date]],"")</f>
        <v/>
      </c>
      <c r="I1388" s="128" t="s">
        <v>896</v>
      </c>
      <c r="J1388" s="128" t="s">
        <v>52</v>
      </c>
      <c r="K1388" s="128" t="s">
        <v>1924</v>
      </c>
      <c r="L1388" s="161">
        <v>40486</v>
      </c>
      <c r="M1388" s="168">
        <f>IF(Main[[#This Row],[Tech Start Date]]&lt;1/1/1990,"",IF(Main[[#This Row],[Class]]="C",WORKDAY(Main[[#This Row],[Tech Start Date]],9),IF(Main[[#This Row],[Class]]="B", WORKDAY(Main[[#This Row],[Tech Start Date]],6),IF(Main[[#This Row],[Class]]="A",WORKDAY(Main[[#This Row],[Tech Start Date]],2),""))))</f>
        <v>40494</v>
      </c>
      <c r="N1388" s="168">
        <f>IF(Main[[#This Row],[Tech Start Date]]&lt;1/1/1990,"",IF(Main[[#This Row],[Class]]="C",WORKDAY(Main[[#This Row],[Tech Start Date]],19),IF(Main[[#This Row],[Class]]="B", WORKDAY(Main[[#This Row],[Tech Start Date]],12),IF(Main[[#This Row],[Class]]="A",WORKDAY(Main[[#This Row],[Tech Start Date]],4),""))))</f>
        <v>40504</v>
      </c>
      <c r="O1388" s="168">
        <f>IF(Main[[#This Row],[Tech Start Date]]&lt;1/1/1990,"",IF(Main[[#This Row],[Class]]="C",WORKDAY(Main[[#This Row],[Tech Start Date]],23),IF(Main[[#This Row],[Class]]="B", WORKDAY(Main[[#This Row],[Tech Start Date]],15),IF(Main[[#This Row],[Class]]="A",WORKDAY(Main[[#This Row],[Tech Start Date]],5),""))))</f>
        <v>40507</v>
      </c>
      <c r="P1388" s="168">
        <f>IF(Main[[#This Row],[Tech Start Date]]&lt;1/1/1990,"",IF(Main[[#This Row],[Class]]="C",WORKDAY(Main[[#This Row],[Tech Start Date]],28),IF(Main[[#This Row],[Class]]="B", WORKDAY(Main[[#This Row],[Tech Start Date]],19),IF(Main[[#This Row],[Class]]="A",WORKDAY(Main[[#This Row],[Tech Start Date]],9),""))))</f>
        <v>40513</v>
      </c>
      <c r="Q1388" s="161">
        <v>40543</v>
      </c>
      <c r="R1388" s="161"/>
      <c r="S1388" s="128" t="s">
        <v>6</v>
      </c>
      <c r="T1388" s="172" t="s">
        <v>4</v>
      </c>
      <c r="U1388" s="128" t="s">
        <v>29</v>
      </c>
      <c r="V1388" s="128" t="s">
        <v>1920</v>
      </c>
      <c r="W1388" s="128" t="s">
        <v>1921</v>
      </c>
      <c r="X1388" s="128" t="s">
        <v>2893</v>
      </c>
      <c r="Y1388" s="128" t="s">
        <v>3049</v>
      </c>
      <c r="Z1388" s="128" t="s">
        <v>30</v>
      </c>
      <c r="AA1388" s="146" t="s">
        <v>2893</v>
      </c>
    </row>
    <row r="1389" spans="1:27" ht="18.600000000000001" customHeight="1">
      <c r="A1389" s="142" t="str">
        <f>IF(priority(Main[[#This Row],[Comments]])&lt;&gt;0, priority(Main[[#This Row],[Comments]]),"")</f>
        <v/>
      </c>
      <c r="B1389" s="127" t="s">
        <v>1732</v>
      </c>
      <c r="C1389" s="128" t="s">
        <v>4</v>
      </c>
      <c r="D1389" s="159" t="s">
        <v>2022</v>
      </c>
      <c r="E1389" s="161">
        <v>40478.606620370374</v>
      </c>
      <c r="F1389" s="161"/>
      <c r="G1389" s="163" t="str">
        <f>IF(stdProdLT(Main[[#This Row],[Comments]])=0.1,"N/A",IF(stdProdLT(Main[[#This Row],[Comments]])=0,"",stdProdLT(Main[[#This Row],[Comments]])))</f>
        <v/>
      </c>
      <c r="H1389" s="165" t="str">
        <f>IF(AND(Main[[#This Row],[In Stock Date]]&lt;&gt;"",Main[[#This Row],[Revised Due Date]]&lt;&gt;""),Main[[#This Row],[In Stock Date]]-Main[[#This Row],[Revised Due Date]],"")</f>
        <v/>
      </c>
      <c r="I1389" s="128" t="s">
        <v>429</v>
      </c>
      <c r="J1389" s="128" t="s">
        <v>70</v>
      </c>
      <c r="K1389" s="128" t="s">
        <v>1929</v>
      </c>
      <c r="L1389" s="161">
        <v>40513</v>
      </c>
      <c r="M1389" s="168" t="str">
        <f>IF(Main[[#This Row],[Tech Start Date]]&lt;1/1/1990,"",IF(Main[[#This Row],[Class]]="C",WORKDAY(Main[[#This Row],[Tech Start Date]],9),IF(Main[[#This Row],[Class]]="B", WORKDAY(Main[[#This Row],[Tech Start Date]],6),IF(Main[[#This Row],[Class]]="A",WORKDAY(Main[[#This Row],[Tech Start Date]],2),""))))</f>
        <v/>
      </c>
      <c r="N1389" s="168" t="str">
        <f>IF(Main[[#This Row],[Tech Start Date]]&lt;1/1/1990,"",IF(Main[[#This Row],[Class]]="C",WORKDAY(Main[[#This Row],[Tech Start Date]],19),IF(Main[[#This Row],[Class]]="B", WORKDAY(Main[[#This Row],[Tech Start Date]],12),IF(Main[[#This Row],[Class]]="A",WORKDAY(Main[[#This Row],[Tech Start Date]],4),""))))</f>
        <v/>
      </c>
      <c r="O1389" s="168" t="str">
        <f>IF(Main[[#This Row],[Tech Start Date]]&lt;1/1/1990,"",IF(Main[[#This Row],[Class]]="C",WORKDAY(Main[[#This Row],[Tech Start Date]],23),IF(Main[[#This Row],[Class]]="B", WORKDAY(Main[[#This Row],[Tech Start Date]],15),IF(Main[[#This Row],[Class]]="A",WORKDAY(Main[[#This Row],[Tech Start Date]],5),""))))</f>
        <v/>
      </c>
      <c r="P1389" s="168" t="str">
        <f>IF(Main[[#This Row],[Tech Start Date]]&lt;1/1/1990,"",IF(Main[[#This Row],[Class]]="C",WORKDAY(Main[[#This Row],[Tech Start Date]],28),IF(Main[[#This Row],[Class]]="B", WORKDAY(Main[[#This Row],[Tech Start Date]],19),IF(Main[[#This Row],[Class]]="A",WORKDAY(Main[[#This Row],[Tech Start Date]],9),""))))</f>
        <v/>
      </c>
      <c r="Q1389" s="161">
        <v>40724</v>
      </c>
      <c r="R1389" s="161"/>
      <c r="S1389" s="128" t="s">
        <v>17</v>
      </c>
      <c r="T1389" s="172" t="s">
        <v>4</v>
      </c>
      <c r="U1389" s="128" t="s">
        <v>29</v>
      </c>
      <c r="V1389" s="128" t="s">
        <v>1920</v>
      </c>
      <c r="W1389" s="128" t="s">
        <v>1921</v>
      </c>
      <c r="X1389" s="128" t="s">
        <v>2897</v>
      </c>
      <c r="Y1389" s="128" t="s">
        <v>3108</v>
      </c>
      <c r="Z1389" s="128" t="s">
        <v>30</v>
      </c>
      <c r="AA1389" s="146" t="s">
        <v>2897</v>
      </c>
    </row>
    <row r="1390" spans="1:27" ht="18.600000000000001" customHeight="1">
      <c r="A1390" s="142" t="str">
        <f>IF(priority(Main[[#This Row],[Comments]])&lt;&gt;0, priority(Main[[#This Row],[Comments]]),"")</f>
        <v/>
      </c>
      <c r="B1390" s="127" t="s">
        <v>1726</v>
      </c>
      <c r="C1390" s="128" t="s">
        <v>72</v>
      </c>
      <c r="D1390" s="159" t="s">
        <v>780</v>
      </c>
      <c r="E1390" s="161"/>
      <c r="F1390" s="161">
        <v>40513</v>
      </c>
      <c r="G1390" s="163" t="str">
        <f>IF(stdProdLT(Main[[#This Row],[Comments]])=0.1,"N/A",IF(stdProdLT(Main[[#This Row],[Comments]])=0,"",stdProdLT(Main[[#This Row],[Comments]])))</f>
        <v/>
      </c>
      <c r="H1390" s="165" t="str">
        <f>IF(AND(Main[[#This Row],[In Stock Date]]&lt;&gt;"",Main[[#This Row],[Revised Due Date]]&lt;&gt;""),Main[[#This Row],[In Stock Date]]-Main[[#This Row],[Revised Due Date]],"")</f>
        <v/>
      </c>
      <c r="I1390" s="128" t="s">
        <v>30</v>
      </c>
      <c r="J1390" s="128" t="s">
        <v>28</v>
      </c>
      <c r="K1390" s="128" t="s">
        <v>1929</v>
      </c>
      <c r="L1390" s="161">
        <v>40547</v>
      </c>
      <c r="M1390" s="168" t="str">
        <f>IF(Main[[#This Row],[Tech Start Date]]&lt;1/1/1990,"",IF(Main[[#This Row],[Class]]="C",WORKDAY(Main[[#This Row],[Tech Start Date]],9),IF(Main[[#This Row],[Class]]="B", WORKDAY(Main[[#This Row],[Tech Start Date]],6),IF(Main[[#This Row],[Class]]="A",WORKDAY(Main[[#This Row],[Tech Start Date]],2),""))))</f>
        <v/>
      </c>
      <c r="N1390" s="168" t="str">
        <f>IF(Main[[#This Row],[Tech Start Date]]&lt;1/1/1990,"",IF(Main[[#This Row],[Class]]="C",WORKDAY(Main[[#This Row],[Tech Start Date]],19),IF(Main[[#This Row],[Class]]="B", WORKDAY(Main[[#This Row],[Tech Start Date]],12),IF(Main[[#This Row],[Class]]="A",WORKDAY(Main[[#This Row],[Tech Start Date]],4),""))))</f>
        <v/>
      </c>
      <c r="O1390" s="168" t="str">
        <f>IF(Main[[#This Row],[Tech Start Date]]&lt;1/1/1990,"",IF(Main[[#This Row],[Class]]="C",WORKDAY(Main[[#This Row],[Tech Start Date]],23),IF(Main[[#This Row],[Class]]="B", WORKDAY(Main[[#This Row],[Tech Start Date]],15),IF(Main[[#This Row],[Class]]="A",WORKDAY(Main[[#This Row],[Tech Start Date]],5),""))))</f>
        <v/>
      </c>
      <c r="P1390" s="168" t="str">
        <f>IF(Main[[#This Row],[Tech Start Date]]&lt;1/1/1990,"",IF(Main[[#This Row],[Class]]="C",WORKDAY(Main[[#This Row],[Tech Start Date]],28),IF(Main[[#This Row],[Class]]="B", WORKDAY(Main[[#This Row],[Tech Start Date]],19),IF(Main[[#This Row],[Class]]="A",WORKDAY(Main[[#This Row],[Tech Start Date]],9),""))))</f>
        <v/>
      </c>
      <c r="Q1390" s="161"/>
      <c r="R1390" s="161"/>
      <c r="S1390" s="128" t="s">
        <v>17</v>
      </c>
      <c r="T1390" s="172" t="s">
        <v>4</v>
      </c>
      <c r="U1390" s="128" t="s">
        <v>14</v>
      </c>
      <c r="V1390" s="128" t="s">
        <v>1920</v>
      </c>
      <c r="W1390" s="128" t="s">
        <v>1922</v>
      </c>
      <c r="X1390" s="128" t="s">
        <v>2853</v>
      </c>
      <c r="Y1390" s="128" t="s">
        <v>2984</v>
      </c>
      <c r="Z1390" s="128" t="s">
        <v>30</v>
      </c>
      <c r="AA1390" s="146" t="s">
        <v>2853</v>
      </c>
    </row>
    <row r="1391" spans="1:27" ht="18.600000000000001" customHeight="1">
      <c r="A1391" s="142" t="str">
        <f>IF(priority(Main[[#This Row],[Comments]])&lt;&gt;0, priority(Main[[#This Row],[Comments]]),"")</f>
        <v/>
      </c>
      <c r="B1391" s="127" t="s">
        <v>1913</v>
      </c>
      <c r="C1391" s="128" t="s">
        <v>4</v>
      </c>
      <c r="D1391" s="159" t="s">
        <v>963</v>
      </c>
      <c r="E1391" s="161"/>
      <c r="F1391" s="161"/>
      <c r="G1391" s="163" t="str">
        <f>IF(stdProdLT(Main[[#This Row],[Comments]])=0.1,"N/A",IF(stdProdLT(Main[[#This Row],[Comments]])=0,"",stdProdLT(Main[[#This Row],[Comments]])))</f>
        <v/>
      </c>
      <c r="H1391" s="165" t="str">
        <f>IF(AND(Main[[#This Row],[In Stock Date]]&lt;&gt;"",Main[[#This Row],[Revised Due Date]]&lt;&gt;""),Main[[#This Row],[In Stock Date]]-Main[[#This Row],[Revised Due Date]],"")</f>
        <v/>
      </c>
      <c r="I1391" s="128" t="s">
        <v>2056</v>
      </c>
      <c r="J1391" s="128" t="s">
        <v>4</v>
      </c>
      <c r="K1391" s="128" t="s">
        <v>1929</v>
      </c>
      <c r="L1391" s="161">
        <v>40549</v>
      </c>
      <c r="M1391" s="168" t="str">
        <f>IF(Main[[#This Row],[Tech Start Date]]&lt;1/1/1990,"",IF(Main[[#This Row],[Class]]="C",WORKDAY(Main[[#This Row],[Tech Start Date]],9),IF(Main[[#This Row],[Class]]="B", WORKDAY(Main[[#This Row],[Tech Start Date]],6),IF(Main[[#This Row],[Class]]="A",WORKDAY(Main[[#This Row],[Tech Start Date]],2),""))))</f>
        <v/>
      </c>
      <c r="N1391" s="168" t="str">
        <f>IF(Main[[#This Row],[Tech Start Date]]&lt;1/1/1990,"",IF(Main[[#This Row],[Class]]="C",WORKDAY(Main[[#This Row],[Tech Start Date]],19),IF(Main[[#This Row],[Class]]="B", WORKDAY(Main[[#This Row],[Tech Start Date]],12),IF(Main[[#This Row],[Class]]="A",WORKDAY(Main[[#This Row],[Tech Start Date]],4),""))))</f>
        <v/>
      </c>
      <c r="O1391" s="168" t="str">
        <f>IF(Main[[#This Row],[Tech Start Date]]&lt;1/1/1990,"",IF(Main[[#This Row],[Class]]="C",WORKDAY(Main[[#This Row],[Tech Start Date]],23),IF(Main[[#This Row],[Class]]="B", WORKDAY(Main[[#This Row],[Tech Start Date]],15),IF(Main[[#This Row],[Class]]="A",WORKDAY(Main[[#This Row],[Tech Start Date]],5),""))))</f>
        <v/>
      </c>
      <c r="P1391" s="168" t="str">
        <f>IF(Main[[#This Row],[Tech Start Date]]&lt;1/1/1990,"",IF(Main[[#This Row],[Class]]="C",WORKDAY(Main[[#This Row],[Tech Start Date]],28),IF(Main[[#This Row],[Class]]="B", WORKDAY(Main[[#This Row],[Tech Start Date]],19),IF(Main[[#This Row],[Class]]="A",WORKDAY(Main[[#This Row],[Tech Start Date]],9),""))))</f>
        <v/>
      </c>
      <c r="Q1391" s="161">
        <v>40939</v>
      </c>
      <c r="R1391" s="161">
        <v>40939</v>
      </c>
      <c r="S1391" s="128" t="s">
        <v>11</v>
      </c>
      <c r="T1391" s="172" t="s">
        <v>4</v>
      </c>
      <c r="U1391" s="128" t="s">
        <v>14</v>
      </c>
      <c r="V1391" s="128" t="s">
        <v>1918</v>
      </c>
      <c r="W1391" s="128" t="s">
        <v>1921</v>
      </c>
      <c r="X1391" s="128" t="s">
        <v>924</v>
      </c>
      <c r="Y1391" s="128" t="s">
        <v>2998</v>
      </c>
      <c r="Z1391" s="128" t="s">
        <v>129</v>
      </c>
      <c r="AA1391" s="146" t="s">
        <v>3438</v>
      </c>
    </row>
    <row r="1392" spans="1:27" ht="18.600000000000001" customHeight="1">
      <c r="A1392" s="142" t="str">
        <f>IF(priority(Main[[#This Row],[Comments]])&lt;&gt;0, priority(Main[[#This Row],[Comments]]),"")</f>
        <v/>
      </c>
      <c r="B1392" s="127" t="s">
        <v>1912</v>
      </c>
      <c r="C1392" s="128" t="s">
        <v>4</v>
      </c>
      <c r="D1392" s="159" t="s">
        <v>961</v>
      </c>
      <c r="E1392" s="161">
        <v>40436.63890046296</v>
      </c>
      <c r="F1392" s="161"/>
      <c r="G1392" s="163" t="str">
        <f>IF(stdProdLT(Main[[#This Row],[Comments]])=0.1,"N/A",IF(stdProdLT(Main[[#This Row],[Comments]])=0,"",stdProdLT(Main[[#This Row],[Comments]])))</f>
        <v/>
      </c>
      <c r="H1392" s="165" t="str">
        <f>IF(AND(Main[[#This Row],[In Stock Date]]&lt;&gt;"",Main[[#This Row],[Revised Due Date]]&lt;&gt;""),Main[[#This Row],[In Stock Date]]-Main[[#This Row],[Revised Due Date]],"")</f>
        <v/>
      </c>
      <c r="I1392" s="128" t="s">
        <v>879</v>
      </c>
      <c r="J1392" s="128" t="s">
        <v>28</v>
      </c>
      <c r="K1392" s="128" t="s">
        <v>1929</v>
      </c>
      <c r="L1392" s="161">
        <v>40549</v>
      </c>
      <c r="M1392" s="168" t="str">
        <f>IF(Main[[#This Row],[Tech Start Date]]&lt;1/1/1990,"",IF(Main[[#This Row],[Class]]="C",WORKDAY(Main[[#This Row],[Tech Start Date]],9),IF(Main[[#This Row],[Class]]="B", WORKDAY(Main[[#This Row],[Tech Start Date]],6),IF(Main[[#This Row],[Class]]="A",WORKDAY(Main[[#This Row],[Tech Start Date]],2),""))))</f>
        <v/>
      </c>
      <c r="N1392" s="168" t="str">
        <f>IF(Main[[#This Row],[Tech Start Date]]&lt;1/1/1990,"",IF(Main[[#This Row],[Class]]="C",WORKDAY(Main[[#This Row],[Tech Start Date]],19),IF(Main[[#This Row],[Class]]="B", WORKDAY(Main[[#This Row],[Tech Start Date]],12),IF(Main[[#This Row],[Class]]="A",WORKDAY(Main[[#This Row],[Tech Start Date]],4),""))))</f>
        <v/>
      </c>
      <c r="O1392" s="168" t="str">
        <f>IF(Main[[#This Row],[Tech Start Date]]&lt;1/1/1990,"",IF(Main[[#This Row],[Class]]="C",WORKDAY(Main[[#This Row],[Tech Start Date]],23),IF(Main[[#This Row],[Class]]="B", WORKDAY(Main[[#This Row],[Tech Start Date]],15),IF(Main[[#This Row],[Class]]="A",WORKDAY(Main[[#This Row],[Tech Start Date]],5),""))))</f>
        <v/>
      </c>
      <c r="P1392" s="168" t="str">
        <f>IF(Main[[#This Row],[Tech Start Date]]&lt;1/1/1990,"",IF(Main[[#This Row],[Class]]="C",WORKDAY(Main[[#This Row],[Tech Start Date]],28),IF(Main[[#This Row],[Class]]="B", WORKDAY(Main[[#This Row],[Tech Start Date]],19),IF(Main[[#This Row],[Class]]="A",WORKDAY(Main[[#This Row],[Tech Start Date]],9),""))))</f>
        <v/>
      </c>
      <c r="Q1392" s="161">
        <v>40939</v>
      </c>
      <c r="R1392" s="161">
        <v>40939</v>
      </c>
      <c r="S1392" s="128" t="s">
        <v>17</v>
      </c>
      <c r="T1392" s="172" t="s">
        <v>962</v>
      </c>
      <c r="U1392" s="128" t="s">
        <v>29</v>
      </c>
      <c r="V1392" s="128" t="s">
        <v>1917</v>
      </c>
      <c r="W1392" s="128" t="s">
        <v>1921</v>
      </c>
      <c r="X1392" s="128" t="s">
        <v>924</v>
      </c>
      <c r="Y1392" s="128" t="s">
        <v>2988</v>
      </c>
      <c r="Z1392" s="128" t="s">
        <v>129</v>
      </c>
      <c r="AA1392" s="146" t="s">
        <v>924</v>
      </c>
    </row>
    <row r="1393" spans="1:27" ht="18.600000000000001" customHeight="1">
      <c r="A1393" s="142" t="str">
        <f>IF(priority(Main[[#This Row],[Comments]])&lt;&gt;0, priority(Main[[#This Row],[Comments]]),"")</f>
        <v/>
      </c>
      <c r="B1393" s="127" t="s">
        <v>1911</v>
      </c>
      <c r="C1393" s="128" t="s">
        <v>4</v>
      </c>
      <c r="D1393" s="159" t="s">
        <v>960</v>
      </c>
      <c r="E1393" s="161"/>
      <c r="F1393" s="161"/>
      <c r="G1393" s="163" t="str">
        <f>IF(stdProdLT(Main[[#This Row],[Comments]])=0.1,"N/A",IF(stdProdLT(Main[[#This Row],[Comments]])=0,"",stdProdLT(Main[[#This Row],[Comments]])))</f>
        <v/>
      </c>
      <c r="H1393" s="165" t="str">
        <f>IF(AND(Main[[#This Row],[In Stock Date]]&lt;&gt;"",Main[[#This Row],[Revised Due Date]]&lt;&gt;""),Main[[#This Row],[In Stock Date]]-Main[[#This Row],[Revised Due Date]],"")</f>
        <v/>
      </c>
      <c r="I1393" s="128" t="s">
        <v>879</v>
      </c>
      <c r="J1393" s="128" t="s">
        <v>28</v>
      </c>
      <c r="K1393" s="128" t="s">
        <v>1929</v>
      </c>
      <c r="L1393" s="161">
        <v>40549</v>
      </c>
      <c r="M1393" s="168" t="str">
        <f>IF(Main[[#This Row],[Tech Start Date]]&lt;1/1/1990,"",IF(Main[[#This Row],[Class]]="C",WORKDAY(Main[[#This Row],[Tech Start Date]],9),IF(Main[[#This Row],[Class]]="B", WORKDAY(Main[[#This Row],[Tech Start Date]],6),IF(Main[[#This Row],[Class]]="A",WORKDAY(Main[[#This Row],[Tech Start Date]],2),""))))</f>
        <v/>
      </c>
      <c r="N1393" s="168" t="str">
        <f>IF(Main[[#This Row],[Tech Start Date]]&lt;1/1/1990,"",IF(Main[[#This Row],[Class]]="C",WORKDAY(Main[[#This Row],[Tech Start Date]],19),IF(Main[[#This Row],[Class]]="B", WORKDAY(Main[[#This Row],[Tech Start Date]],12),IF(Main[[#This Row],[Class]]="A",WORKDAY(Main[[#This Row],[Tech Start Date]],4),""))))</f>
        <v/>
      </c>
      <c r="O1393" s="168" t="str">
        <f>IF(Main[[#This Row],[Tech Start Date]]&lt;1/1/1990,"",IF(Main[[#This Row],[Class]]="C",WORKDAY(Main[[#This Row],[Tech Start Date]],23),IF(Main[[#This Row],[Class]]="B", WORKDAY(Main[[#This Row],[Tech Start Date]],15),IF(Main[[#This Row],[Class]]="A",WORKDAY(Main[[#This Row],[Tech Start Date]],5),""))))</f>
        <v/>
      </c>
      <c r="P1393" s="168" t="str">
        <f>IF(Main[[#This Row],[Tech Start Date]]&lt;1/1/1990,"",IF(Main[[#This Row],[Class]]="C",WORKDAY(Main[[#This Row],[Tech Start Date]],28),IF(Main[[#This Row],[Class]]="B", WORKDAY(Main[[#This Row],[Tech Start Date]],19),IF(Main[[#This Row],[Class]]="A",WORKDAY(Main[[#This Row],[Tech Start Date]],9),""))))</f>
        <v/>
      </c>
      <c r="Q1393" s="161">
        <v>40939</v>
      </c>
      <c r="R1393" s="161">
        <v>40939</v>
      </c>
      <c r="S1393" s="128" t="s">
        <v>11</v>
      </c>
      <c r="T1393" s="172" t="s">
        <v>4</v>
      </c>
      <c r="U1393" s="128" t="s">
        <v>14</v>
      </c>
      <c r="V1393" s="128" t="s">
        <v>1917</v>
      </c>
      <c r="W1393" s="128" t="s">
        <v>1921</v>
      </c>
      <c r="X1393" s="128" t="s">
        <v>924</v>
      </c>
      <c r="Y1393" s="128" t="s">
        <v>2998</v>
      </c>
      <c r="Z1393" s="128" t="s">
        <v>129</v>
      </c>
      <c r="AA1393" s="146" t="s">
        <v>3438</v>
      </c>
    </row>
    <row r="1394" spans="1:27" ht="18.600000000000001" customHeight="1">
      <c r="A1394" s="142" t="str">
        <f>IF(priority(Main[[#This Row],[Comments]])&lt;&gt;0, priority(Main[[#This Row],[Comments]]),"")</f>
        <v/>
      </c>
      <c r="B1394" s="127" t="s">
        <v>1914</v>
      </c>
      <c r="C1394" s="128" t="s">
        <v>4</v>
      </c>
      <c r="D1394" s="159" t="s">
        <v>964</v>
      </c>
      <c r="E1394" s="161"/>
      <c r="F1394" s="161"/>
      <c r="G1394" s="163" t="str">
        <f>IF(stdProdLT(Main[[#This Row],[Comments]])=0.1,"N/A",IF(stdProdLT(Main[[#This Row],[Comments]])=0,"",stdProdLT(Main[[#This Row],[Comments]])))</f>
        <v/>
      </c>
      <c r="H1394" s="165" t="str">
        <f>IF(AND(Main[[#This Row],[In Stock Date]]&lt;&gt;"",Main[[#This Row],[Revised Due Date]]&lt;&gt;""),Main[[#This Row],[In Stock Date]]-Main[[#This Row],[Revised Due Date]],"")</f>
        <v/>
      </c>
      <c r="I1394" s="128" t="s">
        <v>924</v>
      </c>
      <c r="J1394" s="128" t="s">
        <v>4</v>
      </c>
      <c r="K1394" s="166" t="s">
        <v>1929</v>
      </c>
      <c r="L1394" s="161">
        <v>40549</v>
      </c>
      <c r="M1394" s="168" t="str">
        <f>IF(Main[[#This Row],[Tech Start Date]]&lt;1/1/1990,"",IF(Main[[#This Row],[Class]]="C",WORKDAY(Main[[#This Row],[Tech Start Date]],9),IF(Main[[#This Row],[Class]]="B", WORKDAY(Main[[#This Row],[Tech Start Date]],6),IF(Main[[#This Row],[Class]]="A",WORKDAY(Main[[#This Row],[Tech Start Date]],2),""))))</f>
        <v/>
      </c>
      <c r="N1394" s="168" t="str">
        <f>IF(Main[[#This Row],[Tech Start Date]]&lt;1/1/1990,"",IF(Main[[#This Row],[Class]]="C",WORKDAY(Main[[#This Row],[Tech Start Date]],19),IF(Main[[#This Row],[Class]]="B", WORKDAY(Main[[#This Row],[Tech Start Date]],12),IF(Main[[#This Row],[Class]]="A",WORKDAY(Main[[#This Row],[Tech Start Date]],4),""))))</f>
        <v/>
      </c>
      <c r="O1394" s="168" t="str">
        <f>IF(Main[[#This Row],[Tech Start Date]]&lt;1/1/1990,"",IF(Main[[#This Row],[Class]]="C",WORKDAY(Main[[#This Row],[Tech Start Date]],23),IF(Main[[#This Row],[Class]]="B", WORKDAY(Main[[#This Row],[Tech Start Date]],15),IF(Main[[#This Row],[Class]]="A",WORKDAY(Main[[#This Row],[Tech Start Date]],5),""))))</f>
        <v/>
      </c>
      <c r="P1394" s="168" t="str">
        <f>IF(Main[[#This Row],[Tech Start Date]]&lt;1/1/1990,"",IF(Main[[#This Row],[Class]]="C",WORKDAY(Main[[#This Row],[Tech Start Date]],28),IF(Main[[#This Row],[Class]]="B", WORKDAY(Main[[#This Row],[Tech Start Date]],19),IF(Main[[#This Row],[Class]]="A",WORKDAY(Main[[#This Row],[Tech Start Date]],9),""))))</f>
        <v/>
      </c>
      <c r="Q1394" s="161">
        <v>40939</v>
      </c>
      <c r="R1394" s="161">
        <v>40939</v>
      </c>
      <c r="S1394" s="128" t="s">
        <v>11</v>
      </c>
      <c r="T1394" s="172" t="s">
        <v>4</v>
      </c>
      <c r="U1394" s="128" t="s">
        <v>14</v>
      </c>
      <c r="V1394" s="128" t="s">
        <v>1917</v>
      </c>
      <c r="W1394" s="128" t="s">
        <v>1921</v>
      </c>
      <c r="X1394" s="128" t="s">
        <v>924</v>
      </c>
      <c r="Y1394" s="128" t="s">
        <v>2998</v>
      </c>
      <c r="Z1394" s="128" t="s">
        <v>129</v>
      </c>
      <c r="AA1394" s="146" t="s">
        <v>3438</v>
      </c>
    </row>
    <row r="1395" spans="1:27" ht="18.600000000000001" customHeight="1">
      <c r="A1395" s="142" t="str">
        <f>IF(priority(Main[[#This Row],[Comments]])&lt;&gt;0, priority(Main[[#This Row],[Comments]]),"")</f>
        <v/>
      </c>
      <c r="B1395" s="127" t="s">
        <v>1869</v>
      </c>
      <c r="C1395" s="128" t="s">
        <v>4</v>
      </c>
      <c r="D1395" s="159" t="s">
        <v>2023</v>
      </c>
      <c r="E1395" s="161">
        <v>40478.350138888891</v>
      </c>
      <c r="F1395" s="161"/>
      <c r="G1395" s="163" t="str">
        <f>IF(stdProdLT(Main[[#This Row],[Comments]])=0.1,"N/A",IF(stdProdLT(Main[[#This Row],[Comments]])=0,"",stdProdLT(Main[[#This Row],[Comments]])))</f>
        <v/>
      </c>
      <c r="H1395" s="165" t="str">
        <f>IF(AND(Main[[#This Row],[In Stock Date]]&lt;&gt;"",Main[[#This Row],[Revised Due Date]]&lt;&gt;""),Main[[#This Row],[In Stock Date]]-Main[[#This Row],[Revised Due Date]],"")</f>
        <v/>
      </c>
      <c r="I1395" s="128" t="s">
        <v>924</v>
      </c>
      <c r="J1395" s="128" t="s">
        <v>28</v>
      </c>
      <c r="K1395" s="166" t="s">
        <v>1929</v>
      </c>
      <c r="L1395" s="161">
        <v>40554</v>
      </c>
      <c r="M1395" s="168" t="str">
        <f>IF(Main[[#This Row],[Tech Start Date]]&lt;1/1/1990,"",IF(Main[[#This Row],[Class]]="C",WORKDAY(Main[[#This Row],[Tech Start Date]],9),IF(Main[[#This Row],[Class]]="B", WORKDAY(Main[[#This Row],[Tech Start Date]],6),IF(Main[[#This Row],[Class]]="A",WORKDAY(Main[[#This Row],[Tech Start Date]],2),""))))</f>
        <v/>
      </c>
      <c r="N1395" s="168" t="str">
        <f>IF(Main[[#This Row],[Tech Start Date]]&lt;1/1/1990,"",IF(Main[[#This Row],[Class]]="C",WORKDAY(Main[[#This Row],[Tech Start Date]],19),IF(Main[[#This Row],[Class]]="B", WORKDAY(Main[[#This Row],[Tech Start Date]],12),IF(Main[[#This Row],[Class]]="A",WORKDAY(Main[[#This Row],[Tech Start Date]],4),""))))</f>
        <v/>
      </c>
      <c r="O1395" s="168" t="str">
        <f>IF(Main[[#This Row],[Tech Start Date]]&lt;1/1/1990,"",IF(Main[[#This Row],[Class]]="C",WORKDAY(Main[[#This Row],[Tech Start Date]],23),IF(Main[[#This Row],[Class]]="B", WORKDAY(Main[[#This Row],[Tech Start Date]],15),IF(Main[[#This Row],[Class]]="A",WORKDAY(Main[[#This Row],[Tech Start Date]],5),""))))</f>
        <v/>
      </c>
      <c r="P1395" s="168" t="str">
        <f>IF(Main[[#This Row],[Tech Start Date]]&lt;1/1/1990,"",IF(Main[[#This Row],[Class]]="C",WORKDAY(Main[[#This Row],[Tech Start Date]],28),IF(Main[[#This Row],[Class]]="B", WORKDAY(Main[[#This Row],[Tech Start Date]],19),IF(Main[[#This Row],[Class]]="A",WORKDAY(Main[[#This Row],[Tech Start Date]],9),""))))</f>
        <v/>
      </c>
      <c r="Q1395" s="161">
        <v>40979</v>
      </c>
      <c r="R1395" s="161">
        <v>40979</v>
      </c>
      <c r="S1395" s="128" t="s">
        <v>17</v>
      </c>
      <c r="T1395" s="172" t="s">
        <v>925</v>
      </c>
      <c r="U1395" s="128" t="s">
        <v>29</v>
      </c>
      <c r="V1395" s="128" t="s">
        <v>1932</v>
      </c>
      <c r="W1395" s="128" t="s">
        <v>1921</v>
      </c>
      <c r="X1395" s="128" t="s">
        <v>924</v>
      </c>
      <c r="Y1395" s="128" t="s">
        <v>2988</v>
      </c>
      <c r="Z1395" s="128" t="s">
        <v>2214</v>
      </c>
      <c r="AA1395" s="146" t="s">
        <v>924</v>
      </c>
    </row>
    <row r="1396" spans="1:27" ht="18.600000000000001" customHeight="1">
      <c r="A1396" s="142" t="str">
        <f>IF(priority(Main[[#This Row],[Comments]])&lt;&gt;0, priority(Main[[#This Row],[Comments]]),"")</f>
        <v/>
      </c>
      <c r="B1396" s="127" t="s">
        <v>1871</v>
      </c>
      <c r="C1396" s="128" t="s">
        <v>4</v>
      </c>
      <c r="D1396" s="159" t="s">
        <v>927</v>
      </c>
      <c r="E1396" s="161"/>
      <c r="F1396" s="161"/>
      <c r="G1396" s="163" t="str">
        <f>IF(stdProdLT(Main[[#This Row],[Comments]])=0.1,"N/A",IF(stdProdLT(Main[[#This Row],[Comments]])=0,"",stdProdLT(Main[[#This Row],[Comments]])))</f>
        <v/>
      </c>
      <c r="H1396" s="165" t="str">
        <f>IF(AND(Main[[#This Row],[In Stock Date]]&lt;&gt;"",Main[[#This Row],[Revised Due Date]]&lt;&gt;""),Main[[#This Row],[In Stock Date]]-Main[[#This Row],[Revised Due Date]],"")</f>
        <v/>
      </c>
      <c r="I1396" s="128" t="s">
        <v>30</v>
      </c>
      <c r="J1396" s="128" t="s">
        <v>52</v>
      </c>
      <c r="K1396" s="128" t="s">
        <v>1926</v>
      </c>
      <c r="L1396" s="161">
        <v>40589</v>
      </c>
      <c r="M1396" s="168">
        <f>IF(Main[[#This Row],[Tech Start Date]]&lt;1/1/1990,"",IF(Main[[#This Row],[Class]]="C",WORKDAY(Main[[#This Row],[Tech Start Date]],9),IF(Main[[#This Row],[Class]]="B", WORKDAY(Main[[#This Row],[Tech Start Date]],6),IF(Main[[#This Row],[Class]]="A",WORKDAY(Main[[#This Row],[Tech Start Date]],2),""))))</f>
        <v>40591</v>
      </c>
      <c r="N1396" s="168">
        <f>IF(Main[[#This Row],[Tech Start Date]]&lt;1/1/1990,"",IF(Main[[#This Row],[Class]]="C",WORKDAY(Main[[#This Row],[Tech Start Date]],19),IF(Main[[#This Row],[Class]]="B", WORKDAY(Main[[#This Row],[Tech Start Date]],12),IF(Main[[#This Row],[Class]]="A",WORKDAY(Main[[#This Row],[Tech Start Date]],4),""))))</f>
        <v>40595</v>
      </c>
      <c r="O1396" s="168">
        <f>IF(Main[[#This Row],[Tech Start Date]]&lt;1/1/1990,"",IF(Main[[#This Row],[Class]]="C",WORKDAY(Main[[#This Row],[Tech Start Date]],23),IF(Main[[#This Row],[Class]]="B", WORKDAY(Main[[#This Row],[Tech Start Date]],15),IF(Main[[#This Row],[Class]]="A",WORKDAY(Main[[#This Row],[Tech Start Date]],5),""))))</f>
        <v>40596</v>
      </c>
      <c r="P1396" s="168">
        <f>IF(Main[[#This Row],[Tech Start Date]]&lt;1/1/1990,"",IF(Main[[#This Row],[Class]]="C",WORKDAY(Main[[#This Row],[Tech Start Date]],28),IF(Main[[#This Row],[Class]]="B", WORKDAY(Main[[#This Row],[Tech Start Date]],19),IF(Main[[#This Row],[Class]]="A",WORKDAY(Main[[#This Row],[Tech Start Date]],9),""))))</f>
        <v>40602</v>
      </c>
      <c r="Q1396" s="161">
        <v>40592</v>
      </c>
      <c r="R1396" s="161">
        <v>40624</v>
      </c>
      <c r="S1396" s="128" t="s">
        <v>6</v>
      </c>
      <c r="T1396" s="172" t="s">
        <v>4</v>
      </c>
      <c r="U1396" s="128" t="s">
        <v>14</v>
      </c>
      <c r="V1396" s="128" t="s">
        <v>1920</v>
      </c>
      <c r="W1396" s="128" t="s">
        <v>1919</v>
      </c>
      <c r="X1396" s="128" t="s">
        <v>30</v>
      </c>
      <c r="Y1396" s="128" t="s">
        <v>3021</v>
      </c>
      <c r="Z1396" s="128" t="s">
        <v>30</v>
      </c>
      <c r="AA1396" s="146" t="s">
        <v>3412</v>
      </c>
    </row>
    <row r="1397" spans="1:27" ht="18.600000000000001" customHeight="1">
      <c r="A1397" s="142" t="str">
        <f>IF(priority(Main[[#This Row],[Comments]])&lt;&gt;0, priority(Main[[#This Row],[Comments]]),"")</f>
        <v/>
      </c>
      <c r="B1397" s="127" t="s">
        <v>1868</v>
      </c>
      <c r="C1397" s="128" t="s">
        <v>4</v>
      </c>
      <c r="D1397" s="159" t="s">
        <v>923</v>
      </c>
      <c r="E1397" s="161">
        <v>40590.540578703702</v>
      </c>
      <c r="F1397" s="161"/>
      <c r="G1397" s="163" t="str">
        <f>IF(stdProdLT(Main[[#This Row],[Comments]])=0.1,"N/A",IF(stdProdLT(Main[[#This Row],[Comments]])=0,"",stdProdLT(Main[[#This Row],[Comments]])))</f>
        <v/>
      </c>
      <c r="H1397" s="165" t="str">
        <f>IF(AND(Main[[#This Row],[In Stock Date]]&lt;&gt;"",Main[[#This Row],[Revised Due Date]]&lt;&gt;""),Main[[#This Row],[In Stock Date]]-Main[[#This Row],[Revised Due Date]],"")</f>
        <v/>
      </c>
      <c r="I1397" s="128" t="s">
        <v>4</v>
      </c>
      <c r="J1397" s="128" t="s">
        <v>28</v>
      </c>
      <c r="K1397" s="128" t="s">
        <v>1926</v>
      </c>
      <c r="L1397" s="161">
        <v>40590</v>
      </c>
      <c r="M1397" s="168">
        <f>IF(Main[[#This Row],[Tech Start Date]]&lt;1/1/1990,"",IF(Main[[#This Row],[Class]]="C",WORKDAY(Main[[#This Row],[Tech Start Date]],9),IF(Main[[#This Row],[Class]]="B", WORKDAY(Main[[#This Row],[Tech Start Date]],6),IF(Main[[#This Row],[Class]]="A",WORKDAY(Main[[#This Row],[Tech Start Date]],2),""))))</f>
        <v>40592</v>
      </c>
      <c r="N1397" s="168">
        <f>IF(Main[[#This Row],[Tech Start Date]]&lt;1/1/1990,"",IF(Main[[#This Row],[Class]]="C",WORKDAY(Main[[#This Row],[Tech Start Date]],19),IF(Main[[#This Row],[Class]]="B", WORKDAY(Main[[#This Row],[Tech Start Date]],12),IF(Main[[#This Row],[Class]]="A",WORKDAY(Main[[#This Row],[Tech Start Date]],4),""))))</f>
        <v>40596</v>
      </c>
      <c r="O1397" s="168">
        <f>IF(Main[[#This Row],[Tech Start Date]]&lt;1/1/1990,"",IF(Main[[#This Row],[Class]]="C",WORKDAY(Main[[#This Row],[Tech Start Date]],23),IF(Main[[#This Row],[Class]]="B", WORKDAY(Main[[#This Row],[Tech Start Date]],15),IF(Main[[#This Row],[Class]]="A",WORKDAY(Main[[#This Row],[Tech Start Date]],5),""))))</f>
        <v>40597</v>
      </c>
      <c r="P1397" s="168">
        <f>IF(Main[[#This Row],[Tech Start Date]]&lt;1/1/1990,"",IF(Main[[#This Row],[Class]]="C",WORKDAY(Main[[#This Row],[Tech Start Date]],28),IF(Main[[#This Row],[Class]]="B", WORKDAY(Main[[#This Row],[Tech Start Date]],19),IF(Main[[#This Row],[Class]]="A",WORKDAY(Main[[#This Row],[Tech Start Date]],9),""))))</f>
        <v>40603</v>
      </c>
      <c r="Q1397" s="161">
        <v>40618</v>
      </c>
      <c r="R1397" s="161">
        <v>40604</v>
      </c>
      <c r="S1397" s="128" t="s">
        <v>6</v>
      </c>
      <c r="T1397" s="172" t="s">
        <v>4</v>
      </c>
      <c r="U1397" s="128" t="s">
        <v>29</v>
      </c>
      <c r="V1397" s="128" t="s">
        <v>1917</v>
      </c>
      <c r="W1397" s="128" t="s">
        <v>1921</v>
      </c>
      <c r="X1397" s="128" t="s">
        <v>2842</v>
      </c>
      <c r="Y1397" s="128" t="s">
        <v>2971</v>
      </c>
      <c r="Z1397" s="128" t="s">
        <v>4</v>
      </c>
      <c r="AA1397" s="146" t="s">
        <v>2842</v>
      </c>
    </row>
    <row r="1398" spans="1:27" ht="18.600000000000001" customHeight="1">
      <c r="A1398" s="142" t="str">
        <f>IF(priority(Main[[#This Row],[Comments]])&lt;&gt;0, priority(Main[[#This Row],[Comments]]),"")</f>
        <v/>
      </c>
      <c r="B1398" s="215" t="s">
        <v>1872</v>
      </c>
      <c r="C1398" s="217" t="s">
        <v>4</v>
      </c>
      <c r="D1398" s="219" t="s">
        <v>2252</v>
      </c>
      <c r="E1398" s="221">
        <v>40577.592002314814</v>
      </c>
      <c r="F1398" s="221"/>
      <c r="G1398" s="223" t="str">
        <f>IF(stdProdLT(Main[[#This Row],[Comments]])=0.1,"N/A",IF(stdProdLT(Main[[#This Row],[Comments]])=0,"",stdProdLT(Main[[#This Row],[Comments]])))</f>
        <v/>
      </c>
      <c r="H1398" s="225" t="str">
        <f>IF(AND(Main[[#This Row],[In Stock Date]]&lt;&gt;"",Main[[#This Row],[Revised Due Date]]&lt;&gt;""),Main[[#This Row],[In Stock Date]]-Main[[#This Row],[Revised Due Date]],"")</f>
        <v/>
      </c>
      <c r="I1398" s="217" t="s">
        <v>914</v>
      </c>
      <c r="J1398" s="217" t="s">
        <v>28</v>
      </c>
      <c r="K1398" s="217" t="s">
        <v>1926</v>
      </c>
      <c r="L1398" s="221">
        <v>40591</v>
      </c>
      <c r="M1398" s="227">
        <f>IF(Main[[#This Row],[Tech Start Date]]&lt;1/1/1990,"",IF(Main[[#This Row],[Class]]="C",WORKDAY(Main[[#This Row],[Tech Start Date]],9),IF(Main[[#This Row],[Class]]="B", WORKDAY(Main[[#This Row],[Tech Start Date]],6),IF(Main[[#This Row],[Class]]="A",WORKDAY(Main[[#This Row],[Tech Start Date]],2),""))))</f>
        <v>40595</v>
      </c>
      <c r="N1398" s="227">
        <f>IF(Main[[#This Row],[Tech Start Date]]&lt;1/1/1990,"",IF(Main[[#This Row],[Class]]="C",WORKDAY(Main[[#This Row],[Tech Start Date]],19),IF(Main[[#This Row],[Class]]="B", WORKDAY(Main[[#This Row],[Tech Start Date]],12),IF(Main[[#This Row],[Class]]="A",WORKDAY(Main[[#This Row],[Tech Start Date]],4),""))))</f>
        <v>40597</v>
      </c>
      <c r="O1398" s="227">
        <f>IF(Main[[#This Row],[Tech Start Date]]&lt;1/1/1990,"",IF(Main[[#This Row],[Class]]="C",WORKDAY(Main[[#This Row],[Tech Start Date]],23),IF(Main[[#This Row],[Class]]="B", WORKDAY(Main[[#This Row],[Tech Start Date]],15),IF(Main[[#This Row],[Class]]="A",WORKDAY(Main[[#This Row],[Tech Start Date]],5),""))))</f>
        <v>40598</v>
      </c>
      <c r="P1398" s="227">
        <f>IF(Main[[#This Row],[Tech Start Date]]&lt;1/1/1990,"",IF(Main[[#This Row],[Class]]="C",WORKDAY(Main[[#This Row],[Tech Start Date]],28),IF(Main[[#This Row],[Class]]="B", WORKDAY(Main[[#This Row],[Tech Start Date]],19),IF(Main[[#This Row],[Class]]="A",WORKDAY(Main[[#This Row],[Tech Start Date]],9),""))))</f>
        <v>40604</v>
      </c>
      <c r="Q1398" s="221">
        <v>40626</v>
      </c>
      <c r="R1398" s="221">
        <v>40626</v>
      </c>
      <c r="S1398" s="217" t="s">
        <v>6</v>
      </c>
      <c r="T1398" s="229" t="s">
        <v>4</v>
      </c>
      <c r="U1398" s="217" t="s">
        <v>29</v>
      </c>
      <c r="V1398" s="217" t="s">
        <v>1917</v>
      </c>
      <c r="W1398" s="217" t="s">
        <v>1919</v>
      </c>
      <c r="X1398" s="217" t="s">
        <v>399</v>
      </c>
      <c r="Y1398" s="217" t="s">
        <v>3114</v>
      </c>
      <c r="Z1398" s="217" t="s">
        <v>914</v>
      </c>
      <c r="AA1398" s="146" t="s">
        <v>3386</v>
      </c>
    </row>
    <row r="1399" spans="1:27" ht="18.600000000000001" customHeight="1">
      <c r="A1399" s="142" t="str">
        <f>IF(priority(Main[[#This Row],[Comments]])&lt;&gt;0, priority(Main[[#This Row],[Comments]]),"")</f>
        <v/>
      </c>
      <c r="B1399" s="127" t="s">
        <v>1895</v>
      </c>
      <c r="C1399" s="128" t="s">
        <v>949</v>
      </c>
      <c r="D1399" s="159" t="s">
        <v>1963</v>
      </c>
      <c r="E1399" s="161"/>
      <c r="F1399" s="161">
        <v>40709</v>
      </c>
      <c r="G1399" s="163" t="str">
        <f>IF(stdProdLT(Main[[#This Row],[Comments]])=0.1,"N/A",IF(stdProdLT(Main[[#This Row],[Comments]])=0,"",stdProdLT(Main[[#This Row],[Comments]])))</f>
        <v/>
      </c>
      <c r="H1399" s="165">
        <f>IF(AND(Main[[#This Row],[In Stock Date]]&lt;&gt;"",Main[[#This Row],[Revised Due Date]]&lt;&gt;""),Main[[#This Row],[In Stock Date]]-Main[[#This Row],[Revised Due Date]],"")</f>
        <v>-44</v>
      </c>
      <c r="I1399" s="128" t="s">
        <v>909</v>
      </c>
      <c r="J1399" s="128" t="s">
        <v>28</v>
      </c>
      <c r="K1399" s="128" t="s">
        <v>1924</v>
      </c>
      <c r="L1399" s="161">
        <v>40612</v>
      </c>
      <c r="M1399" s="168">
        <f>IF(Main[[#This Row],[Tech Start Date]]&lt;1/1/1990,"",IF(Main[[#This Row],[Class]]="C",WORKDAY(Main[[#This Row],[Tech Start Date]],9),IF(Main[[#This Row],[Class]]="B", WORKDAY(Main[[#This Row],[Tech Start Date]],6),IF(Main[[#This Row],[Class]]="A",WORKDAY(Main[[#This Row],[Tech Start Date]],2),""))))</f>
        <v>40620</v>
      </c>
      <c r="N1399" s="168">
        <f>IF(Main[[#This Row],[Tech Start Date]]&lt;1/1/1990,"",IF(Main[[#This Row],[Class]]="C",WORKDAY(Main[[#This Row],[Tech Start Date]],19),IF(Main[[#This Row],[Class]]="B", WORKDAY(Main[[#This Row],[Tech Start Date]],12),IF(Main[[#This Row],[Class]]="A",WORKDAY(Main[[#This Row],[Tech Start Date]],4),""))))</f>
        <v>40630</v>
      </c>
      <c r="O1399" s="168">
        <f>IF(Main[[#This Row],[Tech Start Date]]&lt;1/1/1990,"",IF(Main[[#This Row],[Class]]="C",WORKDAY(Main[[#This Row],[Tech Start Date]],23),IF(Main[[#This Row],[Class]]="B", WORKDAY(Main[[#This Row],[Tech Start Date]],15),IF(Main[[#This Row],[Class]]="A",WORKDAY(Main[[#This Row],[Tech Start Date]],5),""))))</f>
        <v>40633</v>
      </c>
      <c r="P1399" s="168">
        <f>IF(Main[[#This Row],[Tech Start Date]]&lt;1/1/1990,"",IF(Main[[#This Row],[Class]]="C",WORKDAY(Main[[#This Row],[Tech Start Date]],28),IF(Main[[#This Row],[Class]]="B", WORKDAY(Main[[#This Row],[Tech Start Date]],19),IF(Main[[#This Row],[Class]]="A",WORKDAY(Main[[#This Row],[Tech Start Date]],9),""))))</f>
        <v>40639</v>
      </c>
      <c r="Q1399" s="161"/>
      <c r="R1399" s="161">
        <v>40753</v>
      </c>
      <c r="S1399" s="128" t="s">
        <v>11</v>
      </c>
      <c r="T1399" s="172" t="s">
        <v>2004</v>
      </c>
      <c r="U1399" s="128" t="s">
        <v>14</v>
      </c>
      <c r="V1399" s="128" t="s">
        <v>1917</v>
      </c>
      <c r="W1399" s="128" t="s">
        <v>1922</v>
      </c>
      <c r="X1399" s="128" t="s">
        <v>50</v>
      </c>
      <c r="Y1399" s="128" t="s">
        <v>3153</v>
      </c>
      <c r="Z1399" s="128" t="s">
        <v>879</v>
      </c>
      <c r="AA1399" s="146" t="s">
        <v>3483</v>
      </c>
    </row>
    <row r="1400" spans="1:27" ht="18.600000000000001" customHeight="1">
      <c r="A1400" s="142" t="str">
        <f>IF(priority(Main[[#This Row],[Comments]])&lt;&gt;0, priority(Main[[#This Row],[Comments]]),"")</f>
        <v/>
      </c>
      <c r="B1400" s="127" t="s">
        <v>1899</v>
      </c>
      <c r="C1400" s="128" t="s">
        <v>951</v>
      </c>
      <c r="D1400" s="159" t="s">
        <v>952</v>
      </c>
      <c r="E1400" s="161"/>
      <c r="F1400" s="161">
        <v>40775</v>
      </c>
      <c r="G1400" s="163" t="str">
        <f>IF(stdProdLT(Main[[#This Row],[Comments]])=0.1,"N/A",IF(stdProdLT(Main[[#This Row],[Comments]])=0,"",stdProdLT(Main[[#This Row],[Comments]])))</f>
        <v/>
      </c>
      <c r="H1400" s="165">
        <f>IF(AND(Main[[#This Row],[In Stock Date]]&lt;&gt;"",Main[[#This Row],[Revised Due Date]]&lt;&gt;""),Main[[#This Row],[In Stock Date]]-Main[[#This Row],[Revised Due Date]],"")</f>
        <v>51</v>
      </c>
      <c r="I1400" s="128" t="s">
        <v>891</v>
      </c>
      <c r="J1400" s="128" t="s">
        <v>28</v>
      </c>
      <c r="K1400" s="128" t="s">
        <v>1929</v>
      </c>
      <c r="L1400" s="161">
        <v>40619</v>
      </c>
      <c r="M1400" s="168" t="str">
        <f>IF(Main[[#This Row],[Tech Start Date]]&lt;1/1/1990,"",IF(Main[[#This Row],[Class]]="C",WORKDAY(Main[[#This Row],[Tech Start Date]],9),IF(Main[[#This Row],[Class]]="B", WORKDAY(Main[[#This Row],[Tech Start Date]],6),IF(Main[[#This Row],[Class]]="A",WORKDAY(Main[[#This Row],[Tech Start Date]],2),""))))</f>
        <v/>
      </c>
      <c r="N1400" s="168" t="str">
        <f>IF(Main[[#This Row],[Tech Start Date]]&lt;1/1/1990,"",IF(Main[[#This Row],[Class]]="C",WORKDAY(Main[[#This Row],[Tech Start Date]],19),IF(Main[[#This Row],[Class]]="B", WORKDAY(Main[[#This Row],[Tech Start Date]],12),IF(Main[[#This Row],[Class]]="A",WORKDAY(Main[[#This Row],[Tech Start Date]],4),""))))</f>
        <v/>
      </c>
      <c r="O1400" s="168" t="str">
        <f>IF(Main[[#This Row],[Tech Start Date]]&lt;1/1/1990,"",IF(Main[[#This Row],[Class]]="C",WORKDAY(Main[[#This Row],[Tech Start Date]],23),IF(Main[[#This Row],[Class]]="B", WORKDAY(Main[[#This Row],[Tech Start Date]],15),IF(Main[[#This Row],[Class]]="A",WORKDAY(Main[[#This Row],[Tech Start Date]],5),""))))</f>
        <v/>
      </c>
      <c r="P1400" s="168" t="str">
        <f>IF(Main[[#This Row],[Tech Start Date]]&lt;1/1/1990,"",IF(Main[[#This Row],[Class]]="C",WORKDAY(Main[[#This Row],[Tech Start Date]],28),IF(Main[[#This Row],[Class]]="B", WORKDAY(Main[[#This Row],[Tech Start Date]],19),IF(Main[[#This Row],[Class]]="A",WORKDAY(Main[[#This Row],[Tech Start Date]],9),""))))</f>
        <v/>
      </c>
      <c r="Q1400" s="161">
        <v>40635</v>
      </c>
      <c r="R1400" s="161">
        <v>40724</v>
      </c>
      <c r="S1400" s="128" t="s">
        <v>11</v>
      </c>
      <c r="T1400" s="172" t="s">
        <v>4</v>
      </c>
      <c r="U1400" s="128" t="s">
        <v>14</v>
      </c>
      <c r="V1400" s="128" t="s">
        <v>1918</v>
      </c>
      <c r="W1400" s="128" t="s">
        <v>1925</v>
      </c>
      <c r="X1400" s="128" t="s">
        <v>2910</v>
      </c>
      <c r="Y1400" s="128" t="s">
        <v>4</v>
      </c>
      <c r="Z1400" s="128" t="s">
        <v>879</v>
      </c>
      <c r="AA1400" s="146" t="s">
        <v>2910</v>
      </c>
    </row>
    <row r="1401" spans="1:27" ht="18.600000000000001" customHeight="1">
      <c r="A1401" s="142" t="str">
        <f>IF(priority(Main[[#This Row],[Comments]])&lt;&gt;0, priority(Main[[#This Row],[Comments]]),"")</f>
        <v/>
      </c>
      <c r="B1401" s="127" t="s">
        <v>1891</v>
      </c>
      <c r="C1401" s="128" t="s">
        <v>116</v>
      </c>
      <c r="D1401" s="159" t="s">
        <v>945</v>
      </c>
      <c r="E1401" s="161"/>
      <c r="F1401" s="161">
        <v>40725</v>
      </c>
      <c r="G1401" s="163" t="str">
        <f>IF(stdProdLT(Main[[#This Row],[Comments]])=0.1,"N/A",IF(stdProdLT(Main[[#This Row],[Comments]])=0,"",stdProdLT(Main[[#This Row],[Comments]])))</f>
        <v/>
      </c>
      <c r="H1401" s="165">
        <f>IF(AND(Main[[#This Row],[In Stock Date]]&lt;&gt;"",Main[[#This Row],[Revised Due Date]]&lt;&gt;""),Main[[#This Row],[In Stock Date]]-Main[[#This Row],[Revised Due Date]],"")</f>
        <v>11</v>
      </c>
      <c r="I1401" s="128" t="s">
        <v>171</v>
      </c>
      <c r="J1401" s="128" t="s">
        <v>28</v>
      </c>
      <c r="K1401" s="128" t="s">
        <v>1926</v>
      </c>
      <c r="L1401" s="161">
        <v>40623</v>
      </c>
      <c r="M1401" s="168">
        <f>IF(Main[[#This Row],[Tech Start Date]]&lt;1/1/1990,"",IF(Main[[#This Row],[Class]]="C",WORKDAY(Main[[#This Row],[Tech Start Date]],9),IF(Main[[#This Row],[Class]]="B", WORKDAY(Main[[#This Row],[Tech Start Date]],6),IF(Main[[#This Row],[Class]]="A",WORKDAY(Main[[#This Row],[Tech Start Date]],2),""))))</f>
        <v>40625</v>
      </c>
      <c r="N1401" s="168">
        <f>IF(Main[[#This Row],[Tech Start Date]]&lt;1/1/1990,"",IF(Main[[#This Row],[Class]]="C",WORKDAY(Main[[#This Row],[Tech Start Date]],19),IF(Main[[#This Row],[Class]]="B", WORKDAY(Main[[#This Row],[Tech Start Date]],12),IF(Main[[#This Row],[Class]]="A",WORKDAY(Main[[#This Row],[Tech Start Date]],4),""))))</f>
        <v>40627</v>
      </c>
      <c r="O1401" s="168">
        <f>IF(Main[[#This Row],[Tech Start Date]]&lt;1/1/1990,"",IF(Main[[#This Row],[Class]]="C",WORKDAY(Main[[#This Row],[Tech Start Date]],23),IF(Main[[#This Row],[Class]]="B", WORKDAY(Main[[#This Row],[Tech Start Date]],15),IF(Main[[#This Row],[Class]]="A",WORKDAY(Main[[#This Row],[Tech Start Date]],5),""))))</f>
        <v>40630</v>
      </c>
      <c r="P1401" s="168">
        <f>IF(Main[[#This Row],[Tech Start Date]]&lt;1/1/1990,"",IF(Main[[#This Row],[Class]]="C",WORKDAY(Main[[#This Row],[Tech Start Date]],28),IF(Main[[#This Row],[Class]]="B", WORKDAY(Main[[#This Row],[Tech Start Date]],19),IF(Main[[#This Row],[Class]]="A",WORKDAY(Main[[#This Row],[Tech Start Date]],9),""))))</f>
        <v>40634</v>
      </c>
      <c r="Q1401" s="161">
        <v>40714</v>
      </c>
      <c r="R1401" s="161">
        <v>40714</v>
      </c>
      <c r="S1401" s="128" t="s">
        <v>11</v>
      </c>
      <c r="T1401" s="172" t="s">
        <v>946</v>
      </c>
      <c r="U1401" s="128" t="s">
        <v>14</v>
      </c>
      <c r="V1401" s="128" t="s">
        <v>1920</v>
      </c>
      <c r="W1401" s="128" t="s">
        <v>1922</v>
      </c>
      <c r="X1401" s="128" t="s">
        <v>2851</v>
      </c>
      <c r="Y1401" s="128" t="s">
        <v>3071</v>
      </c>
      <c r="Z1401" s="128" t="s">
        <v>171</v>
      </c>
      <c r="AA1401" s="146" t="s">
        <v>2851</v>
      </c>
    </row>
    <row r="1402" spans="1:27" ht="18.600000000000001" customHeight="1">
      <c r="A1402" s="142" t="str">
        <f>IF(priority(Main[[#This Row],[Comments]])&lt;&gt;0, priority(Main[[#This Row],[Comments]]),"")</f>
        <v/>
      </c>
      <c r="B1402" s="127" t="s">
        <v>1438</v>
      </c>
      <c r="C1402" s="128" t="s">
        <v>4</v>
      </c>
      <c r="D1402" s="159" t="s">
        <v>514</v>
      </c>
      <c r="E1402" s="161">
        <v>40623.553414351853</v>
      </c>
      <c r="F1402" s="161"/>
      <c r="G1402" s="163" t="str">
        <f>IF(stdProdLT(Main[[#This Row],[Comments]])=0.1,"N/A",IF(stdProdLT(Main[[#This Row],[Comments]])=0,"",stdProdLT(Main[[#This Row],[Comments]])))</f>
        <v/>
      </c>
      <c r="H1402" s="165" t="str">
        <f>IF(AND(Main[[#This Row],[In Stock Date]]&lt;&gt;"",Main[[#This Row],[Revised Due Date]]&lt;&gt;""),Main[[#This Row],[In Stock Date]]-Main[[#This Row],[Revised Due Date]],"")</f>
        <v/>
      </c>
      <c r="I1402" s="128" t="s">
        <v>30</v>
      </c>
      <c r="J1402" s="128" t="s">
        <v>21</v>
      </c>
      <c r="K1402" s="128" t="s">
        <v>1926</v>
      </c>
      <c r="L1402" s="161">
        <v>40623</v>
      </c>
      <c r="M1402" s="168">
        <f>IF(Main[[#This Row],[Tech Start Date]]&lt;1/1/1990,"",IF(Main[[#This Row],[Class]]="C",WORKDAY(Main[[#This Row],[Tech Start Date]],9),IF(Main[[#This Row],[Class]]="B", WORKDAY(Main[[#This Row],[Tech Start Date]],6),IF(Main[[#This Row],[Class]]="A",WORKDAY(Main[[#This Row],[Tech Start Date]],2),""))))</f>
        <v>40625</v>
      </c>
      <c r="N1402" s="168">
        <f>IF(Main[[#This Row],[Tech Start Date]]&lt;1/1/1990,"",IF(Main[[#This Row],[Class]]="C",WORKDAY(Main[[#This Row],[Tech Start Date]],19),IF(Main[[#This Row],[Class]]="B", WORKDAY(Main[[#This Row],[Tech Start Date]],12),IF(Main[[#This Row],[Class]]="A",WORKDAY(Main[[#This Row],[Tech Start Date]],4),""))))</f>
        <v>40627</v>
      </c>
      <c r="O1402" s="168">
        <f>IF(Main[[#This Row],[Tech Start Date]]&lt;1/1/1990,"",IF(Main[[#This Row],[Class]]="C",WORKDAY(Main[[#This Row],[Tech Start Date]],23),IF(Main[[#This Row],[Class]]="B", WORKDAY(Main[[#This Row],[Tech Start Date]],15),IF(Main[[#This Row],[Class]]="A",WORKDAY(Main[[#This Row],[Tech Start Date]],5),""))))</f>
        <v>40630</v>
      </c>
      <c r="P1402" s="168">
        <f>IF(Main[[#This Row],[Tech Start Date]]&lt;1/1/1990,"",IF(Main[[#This Row],[Class]]="C",WORKDAY(Main[[#This Row],[Tech Start Date]],28),IF(Main[[#This Row],[Class]]="B", WORKDAY(Main[[#This Row],[Tech Start Date]],19),IF(Main[[#This Row],[Class]]="A",WORKDAY(Main[[#This Row],[Tech Start Date]],9),""))))</f>
        <v>40634</v>
      </c>
      <c r="Q1402" s="161">
        <v>40662</v>
      </c>
      <c r="R1402" s="161"/>
      <c r="S1402" s="128" t="s">
        <v>6</v>
      </c>
      <c r="T1402" s="172" t="s">
        <v>4</v>
      </c>
      <c r="U1402" s="128" t="s">
        <v>29</v>
      </c>
      <c r="V1402" s="128" t="s">
        <v>1927</v>
      </c>
      <c r="W1402" s="128" t="s">
        <v>1921</v>
      </c>
      <c r="X1402" s="128" t="s">
        <v>30</v>
      </c>
      <c r="Y1402" s="128" t="s">
        <v>2963</v>
      </c>
      <c r="Z1402" s="128" t="s">
        <v>30</v>
      </c>
      <c r="AA1402" s="146" t="s">
        <v>30</v>
      </c>
    </row>
    <row r="1403" spans="1:27" ht="18.600000000000001" customHeight="1">
      <c r="A1403" s="142" t="str">
        <f>IF(priority(Main[[#This Row],[Comments]])&lt;&gt;0, priority(Main[[#This Row],[Comments]]),"")</f>
        <v/>
      </c>
      <c r="B1403" s="127" t="s">
        <v>1877</v>
      </c>
      <c r="C1403" s="128" t="s">
        <v>31</v>
      </c>
      <c r="D1403" s="159" t="s">
        <v>929</v>
      </c>
      <c r="E1403" s="161"/>
      <c r="F1403" s="161">
        <v>40725</v>
      </c>
      <c r="G1403" s="163" t="str">
        <f>IF(stdProdLT(Main[[#This Row],[Comments]])=0.1,"N/A",IF(stdProdLT(Main[[#This Row],[Comments]])=0,"",stdProdLT(Main[[#This Row],[Comments]])))</f>
        <v/>
      </c>
      <c r="H1403" s="165">
        <f>IF(AND(Main[[#This Row],[In Stock Date]]&lt;&gt;"",Main[[#This Row],[Revised Due Date]]&lt;&gt;""),Main[[#This Row],[In Stock Date]]-Main[[#This Row],[Revised Due Date]],"")</f>
        <v>66</v>
      </c>
      <c r="I1403" s="128" t="s">
        <v>171</v>
      </c>
      <c r="J1403" s="128" t="s">
        <v>28</v>
      </c>
      <c r="K1403" s="128" t="s">
        <v>1926</v>
      </c>
      <c r="L1403" s="161">
        <v>40623</v>
      </c>
      <c r="M1403" s="168">
        <f>IF(Main[[#This Row],[Tech Start Date]]&lt;1/1/1990,"",IF(Main[[#This Row],[Class]]="C",WORKDAY(Main[[#This Row],[Tech Start Date]],9),IF(Main[[#This Row],[Class]]="B", WORKDAY(Main[[#This Row],[Tech Start Date]],6),IF(Main[[#This Row],[Class]]="A",WORKDAY(Main[[#This Row],[Tech Start Date]],2),""))))</f>
        <v>40625</v>
      </c>
      <c r="N1403" s="168">
        <f>IF(Main[[#This Row],[Tech Start Date]]&lt;1/1/1990,"",IF(Main[[#This Row],[Class]]="C",WORKDAY(Main[[#This Row],[Tech Start Date]],19),IF(Main[[#This Row],[Class]]="B", WORKDAY(Main[[#This Row],[Tech Start Date]],12),IF(Main[[#This Row],[Class]]="A",WORKDAY(Main[[#This Row],[Tech Start Date]],4),""))))</f>
        <v>40627</v>
      </c>
      <c r="O1403" s="168">
        <f>IF(Main[[#This Row],[Tech Start Date]]&lt;1/1/1990,"",IF(Main[[#This Row],[Class]]="C",WORKDAY(Main[[#This Row],[Tech Start Date]],23),IF(Main[[#This Row],[Class]]="B", WORKDAY(Main[[#This Row],[Tech Start Date]],15),IF(Main[[#This Row],[Class]]="A",WORKDAY(Main[[#This Row],[Tech Start Date]],5),""))))</f>
        <v>40630</v>
      </c>
      <c r="P1403" s="168">
        <f>IF(Main[[#This Row],[Tech Start Date]]&lt;1/1/1990,"",IF(Main[[#This Row],[Class]]="C",WORKDAY(Main[[#This Row],[Tech Start Date]],28),IF(Main[[#This Row],[Class]]="B", WORKDAY(Main[[#This Row],[Tech Start Date]],19),IF(Main[[#This Row],[Class]]="A",WORKDAY(Main[[#This Row],[Tech Start Date]],9),""))))</f>
        <v>40634</v>
      </c>
      <c r="Q1403" s="161">
        <v>40659</v>
      </c>
      <c r="R1403" s="161">
        <v>40659</v>
      </c>
      <c r="S1403" s="128" t="s">
        <v>11</v>
      </c>
      <c r="T1403" s="172" t="s">
        <v>4</v>
      </c>
      <c r="U1403" s="128" t="s">
        <v>14</v>
      </c>
      <c r="V1403" s="128" t="s">
        <v>1920</v>
      </c>
      <c r="W1403" s="128" t="s">
        <v>1923</v>
      </c>
      <c r="X1403" s="128" t="s">
        <v>2851</v>
      </c>
      <c r="Y1403" s="128" t="s">
        <v>3071</v>
      </c>
      <c r="Z1403" s="128" t="s">
        <v>171</v>
      </c>
      <c r="AA1403" s="146" t="s">
        <v>2851</v>
      </c>
    </row>
    <row r="1404" spans="1:27" ht="18.600000000000001" customHeight="1">
      <c r="A1404" s="142" t="str">
        <f>IF(priority(Main[[#This Row],[Comments]])&lt;&gt;0, priority(Main[[#This Row],[Comments]]),"")</f>
        <v/>
      </c>
      <c r="B1404" s="127" t="s">
        <v>1879</v>
      </c>
      <c r="C1404" s="128" t="s">
        <v>4</v>
      </c>
      <c r="D1404" s="159" t="s">
        <v>3828</v>
      </c>
      <c r="E1404" s="161">
        <v>40624.55673611111</v>
      </c>
      <c r="F1404" s="161"/>
      <c r="G1404" s="163" t="str">
        <f>IF(stdProdLT(Main[[#This Row],[Comments]])=0.1,"N/A",IF(stdProdLT(Main[[#This Row],[Comments]])=0,"",stdProdLT(Main[[#This Row],[Comments]])))</f>
        <v/>
      </c>
      <c r="H1404" s="165" t="str">
        <f>IF(AND(Main[[#This Row],[In Stock Date]]&lt;&gt;"",Main[[#This Row],[Revised Due Date]]&lt;&gt;""),Main[[#This Row],[In Stock Date]]-Main[[#This Row],[Revised Due Date]],"")</f>
        <v/>
      </c>
      <c r="I1404" s="128" t="s">
        <v>69</v>
      </c>
      <c r="J1404" s="128" t="s">
        <v>70</v>
      </c>
      <c r="K1404" s="128" t="s">
        <v>1926</v>
      </c>
      <c r="L1404" s="161">
        <v>40638</v>
      </c>
      <c r="M1404" s="168">
        <f>IF(Main[[#This Row],[Tech Start Date]]&lt;1/1/1990,"",IF(Main[[#This Row],[Class]]="C",WORKDAY(Main[[#This Row],[Tech Start Date]],9),IF(Main[[#This Row],[Class]]="B", WORKDAY(Main[[#This Row],[Tech Start Date]],6),IF(Main[[#This Row],[Class]]="A",WORKDAY(Main[[#This Row],[Tech Start Date]],2),""))))</f>
        <v>40640</v>
      </c>
      <c r="N1404" s="168">
        <f>IF(Main[[#This Row],[Tech Start Date]]&lt;1/1/1990,"",IF(Main[[#This Row],[Class]]="C",WORKDAY(Main[[#This Row],[Tech Start Date]],19),IF(Main[[#This Row],[Class]]="B", WORKDAY(Main[[#This Row],[Tech Start Date]],12),IF(Main[[#This Row],[Class]]="A",WORKDAY(Main[[#This Row],[Tech Start Date]],4),""))))</f>
        <v>40644</v>
      </c>
      <c r="O1404" s="168">
        <f>IF(Main[[#This Row],[Tech Start Date]]&lt;1/1/1990,"",IF(Main[[#This Row],[Class]]="C",WORKDAY(Main[[#This Row],[Tech Start Date]],23),IF(Main[[#This Row],[Class]]="B", WORKDAY(Main[[#This Row],[Tech Start Date]],15),IF(Main[[#This Row],[Class]]="A",WORKDAY(Main[[#This Row],[Tech Start Date]],5),""))))</f>
        <v>40645</v>
      </c>
      <c r="P1404" s="168">
        <f>IF(Main[[#This Row],[Tech Start Date]]&lt;1/1/1990,"",IF(Main[[#This Row],[Class]]="C",WORKDAY(Main[[#This Row],[Tech Start Date]],28),IF(Main[[#This Row],[Class]]="B", WORKDAY(Main[[#This Row],[Tech Start Date]],19),IF(Main[[#This Row],[Class]]="A",WORKDAY(Main[[#This Row],[Tech Start Date]],9),""))))</f>
        <v>40651</v>
      </c>
      <c r="Q1404" s="161"/>
      <c r="R1404" s="161">
        <v>40675</v>
      </c>
      <c r="S1404" s="128" t="s">
        <v>6</v>
      </c>
      <c r="T1404" s="172" t="s">
        <v>4</v>
      </c>
      <c r="U1404" s="128" t="s">
        <v>29</v>
      </c>
      <c r="V1404" s="128" t="s">
        <v>1920</v>
      </c>
      <c r="W1404" s="128" t="s">
        <v>1921</v>
      </c>
      <c r="X1404" s="128" t="s">
        <v>2926</v>
      </c>
      <c r="Y1404" s="128" t="s">
        <v>3154</v>
      </c>
      <c r="Z1404" s="128" t="s">
        <v>30</v>
      </c>
      <c r="AA1404" s="146" t="s">
        <v>2926</v>
      </c>
    </row>
    <row r="1405" spans="1:27" ht="18.600000000000001" customHeight="1">
      <c r="A1405" s="142" t="str">
        <f>IF(priority(Main[[#This Row],[Comments]])&lt;&gt;0, priority(Main[[#This Row],[Comments]]),"")</f>
        <v/>
      </c>
      <c r="B1405" s="127" t="s">
        <v>1875</v>
      </c>
      <c r="C1405" s="128" t="s">
        <v>4</v>
      </c>
      <c r="D1405" s="159" t="s">
        <v>2612</v>
      </c>
      <c r="E1405" s="161">
        <v>40627.819594907407</v>
      </c>
      <c r="F1405" s="161"/>
      <c r="G1405" s="163" t="str">
        <f>IF(stdProdLT(Main[[#This Row],[Comments]])=0.1,"N/A",IF(stdProdLT(Main[[#This Row],[Comments]])=0,"",stdProdLT(Main[[#This Row],[Comments]])))</f>
        <v/>
      </c>
      <c r="H1405" s="165" t="str">
        <f>IF(AND(Main[[#This Row],[In Stock Date]]&lt;&gt;"",Main[[#This Row],[Revised Due Date]]&lt;&gt;""),Main[[#This Row],[In Stock Date]]-Main[[#This Row],[Revised Due Date]],"")</f>
        <v/>
      </c>
      <c r="I1405" s="128" t="s">
        <v>30</v>
      </c>
      <c r="J1405" s="128" t="s">
        <v>75</v>
      </c>
      <c r="K1405" s="128" t="s">
        <v>1926</v>
      </c>
      <c r="L1405" s="161">
        <v>40639</v>
      </c>
      <c r="M1405" s="168">
        <f>IF(Main[[#This Row],[Tech Start Date]]&lt;1/1/1990,"",IF(Main[[#This Row],[Class]]="C",WORKDAY(Main[[#This Row],[Tech Start Date]],9),IF(Main[[#This Row],[Class]]="B", WORKDAY(Main[[#This Row],[Tech Start Date]],6),IF(Main[[#This Row],[Class]]="A",WORKDAY(Main[[#This Row],[Tech Start Date]],2),""))))</f>
        <v>40641</v>
      </c>
      <c r="N1405" s="168">
        <f>IF(Main[[#This Row],[Tech Start Date]]&lt;1/1/1990,"",IF(Main[[#This Row],[Class]]="C",WORKDAY(Main[[#This Row],[Tech Start Date]],19),IF(Main[[#This Row],[Class]]="B", WORKDAY(Main[[#This Row],[Tech Start Date]],12),IF(Main[[#This Row],[Class]]="A",WORKDAY(Main[[#This Row],[Tech Start Date]],4),""))))</f>
        <v>40645</v>
      </c>
      <c r="O1405" s="168">
        <f>IF(Main[[#This Row],[Tech Start Date]]&lt;1/1/1990,"",IF(Main[[#This Row],[Class]]="C",WORKDAY(Main[[#This Row],[Tech Start Date]],23),IF(Main[[#This Row],[Class]]="B", WORKDAY(Main[[#This Row],[Tech Start Date]],15),IF(Main[[#This Row],[Class]]="A",WORKDAY(Main[[#This Row],[Tech Start Date]],5),""))))</f>
        <v>40646</v>
      </c>
      <c r="P1405" s="168">
        <f>IF(Main[[#This Row],[Tech Start Date]]&lt;1/1/1990,"",IF(Main[[#This Row],[Class]]="C",WORKDAY(Main[[#This Row],[Tech Start Date]],28),IF(Main[[#This Row],[Class]]="B", WORKDAY(Main[[#This Row],[Tech Start Date]],19),IF(Main[[#This Row],[Class]]="A",WORKDAY(Main[[#This Row],[Tech Start Date]],9),""))))</f>
        <v>40652</v>
      </c>
      <c r="Q1405" s="161">
        <v>40659</v>
      </c>
      <c r="R1405" s="161">
        <v>40646</v>
      </c>
      <c r="S1405" s="128" t="s">
        <v>6</v>
      </c>
      <c r="T1405" s="172" t="s">
        <v>4</v>
      </c>
      <c r="U1405" s="128" t="s">
        <v>29</v>
      </c>
      <c r="V1405" s="128" t="s">
        <v>1920</v>
      </c>
      <c r="W1405" s="128" t="s">
        <v>1921</v>
      </c>
      <c r="X1405" s="128" t="s">
        <v>30</v>
      </c>
      <c r="Y1405" s="128" t="s">
        <v>2963</v>
      </c>
      <c r="Z1405" s="128" t="s">
        <v>30</v>
      </c>
      <c r="AA1405" s="146" t="s">
        <v>30</v>
      </c>
    </row>
    <row r="1406" spans="1:27" ht="18.600000000000001" customHeight="1">
      <c r="A1406" s="142" t="str">
        <f>IF(priority(Main[[#This Row],[Comments]])&lt;&gt;0, priority(Main[[#This Row],[Comments]]),"")</f>
        <v/>
      </c>
      <c r="B1406" s="127" t="s">
        <v>1882</v>
      </c>
      <c r="C1406" s="128" t="s">
        <v>4</v>
      </c>
      <c r="D1406" s="159" t="s">
        <v>2137</v>
      </c>
      <c r="E1406" s="161"/>
      <c r="F1406" s="161"/>
      <c r="G1406" s="163" t="str">
        <f>IF(stdProdLT(Main[[#This Row],[Comments]])=0.1,"N/A",IF(stdProdLT(Main[[#This Row],[Comments]])=0,"",stdProdLT(Main[[#This Row],[Comments]])))</f>
        <v/>
      </c>
      <c r="H1406" s="165" t="str">
        <f>IF(AND(Main[[#This Row],[In Stock Date]]&lt;&gt;"",Main[[#This Row],[Revised Due Date]]&lt;&gt;""),Main[[#This Row],[In Stock Date]]-Main[[#This Row],[Revised Due Date]],"")</f>
        <v/>
      </c>
      <c r="I1406" s="128" t="s">
        <v>306</v>
      </c>
      <c r="J1406" s="128" t="s">
        <v>75</v>
      </c>
      <c r="K1406" s="128" t="s">
        <v>1926</v>
      </c>
      <c r="L1406" s="161">
        <v>40651</v>
      </c>
      <c r="M1406" s="168">
        <f>IF(Main[[#This Row],[Tech Start Date]]&lt;1/1/1990,"",IF(Main[[#This Row],[Class]]="C",WORKDAY(Main[[#This Row],[Tech Start Date]],9),IF(Main[[#This Row],[Class]]="B", WORKDAY(Main[[#This Row],[Tech Start Date]],6),IF(Main[[#This Row],[Class]]="A",WORKDAY(Main[[#This Row],[Tech Start Date]],2),""))))</f>
        <v>40653</v>
      </c>
      <c r="N1406" s="168">
        <f>IF(Main[[#This Row],[Tech Start Date]]&lt;1/1/1990,"",IF(Main[[#This Row],[Class]]="C",WORKDAY(Main[[#This Row],[Tech Start Date]],19),IF(Main[[#This Row],[Class]]="B", WORKDAY(Main[[#This Row],[Tech Start Date]],12),IF(Main[[#This Row],[Class]]="A",WORKDAY(Main[[#This Row],[Tech Start Date]],4),""))))</f>
        <v>40655</v>
      </c>
      <c r="O1406" s="168">
        <f>IF(Main[[#This Row],[Tech Start Date]]&lt;1/1/1990,"",IF(Main[[#This Row],[Class]]="C",WORKDAY(Main[[#This Row],[Tech Start Date]],23),IF(Main[[#This Row],[Class]]="B", WORKDAY(Main[[#This Row],[Tech Start Date]],15),IF(Main[[#This Row],[Class]]="A",WORKDAY(Main[[#This Row],[Tech Start Date]],5),""))))</f>
        <v>40658</v>
      </c>
      <c r="P1406" s="168">
        <f>IF(Main[[#This Row],[Tech Start Date]]&lt;1/1/1990,"",IF(Main[[#This Row],[Class]]="C",WORKDAY(Main[[#This Row],[Tech Start Date]],28),IF(Main[[#This Row],[Class]]="B", WORKDAY(Main[[#This Row],[Tech Start Date]],19),IF(Main[[#This Row],[Class]]="A",WORKDAY(Main[[#This Row],[Tech Start Date]],9),""))))</f>
        <v>40662</v>
      </c>
      <c r="Q1406" s="161">
        <v>40480</v>
      </c>
      <c r="R1406" s="161">
        <v>40689</v>
      </c>
      <c r="S1406" s="128" t="s">
        <v>6</v>
      </c>
      <c r="T1406" s="172" t="s">
        <v>4</v>
      </c>
      <c r="U1406" s="128" t="s">
        <v>14</v>
      </c>
      <c r="V1406" s="128" t="s">
        <v>1927</v>
      </c>
      <c r="W1406" s="128" t="s">
        <v>1921</v>
      </c>
      <c r="X1406" s="128" t="s">
        <v>2824</v>
      </c>
      <c r="Y1406" s="128" t="s">
        <v>2935</v>
      </c>
      <c r="Z1406" s="128" t="s">
        <v>30</v>
      </c>
      <c r="AA1406" s="146" t="s">
        <v>2824</v>
      </c>
    </row>
    <row r="1407" spans="1:27" ht="18.600000000000001" customHeight="1">
      <c r="A1407" s="142" t="str">
        <f>IF(priority(Main[[#This Row],[Comments]])&lt;&gt;0, priority(Main[[#This Row],[Comments]]),"")</f>
        <v/>
      </c>
      <c r="B1407" s="127" t="s">
        <v>1881</v>
      </c>
      <c r="C1407" s="128" t="s">
        <v>4</v>
      </c>
      <c r="D1407" s="159" t="s">
        <v>932</v>
      </c>
      <c r="E1407" s="161"/>
      <c r="F1407" s="161"/>
      <c r="G1407" s="163" t="str">
        <f>IF(stdProdLT(Main[[#This Row],[Comments]])=0.1,"N/A",IF(stdProdLT(Main[[#This Row],[Comments]])=0,"",stdProdLT(Main[[#This Row],[Comments]])))</f>
        <v/>
      </c>
      <c r="H1407" s="165" t="str">
        <f>IF(AND(Main[[#This Row],[In Stock Date]]&lt;&gt;"",Main[[#This Row],[Revised Due Date]]&lt;&gt;""),Main[[#This Row],[In Stock Date]]-Main[[#This Row],[Revised Due Date]],"")</f>
        <v/>
      </c>
      <c r="I1407" s="128" t="s">
        <v>44</v>
      </c>
      <c r="J1407" s="128" t="s">
        <v>28</v>
      </c>
      <c r="K1407" s="128" t="s">
        <v>1926</v>
      </c>
      <c r="L1407" s="161">
        <v>40651</v>
      </c>
      <c r="M1407" s="168">
        <f>IF(Main[[#This Row],[Tech Start Date]]&lt;1/1/1990,"",IF(Main[[#This Row],[Class]]="C",WORKDAY(Main[[#This Row],[Tech Start Date]],9),IF(Main[[#This Row],[Class]]="B", WORKDAY(Main[[#This Row],[Tech Start Date]],6),IF(Main[[#This Row],[Class]]="A",WORKDAY(Main[[#This Row],[Tech Start Date]],2),""))))</f>
        <v>40653</v>
      </c>
      <c r="N1407" s="168">
        <f>IF(Main[[#This Row],[Tech Start Date]]&lt;1/1/1990,"",IF(Main[[#This Row],[Class]]="C",WORKDAY(Main[[#This Row],[Tech Start Date]],19),IF(Main[[#This Row],[Class]]="B", WORKDAY(Main[[#This Row],[Tech Start Date]],12),IF(Main[[#This Row],[Class]]="A",WORKDAY(Main[[#This Row],[Tech Start Date]],4),""))))</f>
        <v>40655</v>
      </c>
      <c r="O1407" s="168">
        <f>IF(Main[[#This Row],[Tech Start Date]]&lt;1/1/1990,"",IF(Main[[#This Row],[Class]]="C",WORKDAY(Main[[#This Row],[Tech Start Date]],23),IF(Main[[#This Row],[Class]]="B", WORKDAY(Main[[#This Row],[Tech Start Date]],15),IF(Main[[#This Row],[Class]]="A",WORKDAY(Main[[#This Row],[Tech Start Date]],5),""))))</f>
        <v>40658</v>
      </c>
      <c r="P1407" s="168">
        <f>IF(Main[[#This Row],[Tech Start Date]]&lt;1/1/1990,"",IF(Main[[#This Row],[Class]]="C",WORKDAY(Main[[#This Row],[Tech Start Date]],28),IF(Main[[#This Row],[Class]]="B", WORKDAY(Main[[#This Row],[Tech Start Date]],19),IF(Main[[#This Row],[Class]]="A",WORKDAY(Main[[#This Row],[Tech Start Date]],9),""))))</f>
        <v>40662</v>
      </c>
      <c r="Q1407" s="161">
        <v>40494</v>
      </c>
      <c r="R1407" s="161">
        <v>40689</v>
      </c>
      <c r="S1407" s="128" t="s">
        <v>6</v>
      </c>
      <c r="T1407" s="172" t="s">
        <v>4</v>
      </c>
      <c r="U1407" s="128" t="s">
        <v>14</v>
      </c>
      <c r="V1407" s="128" t="s">
        <v>1920</v>
      </c>
      <c r="W1407" s="128" t="s">
        <v>1921</v>
      </c>
      <c r="X1407" s="128" t="s">
        <v>2825</v>
      </c>
      <c r="Y1407" s="128" t="s">
        <v>2938</v>
      </c>
      <c r="Z1407" s="128" t="s">
        <v>44</v>
      </c>
      <c r="AA1407" s="146" t="s">
        <v>2825</v>
      </c>
    </row>
    <row r="1408" spans="1:27" ht="18.600000000000001" customHeight="1">
      <c r="A1408" s="142" t="str">
        <f>IF(priority(Main[[#This Row],[Comments]])&lt;&gt;0, priority(Main[[#This Row],[Comments]]),"")</f>
        <v/>
      </c>
      <c r="B1408" s="127" t="s">
        <v>1880</v>
      </c>
      <c r="C1408" s="128" t="s">
        <v>4</v>
      </c>
      <c r="D1408" s="159" t="s">
        <v>931</v>
      </c>
      <c r="E1408" s="161"/>
      <c r="F1408" s="161"/>
      <c r="G1408" s="163" t="str">
        <f>IF(stdProdLT(Main[[#This Row],[Comments]])=0.1,"N/A",IF(stdProdLT(Main[[#This Row],[Comments]])=0,"",stdProdLT(Main[[#This Row],[Comments]])))</f>
        <v/>
      </c>
      <c r="H1408" s="165" t="str">
        <f>IF(AND(Main[[#This Row],[In Stock Date]]&lt;&gt;"",Main[[#This Row],[Revised Due Date]]&lt;&gt;""),Main[[#This Row],[In Stock Date]]-Main[[#This Row],[Revised Due Date]],"")</f>
        <v/>
      </c>
      <c r="I1408" s="128" t="s">
        <v>130</v>
      </c>
      <c r="J1408" s="128" t="s">
        <v>70</v>
      </c>
      <c r="K1408" s="128" t="s">
        <v>1926</v>
      </c>
      <c r="L1408" s="161">
        <v>40658</v>
      </c>
      <c r="M1408" s="168">
        <f>IF(Main[[#This Row],[Tech Start Date]]&lt;1/1/1990,"",IF(Main[[#This Row],[Class]]="C",WORKDAY(Main[[#This Row],[Tech Start Date]],9),IF(Main[[#This Row],[Class]]="B", WORKDAY(Main[[#This Row],[Tech Start Date]],6),IF(Main[[#This Row],[Class]]="A",WORKDAY(Main[[#This Row],[Tech Start Date]],2),""))))</f>
        <v>40660</v>
      </c>
      <c r="N1408" s="168">
        <f>IF(Main[[#This Row],[Tech Start Date]]&lt;1/1/1990,"",IF(Main[[#This Row],[Class]]="C",WORKDAY(Main[[#This Row],[Tech Start Date]],19),IF(Main[[#This Row],[Class]]="B", WORKDAY(Main[[#This Row],[Tech Start Date]],12),IF(Main[[#This Row],[Class]]="A",WORKDAY(Main[[#This Row],[Tech Start Date]],4),""))))</f>
        <v>40662</v>
      </c>
      <c r="O1408" s="168">
        <f>IF(Main[[#This Row],[Tech Start Date]]&lt;1/1/1990,"",IF(Main[[#This Row],[Class]]="C",WORKDAY(Main[[#This Row],[Tech Start Date]],23),IF(Main[[#This Row],[Class]]="B", WORKDAY(Main[[#This Row],[Tech Start Date]],15),IF(Main[[#This Row],[Class]]="A",WORKDAY(Main[[#This Row],[Tech Start Date]],5),""))))</f>
        <v>40665</v>
      </c>
      <c r="P1408" s="168">
        <f>IF(Main[[#This Row],[Tech Start Date]]&lt;1/1/1990,"",IF(Main[[#This Row],[Class]]="C",WORKDAY(Main[[#This Row],[Tech Start Date]],28),IF(Main[[#This Row],[Class]]="B", WORKDAY(Main[[#This Row],[Tech Start Date]],19),IF(Main[[#This Row],[Class]]="A",WORKDAY(Main[[#This Row],[Tech Start Date]],9),""))))</f>
        <v>40669</v>
      </c>
      <c r="Q1408" s="161">
        <v>40665</v>
      </c>
      <c r="R1408" s="161">
        <v>40686</v>
      </c>
      <c r="S1408" s="128" t="s">
        <v>6</v>
      </c>
      <c r="T1408" s="172" t="s">
        <v>4</v>
      </c>
      <c r="U1408" s="128" t="s">
        <v>14</v>
      </c>
      <c r="V1408" s="128" t="s">
        <v>1920</v>
      </c>
      <c r="W1408" s="128" t="s">
        <v>1919</v>
      </c>
      <c r="X1408" s="128" t="s">
        <v>2857</v>
      </c>
      <c r="Y1408" s="128" t="s">
        <v>2992</v>
      </c>
      <c r="Z1408" s="128" t="s">
        <v>30</v>
      </c>
      <c r="AA1408" s="146" t="s">
        <v>2857</v>
      </c>
    </row>
    <row r="1409" spans="1:27" ht="18.600000000000001" customHeight="1">
      <c r="A1409" s="142" t="str">
        <f>IF(priority(Main[[#This Row],[Comments]])&lt;&gt;0, priority(Main[[#This Row],[Comments]]),"")</f>
        <v/>
      </c>
      <c r="B1409" s="127" t="s">
        <v>1903</v>
      </c>
      <c r="C1409" s="128" t="s">
        <v>4</v>
      </c>
      <c r="D1409" s="159" t="s">
        <v>2613</v>
      </c>
      <c r="E1409" s="161">
        <v>40659.398043981484</v>
      </c>
      <c r="F1409" s="161"/>
      <c r="G1409" s="163" t="str">
        <f>IF(stdProdLT(Main[[#This Row],[Comments]])=0.1,"N/A",IF(stdProdLT(Main[[#This Row],[Comments]])=0,"",stdProdLT(Main[[#This Row],[Comments]])))</f>
        <v/>
      </c>
      <c r="H1409" s="165" t="str">
        <f>IF(AND(Main[[#This Row],[In Stock Date]]&lt;&gt;"",Main[[#This Row],[Revised Due Date]]&lt;&gt;""),Main[[#This Row],[In Stock Date]]-Main[[#This Row],[Revised Due Date]],"")</f>
        <v/>
      </c>
      <c r="I1409" s="128" t="s">
        <v>971</v>
      </c>
      <c r="J1409" s="128" t="s">
        <v>28</v>
      </c>
      <c r="K1409" s="128" t="s">
        <v>1929</v>
      </c>
      <c r="L1409" s="161">
        <v>40665</v>
      </c>
      <c r="M1409" s="168" t="str">
        <f>IF(Main[[#This Row],[Tech Start Date]]&lt;1/1/1990,"",IF(Main[[#This Row],[Class]]="C",WORKDAY(Main[[#This Row],[Tech Start Date]],9),IF(Main[[#This Row],[Class]]="B", WORKDAY(Main[[#This Row],[Tech Start Date]],6),IF(Main[[#This Row],[Class]]="A",WORKDAY(Main[[#This Row],[Tech Start Date]],2),""))))</f>
        <v/>
      </c>
      <c r="N1409" s="168" t="str">
        <f>IF(Main[[#This Row],[Tech Start Date]]&lt;1/1/1990,"",IF(Main[[#This Row],[Class]]="C",WORKDAY(Main[[#This Row],[Tech Start Date]],19),IF(Main[[#This Row],[Class]]="B", WORKDAY(Main[[#This Row],[Tech Start Date]],12),IF(Main[[#This Row],[Class]]="A",WORKDAY(Main[[#This Row],[Tech Start Date]],4),""))))</f>
        <v/>
      </c>
      <c r="O1409" s="168" t="str">
        <f>IF(Main[[#This Row],[Tech Start Date]]&lt;1/1/1990,"",IF(Main[[#This Row],[Class]]="C",WORKDAY(Main[[#This Row],[Tech Start Date]],23),IF(Main[[#This Row],[Class]]="B", WORKDAY(Main[[#This Row],[Tech Start Date]],15),IF(Main[[#This Row],[Class]]="A",WORKDAY(Main[[#This Row],[Tech Start Date]],5),""))))</f>
        <v/>
      </c>
      <c r="P1409" s="168" t="str">
        <f>IF(Main[[#This Row],[Tech Start Date]]&lt;1/1/1990,"",IF(Main[[#This Row],[Class]]="C",WORKDAY(Main[[#This Row],[Tech Start Date]],28),IF(Main[[#This Row],[Class]]="B", WORKDAY(Main[[#This Row],[Tech Start Date]],19),IF(Main[[#This Row],[Class]]="A",WORKDAY(Main[[#This Row],[Tech Start Date]],9),""))))</f>
        <v/>
      </c>
      <c r="Q1409" s="161">
        <v>40877</v>
      </c>
      <c r="R1409" s="161">
        <v>40900</v>
      </c>
      <c r="S1409" s="128" t="s">
        <v>17</v>
      </c>
      <c r="T1409" s="172" t="s">
        <v>2614</v>
      </c>
      <c r="U1409" s="128" t="s">
        <v>29</v>
      </c>
      <c r="V1409" s="128" t="s">
        <v>1917</v>
      </c>
      <c r="W1409" s="128" t="s">
        <v>1921</v>
      </c>
      <c r="X1409" s="128" t="s">
        <v>909</v>
      </c>
      <c r="Y1409" s="128" t="s">
        <v>3023</v>
      </c>
      <c r="Z1409" s="128" t="s">
        <v>879</v>
      </c>
      <c r="AA1409" s="146" t="s">
        <v>909</v>
      </c>
    </row>
    <row r="1410" spans="1:27" ht="18.600000000000001" customHeight="1">
      <c r="A1410" s="142" t="str">
        <f>IF(priority(Main[[#This Row],[Comments]])&lt;&gt;0, priority(Main[[#This Row],[Comments]]),"")</f>
        <v/>
      </c>
      <c r="B1410" s="127" t="s">
        <v>1886</v>
      </c>
      <c r="C1410" s="128" t="s">
        <v>113</v>
      </c>
      <c r="D1410" s="159" t="s">
        <v>2616</v>
      </c>
      <c r="E1410" s="161">
        <v>40596.601666666669</v>
      </c>
      <c r="F1410" s="161">
        <v>40605</v>
      </c>
      <c r="G1410" s="163" t="str">
        <f>IF(stdProdLT(Main[[#This Row],[Comments]])=0.1,"N/A",IF(stdProdLT(Main[[#This Row],[Comments]])=0,"",stdProdLT(Main[[#This Row],[Comments]])))</f>
        <v/>
      </c>
      <c r="H1410" s="165" t="str">
        <f>IF(AND(Main[[#This Row],[In Stock Date]]&lt;&gt;"",Main[[#This Row],[Revised Due Date]]&lt;&gt;""),Main[[#This Row],[In Stock Date]]-Main[[#This Row],[Revised Due Date]],"")</f>
        <v/>
      </c>
      <c r="I1410" s="128" t="s">
        <v>4</v>
      </c>
      <c r="J1410" s="128" t="s">
        <v>52</v>
      </c>
      <c r="K1410" s="128" t="s">
        <v>1930</v>
      </c>
      <c r="L1410" s="161">
        <v>40666</v>
      </c>
      <c r="M1410" s="168">
        <f>IF(Main[[#This Row],[Tech Start Date]]&lt;1/1/1990,"",IF(Main[[#This Row],[Class]]="C",WORKDAY(Main[[#This Row],[Tech Start Date]],9),IF(Main[[#This Row],[Class]]="B", WORKDAY(Main[[#This Row],[Tech Start Date]],6),IF(Main[[#This Row],[Class]]="A",WORKDAY(Main[[#This Row],[Tech Start Date]],2),""))))</f>
        <v>40679</v>
      </c>
      <c r="N1410" s="168">
        <f>IF(Main[[#This Row],[Tech Start Date]]&lt;1/1/1990,"",IF(Main[[#This Row],[Class]]="C",WORKDAY(Main[[#This Row],[Tech Start Date]],19),IF(Main[[#This Row],[Class]]="B", WORKDAY(Main[[#This Row],[Tech Start Date]],12),IF(Main[[#This Row],[Class]]="A",WORKDAY(Main[[#This Row],[Tech Start Date]],4),""))))</f>
        <v>40693</v>
      </c>
      <c r="O1410" s="168">
        <f>IF(Main[[#This Row],[Tech Start Date]]&lt;1/1/1990,"",IF(Main[[#This Row],[Class]]="C",WORKDAY(Main[[#This Row],[Tech Start Date]],23),IF(Main[[#This Row],[Class]]="B", WORKDAY(Main[[#This Row],[Tech Start Date]],15),IF(Main[[#This Row],[Class]]="A",WORKDAY(Main[[#This Row],[Tech Start Date]],5),""))))</f>
        <v>40697</v>
      </c>
      <c r="P1410" s="168">
        <f>IF(Main[[#This Row],[Tech Start Date]]&lt;1/1/1990,"",IF(Main[[#This Row],[Class]]="C",WORKDAY(Main[[#This Row],[Tech Start Date]],28),IF(Main[[#This Row],[Class]]="B", WORKDAY(Main[[#This Row],[Tech Start Date]],19),IF(Main[[#This Row],[Class]]="A",WORKDAY(Main[[#This Row],[Tech Start Date]],9),""))))</f>
        <v>40704</v>
      </c>
      <c r="Q1410" s="161">
        <v>40701</v>
      </c>
      <c r="R1410" s="161"/>
      <c r="S1410" s="128" t="s">
        <v>17</v>
      </c>
      <c r="T1410" s="172" t="s">
        <v>2005</v>
      </c>
      <c r="U1410" s="128" t="s">
        <v>29</v>
      </c>
      <c r="V1410" s="128" t="s">
        <v>1917</v>
      </c>
      <c r="W1410" s="128" t="s">
        <v>1928</v>
      </c>
      <c r="X1410" s="128" t="s">
        <v>2867</v>
      </c>
      <c r="Y1410" s="128" t="s">
        <v>3011</v>
      </c>
      <c r="Z1410" s="128" t="s">
        <v>129</v>
      </c>
      <c r="AA1410" s="146" t="s">
        <v>2867</v>
      </c>
    </row>
    <row r="1411" spans="1:27" ht="18.600000000000001" customHeight="1">
      <c r="A1411" s="142" t="str">
        <f>IF(priority(Main[[#This Row],[Comments]])&lt;&gt;0, priority(Main[[#This Row],[Comments]]),"")</f>
        <v/>
      </c>
      <c r="B1411" s="127" t="s">
        <v>1887</v>
      </c>
      <c r="C1411" s="128" t="s">
        <v>937</v>
      </c>
      <c r="D1411" s="159" t="s">
        <v>938</v>
      </c>
      <c r="E1411" s="161"/>
      <c r="F1411" s="161">
        <v>40701</v>
      </c>
      <c r="G1411" s="163" t="str">
        <f>IF(stdProdLT(Main[[#This Row],[Comments]])=0.1,"N/A",IF(stdProdLT(Main[[#This Row],[Comments]])=0,"",stdProdLT(Main[[#This Row],[Comments]])))</f>
        <v/>
      </c>
      <c r="H1411" s="165">
        <f>IF(AND(Main[[#This Row],[In Stock Date]]&lt;&gt;"",Main[[#This Row],[Revised Due Date]]&lt;&gt;""),Main[[#This Row],[In Stock Date]]-Main[[#This Row],[Revised Due Date]],"")</f>
        <v>0</v>
      </c>
      <c r="I1411" s="128" t="s">
        <v>939</v>
      </c>
      <c r="J1411" s="128" t="s">
        <v>28</v>
      </c>
      <c r="K1411" s="128" t="s">
        <v>1930</v>
      </c>
      <c r="L1411" s="161">
        <v>40666</v>
      </c>
      <c r="M1411" s="168">
        <f>IF(Main[[#This Row],[Tech Start Date]]&lt;1/1/1990,"",IF(Main[[#This Row],[Class]]="C",WORKDAY(Main[[#This Row],[Tech Start Date]],9),IF(Main[[#This Row],[Class]]="B", WORKDAY(Main[[#This Row],[Tech Start Date]],6),IF(Main[[#This Row],[Class]]="A",WORKDAY(Main[[#This Row],[Tech Start Date]],2),""))))</f>
        <v>40679</v>
      </c>
      <c r="N1411" s="168">
        <f>IF(Main[[#This Row],[Tech Start Date]]&lt;1/1/1990,"",IF(Main[[#This Row],[Class]]="C",WORKDAY(Main[[#This Row],[Tech Start Date]],19),IF(Main[[#This Row],[Class]]="B", WORKDAY(Main[[#This Row],[Tech Start Date]],12),IF(Main[[#This Row],[Class]]="A",WORKDAY(Main[[#This Row],[Tech Start Date]],4),""))))</f>
        <v>40693</v>
      </c>
      <c r="O1411" s="168">
        <f>IF(Main[[#This Row],[Tech Start Date]]&lt;1/1/1990,"",IF(Main[[#This Row],[Class]]="C",WORKDAY(Main[[#This Row],[Tech Start Date]],23),IF(Main[[#This Row],[Class]]="B", WORKDAY(Main[[#This Row],[Tech Start Date]],15),IF(Main[[#This Row],[Class]]="A",WORKDAY(Main[[#This Row],[Tech Start Date]],5),""))))</f>
        <v>40697</v>
      </c>
      <c r="P1411" s="168">
        <f>IF(Main[[#This Row],[Tech Start Date]]&lt;1/1/1990,"",IF(Main[[#This Row],[Class]]="C",WORKDAY(Main[[#This Row],[Tech Start Date]],28),IF(Main[[#This Row],[Class]]="B", WORKDAY(Main[[#This Row],[Tech Start Date]],19),IF(Main[[#This Row],[Class]]="A",WORKDAY(Main[[#This Row],[Tech Start Date]],9),""))))</f>
        <v>40704</v>
      </c>
      <c r="Q1411" s="161">
        <v>40701</v>
      </c>
      <c r="R1411" s="161">
        <v>40701</v>
      </c>
      <c r="S1411" s="128" t="s">
        <v>11</v>
      </c>
      <c r="T1411" s="172" t="s">
        <v>940</v>
      </c>
      <c r="U1411" s="128" t="s">
        <v>14</v>
      </c>
      <c r="V1411" s="128" t="s">
        <v>1917</v>
      </c>
      <c r="W1411" s="128" t="s">
        <v>1922</v>
      </c>
      <c r="X1411" s="128" t="s">
        <v>2860</v>
      </c>
      <c r="Y1411" s="128" t="s">
        <v>3156</v>
      </c>
      <c r="Z1411" s="128" t="s">
        <v>129</v>
      </c>
      <c r="AA1411" s="146" t="s">
        <v>2860</v>
      </c>
    </row>
    <row r="1412" spans="1:27" ht="18.600000000000001" customHeight="1">
      <c r="A1412" s="142" t="str">
        <f>IF(priority(Main[[#This Row],[Comments]])&lt;&gt;0, priority(Main[[#This Row],[Comments]]),"")</f>
        <v/>
      </c>
      <c r="B1412" s="127" t="s">
        <v>1692</v>
      </c>
      <c r="C1412" s="128" t="s">
        <v>518</v>
      </c>
      <c r="D1412" s="159" t="s">
        <v>746</v>
      </c>
      <c r="E1412" s="161">
        <v>40661.601064814815</v>
      </c>
      <c r="F1412" s="161">
        <v>40862</v>
      </c>
      <c r="G1412" s="163" t="str">
        <f>IF(stdProdLT(Main[[#This Row],[Comments]])=0.1,"N/A",IF(stdProdLT(Main[[#This Row],[Comments]])=0,"",stdProdLT(Main[[#This Row],[Comments]])))</f>
        <v/>
      </c>
      <c r="H1412" s="165">
        <f>IF(AND(Main[[#This Row],[In Stock Date]]&lt;&gt;"",Main[[#This Row],[Revised Due Date]]&lt;&gt;""),Main[[#This Row],[In Stock Date]]-Main[[#This Row],[Revised Due Date]],"")</f>
        <v>1</v>
      </c>
      <c r="I1412" s="128" t="s">
        <v>747</v>
      </c>
      <c r="J1412" s="128" t="s">
        <v>28</v>
      </c>
      <c r="K1412" s="128" t="s">
        <v>1929</v>
      </c>
      <c r="L1412" s="161">
        <v>40668</v>
      </c>
      <c r="M1412" s="168" t="str">
        <f>IF(Main[[#This Row],[Tech Start Date]]&lt;1/1/1990,"",IF(Main[[#This Row],[Class]]="C",WORKDAY(Main[[#This Row],[Tech Start Date]],9),IF(Main[[#This Row],[Class]]="B", WORKDAY(Main[[#This Row],[Tech Start Date]],6),IF(Main[[#This Row],[Class]]="A",WORKDAY(Main[[#This Row],[Tech Start Date]],2),""))))</f>
        <v/>
      </c>
      <c r="N1412" s="168" t="str">
        <f>IF(Main[[#This Row],[Tech Start Date]]&lt;1/1/1990,"",IF(Main[[#This Row],[Class]]="C",WORKDAY(Main[[#This Row],[Tech Start Date]],19),IF(Main[[#This Row],[Class]]="B", WORKDAY(Main[[#This Row],[Tech Start Date]],12),IF(Main[[#This Row],[Class]]="A",WORKDAY(Main[[#This Row],[Tech Start Date]],4),""))))</f>
        <v/>
      </c>
      <c r="O1412" s="168" t="str">
        <f>IF(Main[[#This Row],[Tech Start Date]]&lt;1/1/1990,"",IF(Main[[#This Row],[Class]]="C",WORKDAY(Main[[#This Row],[Tech Start Date]],23),IF(Main[[#This Row],[Class]]="B", WORKDAY(Main[[#This Row],[Tech Start Date]],15),IF(Main[[#This Row],[Class]]="A",WORKDAY(Main[[#This Row],[Tech Start Date]],5),""))))</f>
        <v/>
      </c>
      <c r="P1412" s="168" t="str">
        <f>IF(Main[[#This Row],[Tech Start Date]]&lt;1/1/1990,"",IF(Main[[#This Row],[Class]]="C",WORKDAY(Main[[#This Row],[Tech Start Date]],28),IF(Main[[#This Row],[Class]]="B", WORKDAY(Main[[#This Row],[Tech Start Date]],19),IF(Main[[#This Row],[Class]]="A",WORKDAY(Main[[#This Row],[Tech Start Date]],9),""))))</f>
        <v/>
      </c>
      <c r="Q1412" s="161">
        <v>40739</v>
      </c>
      <c r="R1412" s="161">
        <v>40861</v>
      </c>
      <c r="S1412" s="128" t="s">
        <v>17</v>
      </c>
      <c r="T1412" s="172" t="s">
        <v>4</v>
      </c>
      <c r="U1412" s="128" t="s">
        <v>29</v>
      </c>
      <c r="V1412" s="128" t="s">
        <v>1920</v>
      </c>
      <c r="W1412" s="128" t="s">
        <v>1922</v>
      </c>
      <c r="X1412" s="128" t="s">
        <v>554</v>
      </c>
      <c r="Y1412" s="128" t="s">
        <v>3157</v>
      </c>
      <c r="Z1412" s="128" t="s">
        <v>970</v>
      </c>
      <c r="AA1412" s="146" t="s">
        <v>3484</v>
      </c>
    </row>
    <row r="1413" spans="1:27" ht="18.600000000000001" customHeight="1">
      <c r="A1413" s="142" t="str">
        <f>IF(priority(Main[[#This Row],[Comments]])&lt;&gt;0, priority(Main[[#This Row],[Comments]]),"")</f>
        <v/>
      </c>
      <c r="B1413" s="127" t="s">
        <v>1885</v>
      </c>
      <c r="C1413" s="128" t="s">
        <v>4</v>
      </c>
      <c r="D1413" s="159" t="s">
        <v>936</v>
      </c>
      <c r="E1413" s="161"/>
      <c r="F1413" s="161"/>
      <c r="G1413" s="163" t="str">
        <f>IF(stdProdLT(Main[[#This Row],[Comments]])=0.1,"N/A",IF(stdProdLT(Main[[#This Row],[Comments]])=0,"",stdProdLT(Main[[#This Row],[Comments]])))</f>
        <v/>
      </c>
      <c r="H1413" s="165" t="str">
        <f>IF(AND(Main[[#This Row],[In Stock Date]]&lt;&gt;"",Main[[#This Row],[Revised Due Date]]&lt;&gt;""),Main[[#This Row],[In Stock Date]]-Main[[#This Row],[Revised Due Date]],"")</f>
        <v/>
      </c>
      <c r="I1413" s="128" t="s">
        <v>30</v>
      </c>
      <c r="J1413" s="128" t="s">
        <v>28</v>
      </c>
      <c r="K1413" s="128" t="s">
        <v>1926</v>
      </c>
      <c r="L1413" s="161">
        <v>40686</v>
      </c>
      <c r="M1413" s="168">
        <f>IF(Main[[#This Row],[Tech Start Date]]&lt;1/1/1990,"",IF(Main[[#This Row],[Class]]="C",WORKDAY(Main[[#This Row],[Tech Start Date]],9),IF(Main[[#This Row],[Class]]="B", WORKDAY(Main[[#This Row],[Tech Start Date]],6),IF(Main[[#This Row],[Class]]="A",WORKDAY(Main[[#This Row],[Tech Start Date]],2),""))))</f>
        <v>40688</v>
      </c>
      <c r="N1413" s="168">
        <f>IF(Main[[#This Row],[Tech Start Date]]&lt;1/1/1990,"",IF(Main[[#This Row],[Class]]="C",WORKDAY(Main[[#This Row],[Tech Start Date]],19),IF(Main[[#This Row],[Class]]="B", WORKDAY(Main[[#This Row],[Tech Start Date]],12),IF(Main[[#This Row],[Class]]="A",WORKDAY(Main[[#This Row],[Tech Start Date]],4),""))))</f>
        <v>40690</v>
      </c>
      <c r="O1413" s="168">
        <f>IF(Main[[#This Row],[Tech Start Date]]&lt;1/1/1990,"",IF(Main[[#This Row],[Class]]="C",WORKDAY(Main[[#This Row],[Tech Start Date]],23),IF(Main[[#This Row],[Class]]="B", WORKDAY(Main[[#This Row],[Tech Start Date]],15),IF(Main[[#This Row],[Class]]="A",WORKDAY(Main[[#This Row],[Tech Start Date]],5),""))))</f>
        <v>40693</v>
      </c>
      <c r="P1413" s="168">
        <f>IF(Main[[#This Row],[Tech Start Date]]&lt;1/1/1990,"",IF(Main[[#This Row],[Class]]="C",WORKDAY(Main[[#This Row],[Tech Start Date]],28),IF(Main[[#This Row],[Class]]="B", WORKDAY(Main[[#This Row],[Tech Start Date]],19),IF(Main[[#This Row],[Class]]="A",WORKDAY(Main[[#This Row],[Tech Start Date]],9),""))))</f>
        <v>40697</v>
      </c>
      <c r="Q1413" s="161">
        <v>40669</v>
      </c>
      <c r="R1413" s="161">
        <v>40700</v>
      </c>
      <c r="S1413" s="128" t="s">
        <v>6</v>
      </c>
      <c r="T1413" s="172" t="s">
        <v>4</v>
      </c>
      <c r="U1413" s="128" t="s">
        <v>14</v>
      </c>
      <c r="V1413" s="128" t="s">
        <v>1920</v>
      </c>
      <c r="W1413" s="128" t="s">
        <v>1919</v>
      </c>
      <c r="X1413" s="128" t="s">
        <v>2825</v>
      </c>
      <c r="Y1413" s="128" t="s">
        <v>2938</v>
      </c>
      <c r="Z1413" s="128" t="s">
        <v>530</v>
      </c>
      <c r="AA1413" s="146" t="s">
        <v>2825</v>
      </c>
    </row>
    <row r="1414" spans="1:27" ht="18.600000000000001" customHeight="1">
      <c r="A1414" s="142" t="str">
        <f>IF(priority(Main[[#This Row],[Comments]])&lt;&gt;0, priority(Main[[#This Row],[Comments]]),"")</f>
        <v/>
      </c>
      <c r="B1414" s="127" t="s">
        <v>1213</v>
      </c>
      <c r="C1414" s="128" t="s">
        <v>4</v>
      </c>
      <c r="D1414" s="159" t="s">
        <v>271</v>
      </c>
      <c r="E1414" s="161">
        <v>40683.573206018518</v>
      </c>
      <c r="F1414" s="161"/>
      <c r="G1414" s="163" t="str">
        <f>IF(stdProdLT(Main[[#This Row],[Comments]])=0.1,"N/A",IF(stdProdLT(Main[[#This Row],[Comments]])=0,"",stdProdLT(Main[[#This Row],[Comments]])))</f>
        <v/>
      </c>
      <c r="H1414" s="165" t="str">
        <f>IF(AND(Main[[#This Row],[In Stock Date]]&lt;&gt;"",Main[[#This Row],[Revised Due Date]]&lt;&gt;""),Main[[#This Row],[In Stock Date]]-Main[[#This Row],[Revised Due Date]],"")</f>
        <v/>
      </c>
      <c r="I1414" s="128" t="s">
        <v>272</v>
      </c>
      <c r="J1414" s="128" t="s">
        <v>28</v>
      </c>
      <c r="K1414" s="128" t="s">
        <v>1929</v>
      </c>
      <c r="L1414" s="161">
        <v>40687</v>
      </c>
      <c r="M1414" s="168" t="str">
        <f>IF(Main[[#This Row],[Tech Start Date]]&lt;1/1/1990,"",IF(Main[[#This Row],[Class]]="C",WORKDAY(Main[[#This Row],[Tech Start Date]],9),IF(Main[[#This Row],[Class]]="B", WORKDAY(Main[[#This Row],[Tech Start Date]],6),IF(Main[[#This Row],[Class]]="A",WORKDAY(Main[[#This Row],[Tech Start Date]],2),""))))</f>
        <v/>
      </c>
      <c r="N1414" s="168" t="str">
        <f>IF(Main[[#This Row],[Tech Start Date]]&lt;1/1/1990,"",IF(Main[[#This Row],[Class]]="C",WORKDAY(Main[[#This Row],[Tech Start Date]],19),IF(Main[[#This Row],[Class]]="B", WORKDAY(Main[[#This Row],[Tech Start Date]],12),IF(Main[[#This Row],[Class]]="A",WORKDAY(Main[[#This Row],[Tech Start Date]],4),""))))</f>
        <v/>
      </c>
      <c r="O1414" s="168" t="str">
        <f>IF(Main[[#This Row],[Tech Start Date]]&lt;1/1/1990,"",IF(Main[[#This Row],[Class]]="C",WORKDAY(Main[[#This Row],[Tech Start Date]],23),IF(Main[[#This Row],[Class]]="B", WORKDAY(Main[[#This Row],[Tech Start Date]],15),IF(Main[[#This Row],[Class]]="A",WORKDAY(Main[[#This Row],[Tech Start Date]],5),""))))</f>
        <v/>
      </c>
      <c r="P1414" s="168" t="str">
        <f>IF(Main[[#This Row],[Tech Start Date]]&lt;1/1/1990,"",IF(Main[[#This Row],[Class]]="C",WORKDAY(Main[[#This Row],[Tech Start Date]],28),IF(Main[[#This Row],[Class]]="B", WORKDAY(Main[[#This Row],[Tech Start Date]],19),IF(Main[[#This Row],[Class]]="A",WORKDAY(Main[[#This Row],[Tech Start Date]],9),""))))</f>
        <v/>
      </c>
      <c r="Q1414" s="161">
        <v>41274</v>
      </c>
      <c r="R1414" s="161">
        <v>41241</v>
      </c>
      <c r="S1414" s="128" t="s">
        <v>17</v>
      </c>
      <c r="T1414" s="172" t="s">
        <v>4</v>
      </c>
      <c r="U1414" s="128" t="s">
        <v>29</v>
      </c>
      <c r="V1414" s="128" t="s">
        <v>1920</v>
      </c>
      <c r="W1414" s="128" t="s">
        <v>1922</v>
      </c>
      <c r="X1414" s="128" t="s">
        <v>554</v>
      </c>
      <c r="Y1414" s="128" t="s">
        <v>2958</v>
      </c>
      <c r="Z1414" s="128" t="s">
        <v>970</v>
      </c>
      <c r="AA1414" s="146" t="s">
        <v>554</v>
      </c>
    </row>
    <row r="1415" spans="1:27" ht="18.600000000000001" customHeight="1">
      <c r="A1415" s="142" t="str">
        <f>IF(priority(Main[[#This Row],[Comments]])&lt;&gt;0, priority(Main[[#This Row],[Comments]]),"")</f>
        <v/>
      </c>
      <c r="B1415" s="127" t="s">
        <v>1909</v>
      </c>
      <c r="C1415" s="128" t="s">
        <v>122</v>
      </c>
      <c r="D1415" s="159" t="s">
        <v>1957</v>
      </c>
      <c r="E1415" s="161">
        <v>40703.615451388891</v>
      </c>
      <c r="F1415" s="161">
        <v>40907</v>
      </c>
      <c r="G1415" s="163" t="str">
        <f>IF(stdProdLT(Main[[#This Row],[Comments]])=0.1,"N/A",IF(stdProdLT(Main[[#This Row],[Comments]])=0,"",stdProdLT(Main[[#This Row],[Comments]])))</f>
        <v/>
      </c>
      <c r="H1415" s="165">
        <f>IF(AND(Main[[#This Row],[In Stock Date]]&lt;&gt;"",Main[[#This Row],[Revised Due Date]]&lt;&gt;""),Main[[#This Row],[In Stock Date]]-Main[[#This Row],[Revised Due Date]],"")</f>
        <v>0</v>
      </c>
      <c r="I1415" s="128" t="s">
        <v>958</v>
      </c>
      <c r="J1415" s="128" t="s">
        <v>28</v>
      </c>
      <c r="K1415" s="128" t="s">
        <v>1929</v>
      </c>
      <c r="L1415" s="161">
        <v>40703</v>
      </c>
      <c r="M1415" s="168" t="str">
        <f>IF(Main[[#This Row],[Tech Start Date]]&lt;1/1/1990,"",IF(Main[[#This Row],[Class]]="C",WORKDAY(Main[[#This Row],[Tech Start Date]],9),IF(Main[[#This Row],[Class]]="B", WORKDAY(Main[[#This Row],[Tech Start Date]],6),IF(Main[[#This Row],[Class]]="A",WORKDAY(Main[[#This Row],[Tech Start Date]],2),""))))</f>
        <v/>
      </c>
      <c r="N1415" s="168" t="str">
        <f>IF(Main[[#This Row],[Tech Start Date]]&lt;1/1/1990,"",IF(Main[[#This Row],[Class]]="C",WORKDAY(Main[[#This Row],[Tech Start Date]],19),IF(Main[[#This Row],[Class]]="B", WORKDAY(Main[[#This Row],[Tech Start Date]],12),IF(Main[[#This Row],[Class]]="A",WORKDAY(Main[[#This Row],[Tech Start Date]],4),""))))</f>
        <v/>
      </c>
      <c r="O1415" s="168" t="str">
        <f>IF(Main[[#This Row],[Tech Start Date]]&lt;1/1/1990,"",IF(Main[[#This Row],[Class]]="C",WORKDAY(Main[[#This Row],[Tech Start Date]],23),IF(Main[[#This Row],[Class]]="B", WORKDAY(Main[[#This Row],[Tech Start Date]],15),IF(Main[[#This Row],[Class]]="A",WORKDAY(Main[[#This Row],[Tech Start Date]],5),""))))</f>
        <v/>
      </c>
      <c r="P1415" s="168" t="str">
        <f>IF(Main[[#This Row],[Tech Start Date]]&lt;1/1/1990,"",IF(Main[[#This Row],[Class]]="C",WORKDAY(Main[[#This Row],[Tech Start Date]],28),IF(Main[[#This Row],[Class]]="B", WORKDAY(Main[[#This Row],[Tech Start Date]],19),IF(Main[[#This Row],[Class]]="A",WORKDAY(Main[[#This Row],[Tech Start Date]],9),""))))</f>
        <v/>
      </c>
      <c r="Q1415" s="161">
        <v>40864</v>
      </c>
      <c r="R1415" s="161">
        <v>40907</v>
      </c>
      <c r="S1415" s="128" t="s">
        <v>17</v>
      </c>
      <c r="T1415" s="172" t="s">
        <v>1958</v>
      </c>
      <c r="U1415" s="128" t="s">
        <v>29</v>
      </c>
      <c r="V1415" s="128" t="s">
        <v>1918</v>
      </c>
      <c r="W1415" s="128" t="s">
        <v>1928</v>
      </c>
      <c r="X1415" s="128" t="s">
        <v>958</v>
      </c>
      <c r="Y1415" s="128" t="s">
        <v>4</v>
      </c>
      <c r="Z1415" s="128" t="s">
        <v>4</v>
      </c>
      <c r="AA1415" s="146" t="s">
        <v>977</v>
      </c>
    </row>
    <row r="1416" spans="1:27" ht="18.600000000000001" customHeight="1">
      <c r="A1416" s="142" t="str">
        <f>IF(priority(Main[[#This Row],[Comments]])&lt;&gt;0, priority(Main[[#This Row],[Comments]]),"")</f>
        <v/>
      </c>
      <c r="B1416" s="127" t="s">
        <v>2010</v>
      </c>
      <c r="C1416" s="128" t="s">
        <v>2011</v>
      </c>
      <c r="D1416" s="159" t="s">
        <v>2025</v>
      </c>
      <c r="E1416" s="161">
        <v>40737.577511574076</v>
      </c>
      <c r="F1416" s="161"/>
      <c r="G1416" s="163" t="str">
        <f>IF(stdProdLT(Main[[#This Row],[Comments]])=0.1,"N/A",IF(stdProdLT(Main[[#This Row],[Comments]])=0,"",stdProdLT(Main[[#This Row],[Comments]])))</f>
        <v/>
      </c>
      <c r="H1416" s="165" t="str">
        <f>IF(AND(Main[[#This Row],[In Stock Date]]&lt;&gt;"",Main[[#This Row],[Revised Due Date]]&lt;&gt;""),Main[[#This Row],[In Stock Date]]-Main[[#This Row],[Revised Due Date]],"")</f>
        <v/>
      </c>
      <c r="I1416" s="128" t="s">
        <v>4</v>
      </c>
      <c r="J1416" s="128" t="s">
        <v>28</v>
      </c>
      <c r="K1416" s="128" t="s">
        <v>1929</v>
      </c>
      <c r="L1416" s="161">
        <v>40742</v>
      </c>
      <c r="M1416" s="168" t="str">
        <f>IF(Main[[#This Row],[Tech Start Date]]&lt;1/1/1990,"",IF(Main[[#This Row],[Class]]="C",WORKDAY(Main[[#This Row],[Tech Start Date]],9),IF(Main[[#This Row],[Class]]="B", WORKDAY(Main[[#This Row],[Tech Start Date]],6),IF(Main[[#This Row],[Class]]="A",WORKDAY(Main[[#This Row],[Tech Start Date]],2),""))))</f>
        <v/>
      </c>
      <c r="N1416" s="168" t="str">
        <f>IF(Main[[#This Row],[Tech Start Date]]&lt;1/1/1990,"",IF(Main[[#This Row],[Class]]="C",WORKDAY(Main[[#This Row],[Tech Start Date]],19),IF(Main[[#This Row],[Class]]="B", WORKDAY(Main[[#This Row],[Tech Start Date]],12),IF(Main[[#This Row],[Class]]="A",WORKDAY(Main[[#This Row],[Tech Start Date]],4),""))))</f>
        <v/>
      </c>
      <c r="O1416" s="168" t="str">
        <f>IF(Main[[#This Row],[Tech Start Date]]&lt;1/1/1990,"",IF(Main[[#This Row],[Class]]="C",WORKDAY(Main[[#This Row],[Tech Start Date]],23),IF(Main[[#This Row],[Class]]="B", WORKDAY(Main[[#This Row],[Tech Start Date]],15),IF(Main[[#This Row],[Class]]="A",WORKDAY(Main[[#This Row],[Tech Start Date]],5),""))))</f>
        <v/>
      </c>
      <c r="P1416" s="168" t="str">
        <f>IF(Main[[#This Row],[Tech Start Date]]&lt;1/1/1990,"",IF(Main[[#This Row],[Class]]="C",WORKDAY(Main[[#This Row],[Tech Start Date]],28),IF(Main[[#This Row],[Class]]="B", WORKDAY(Main[[#This Row],[Tech Start Date]],19),IF(Main[[#This Row],[Class]]="A",WORKDAY(Main[[#This Row],[Tech Start Date]],9),""))))</f>
        <v/>
      </c>
      <c r="Q1416" s="161"/>
      <c r="R1416" s="161"/>
      <c r="S1416" s="128" t="s">
        <v>17</v>
      </c>
      <c r="T1416" s="172" t="s">
        <v>4</v>
      </c>
      <c r="U1416" s="128" t="s">
        <v>29</v>
      </c>
      <c r="V1416" s="128" t="s">
        <v>1917</v>
      </c>
      <c r="W1416" s="128" t="s">
        <v>1925</v>
      </c>
      <c r="X1416" s="128" t="s">
        <v>129</v>
      </c>
      <c r="Y1416" s="128" t="s">
        <v>2965</v>
      </c>
      <c r="Z1416" s="128" t="s">
        <v>129</v>
      </c>
      <c r="AA1416" s="146" t="s">
        <v>2834</v>
      </c>
    </row>
    <row r="1417" spans="1:27" ht="18.600000000000001" customHeight="1">
      <c r="A1417" s="142" t="str">
        <f>IF(priority(Main[[#This Row],[Comments]])&lt;&gt;0, priority(Main[[#This Row],[Comments]]),"")</f>
        <v/>
      </c>
      <c r="B1417" s="127" t="s">
        <v>1689</v>
      </c>
      <c r="C1417" s="128" t="s">
        <v>743</v>
      </c>
      <c r="D1417" s="159" t="s">
        <v>1975</v>
      </c>
      <c r="E1417" s="161">
        <v>40681.50267361111</v>
      </c>
      <c r="F1417" s="161"/>
      <c r="G1417" s="163" t="str">
        <f>IF(stdProdLT(Main[[#This Row],[Comments]])=0.1,"N/A",IF(stdProdLT(Main[[#This Row],[Comments]])=0,"",stdProdLT(Main[[#This Row],[Comments]])))</f>
        <v/>
      </c>
      <c r="H1417" s="165" t="str">
        <f>IF(AND(Main[[#This Row],[In Stock Date]]&lt;&gt;"",Main[[#This Row],[Revised Due Date]]&lt;&gt;""),Main[[#This Row],[In Stock Date]]-Main[[#This Row],[Revised Due Date]],"")</f>
        <v/>
      </c>
      <c r="I1417" s="128" t="s">
        <v>747</v>
      </c>
      <c r="J1417" s="128" t="s">
        <v>28</v>
      </c>
      <c r="K1417" s="128" t="s">
        <v>1929</v>
      </c>
      <c r="L1417" s="161">
        <v>40742</v>
      </c>
      <c r="M1417" s="168" t="str">
        <f>IF(Main[[#This Row],[Tech Start Date]]&lt;1/1/1990,"",IF(Main[[#This Row],[Class]]="C",WORKDAY(Main[[#This Row],[Tech Start Date]],9),IF(Main[[#This Row],[Class]]="B", WORKDAY(Main[[#This Row],[Tech Start Date]],6),IF(Main[[#This Row],[Class]]="A",WORKDAY(Main[[#This Row],[Tech Start Date]],2),""))))</f>
        <v/>
      </c>
      <c r="N1417" s="168" t="str">
        <f>IF(Main[[#This Row],[Tech Start Date]]&lt;1/1/1990,"",IF(Main[[#This Row],[Class]]="C",WORKDAY(Main[[#This Row],[Tech Start Date]],19),IF(Main[[#This Row],[Class]]="B", WORKDAY(Main[[#This Row],[Tech Start Date]],12),IF(Main[[#This Row],[Class]]="A",WORKDAY(Main[[#This Row],[Tech Start Date]],4),""))))</f>
        <v/>
      </c>
      <c r="O1417" s="168" t="str">
        <f>IF(Main[[#This Row],[Tech Start Date]]&lt;1/1/1990,"",IF(Main[[#This Row],[Class]]="C",WORKDAY(Main[[#This Row],[Tech Start Date]],23),IF(Main[[#This Row],[Class]]="B", WORKDAY(Main[[#This Row],[Tech Start Date]],15),IF(Main[[#This Row],[Class]]="A",WORKDAY(Main[[#This Row],[Tech Start Date]],5),""))))</f>
        <v/>
      </c>
      <c r="P1417" s="168" t="str">
        <f>IF(Main[[#This Row],[Tech Start Date]]&lt;1/1/1990,"",IF(Main[[#This Row],[Class]]="C",WORKDAY(Main[[#This Row],[Tech Start Date]],28),IF(Main[[#This Row],[Class]]="B", WORKDAY(Main[[#This Row],[Tech Start Date]],19),IF(Main[[#This Row],[Class]]="A",WORKDAY(Main[[#This Row],[Tech Start Date]],9),""))))</f>
        <v/>
      </c>
      <c r="Q1417" s="161">
        <v>40939</v>
      </c>
      <c r="R1417" s="161">
        <v>40879</v>
      </c>
      <c r="S1417" s="128" t="s">
        <v>17</v>
      </c>
      <c r="T1417" s="172" t="s">
        <v>4</v>
      </c>
      <c r="U1417" s="128" t="s">
        <v>29</v>
      </c>
      <c r="V1417" s="128" t="s">
        <v>1920</v>
      </c>
      <c r="W1417" s="128" t="s">
        <v>1922</v>
      </c>
      <c r="X1417" s="128" t="s">
        <v>554</v>
      </c>
      <c r="Y1417" s="128" t="s">
        <v>2958</v>
      </c>
      <c r="Z1417" s="128" t="s">
        <v>654</v>
      </c>
      <c r="AA1417" s="146" t="s">
        <v>554</v>
      </c>
    </row>
    <row r="1418" spans="1:27" ht="18.600000000000001" customHeight="1">
      <c r="A1418" s="142" t="str">
        <f>IF(priority(Main[[#This Row],[Comments]])&lt;&gt;0, priority(Main[[#This Row],[Comments]]),"")</f>
        <v/>
      </c>
      <c r="B1418" s="127" t="s">
        <v>2042</v>
      </c>
      <c r="C1418" s="128" t="s">
        <v>116</v>
      </c>
      <c r="D1418" s="159" t="s">
        <v>2253</v>
      </c>
      <c r="E1418" s="161">
        <v>40751.429224537038</v>
      </c>
      <c r="F1418" s="161"/>
      <c r="G1418" s="163" t="str">
        <f>IF(stdProdLT(Main[[#This Row],[Comments]])=0.1,"N/A",IF(stdProdLT(Main[[#This Row],[Comments]])=0,"",stdProdLT(Main[[#This Row],[Comments]])))</f>
        <v/>
      </c>
      <c r="H1418" s="165" t="str">
        <f>IF(AND(Main[[#This Row],[In Stock Date]]&lt;&gt;"",Main[[#This Row],[Revised Due Date]]&lt;&gt;""),Main[[#This Row],[In Stock Date]]-Main[[#This Row],[Revised Due Date]],"")</f>
        <v/>
      </c>
      <c r="I1418" s="128" t="s">
        <v>2046</v>
      </c>
      <c r="J1418" s="128" t="s">
        <v>28</v>
      </c>
      <c r="K1418" s="166" t="s">
        <v>1929</v>
      </c>
      <c r="L1418" s="161">
        <v>40742</v>
      </c>
      <c r="M1418" s="168" t="str">
        <f>IF(Main[[#This Row],[Tech Start Date]]&lt;1/1/1990,"",IF(Main[[#This Row],[Class]]="C",WORKDAY(Main[[#This Row],[Tech Start Date]],9),IF(Main[[#This Row],[Class]]="B", WORKDAY(Main[[#This Row],[Tech Start Date]],6),IF(Main[[#This Row],[Class]]="A",WORKDAY(Main[[#This Row],[Tech Start Date]],2),""))))</f>
        <v/>
      </c>
      <c r="N1418" s="168" t="str">
        <f>IF(Main[[#This Row],[Tech Start Date]]&lt;1/1/1990,"",IF(Main[[#This Row],[Class]]="C",WORKDAY(Main[[#This Row],[Tech Start Date]],19),IF(Main[[#This Row],[Class]]="B", WORKDAY(Main[[#This Row],[Tech Start Date]],12),IF(Main[[#This Row],[Class]]="A",WORKDAY(Main[[#This Row],[Tech Start Date]],4),""))))</f>
        <v/>
      </c>
      <c r="O1418" s="168" t="str">
        <f>IF(Main[[#This Row],[Tech Start Date]]&lt;1/1/1990,"",IF(Main[[#This Row],[Class]]="C",WORKDAY(Main[[#This Row],[Tech Start Date]],23),IF(Main[[#This Row],[Class]]="B", WORKDAY(Main[[#This Row],[Tech Start Date]],15),IF(Main[[#This Row],[Class]]="A",WORKDAY(Main[[#This Row],[Tech Start Date]],5),""))))</f>
        <v/>
      </c>
      <c r="P1418" s="168" t="str">
        <f>IF(Main[[#This Row],[Tech Start Date]]&lt;1/1/1990,"",IF(Main[[#This Row],[Class]]="C",WORKDAY(Main[[#This Row],[Tech Start Date]],28),IF(Main[[#This Row],[Class]]="B", WORKDAY(Main[[#This Row],[Tech Start Date]],19),IF(Main[[#This Row],[Class]]="A",WORKDAY(Main[[#This Row],[Tech Start Date]],9),""))))</f>
        <v/>
      </c>
      <c r="Q1418" s="161"/>
      <c r="R1418" s="161">
        <v>40868</v>
      </c>
      <c r="S1418" s="128" t="s">
        <v>17</v>
      </c>
      <c r="T1418" s="172" t="s">
        <v>4</v>
      </c>
      <c r="U1418" s="128" t="s">
        <v>29</v>
      </c>
      <c r="V1418" s="128" t="s">
        <v>1920</v>
      </c>
      <c r="W1418" s="128" t="s">
        <v>1922</v>
      </c>
      <c r="X1418" s="128" t="s">
        <v>654</v>
      </c>
      <c r="Y1418" s="128" t="s">
        <v>3132</v>
      </c>
      <c r="Z1418" s="128" t="s">
        <v>654</v>
      </c>
      <c r="AA1418" s="146" t="s">
        <v>654</v>
      </c>
    </row>
    <row r="1419" spans="1:27" ht="18.600000000000001" customHeight="1">
      <c r="A1419" s="142" t="str">
        <f>IF(priority(Main[[#This Row],[Comments]])&lt;&gt;0, priority(Main[[#This Row],[Comments]]),"")</f>
        <v/>
      </c>
      <c r="B1419" s="127" t="s">
        <v>1030</v>
      </c>
      <c r="C1419" s="128" t="s">
        <v>46</v>
      </c>
      <c r="D1419" s="159" t="s">
        <v>2140</v>
      </c>
      <c r="E1419" s="161">
        <v>40549.665949074071</v>
      </c>
      <c r="F1419" s="161">
        <v>40603</v>
      </c>
      <c r="G1419" s="163" t="str">
        <f>IF(stdProdLT(Main[[#This Row],[Comments]])=0.1,"N/A",IF(stdProdLT(Main[[#This Row],[Comments]])=0,"",stdProdLT(Main[[#This Row],[Comments]])))</f>
        <v/>
      </c>
      <c r="H1419" s="165" t="str">
        <f>IF(AND(Main[[#This Row],[In Stock Date]]&lt;&gt;"",Main[[#This Row],[Revised Due Date]]&lt;&gt;""),Main[[#This Row],[In Stock Date]]-Main[[#This Row],[Revised Due Date]],"")</f>
        <v/>
      </c>
      <c r="I1419" s="128" t="s">
        <v>171</v>
      </c>
      <c r="J1419" s="128" t="s">
        <v>70</v>
      </c>
      <c r="K1419" s="128" t="s">
        <v>1929</v>
      </c>
      <c r="L1419" s="161">
        <v>40751</v>
      </c>
      <c r="M1419" s="168" t="str">
        <f>IF(Main[[#This Row],[Tech Start Date]]&lt;1/1/1990,"",IF(Main[[#This Row],[Class]]="C",WORKDAY(Main[[#This Row],[Tech Start Date]],9),IF(Main[[#This Row],[Class]]="B", WORKDAY(Main[[#This Row],[Tech Start Date]],6),IF(Main[[#This Row],[Class]]="A",WORKDAY(Main[[#This Row],[Tech Start Date]],2),""))))</f>
        <v/>
      </c>
      <c r="N1419" s="168" t="str">
        <f>IF(Main[[#This Row],[Tech Start Date]]&lt;1/1/1990,"",IF(Main[[#This Row],[Class]]="C",WORKDAY(Main[[#This Row],[Tech Start Date]],19),IF(Main[[#This Row],[Class]]="B", WORKDAY(Main[[#This Row],[Tech Start Date]],12),IF(Main[[#This Row],[Class]]="A",WORKDAY(Main[[#This Row],[Tech Start Date]],4),""))))</f>
        <v/>
      </c>
      <c r="O1419" s="168" t="str">
        <f>IF(Main[[#This Row],[Tech Start Date]]&lt;1/1/1990,"",IF(Main[[#This Row],[Class]]="C",WORKDAY(Main[[#This Row],[Tech Start Date]],23),IF(Main[[#This Row],[Class]]="B", WORKDAY(Main[[#This Row],[Tech Start Date]],15),IF(Main[[#This Row],[Class]]="A",WORKDAY(Main[[#This Row],[Tech Start Date]],5),""))))</f>
        <v/>
      </c>
      <c r="P1419" s="168" t="str">
        <f>IF(Main[[#This Row],[Tech Start Date]]&lt;1/1/1990,"",IF(Main[[#This Row],[Class]]="C",WORKDAY(Main[[#This Row],[Tech Start Date]],28),IF(Main[[#This Row],[Class]]="B", WORKDAY(Main[[#This Row],[Tech Start Date]],19),IF(Main[[#This Row],[Class]]="A",WORKDAY(Main[[#This Row],[Tech Start Date]],9),""))))</f>
        <v/>
      </c>
      <c r="Q1419" s="161">
        <v>40603</v>
      </c>
      <c r="R1419" s="161"/>
      <c r="S1419" s="128" t="s">
        <v>17</v>
      </c>
      <c r="T1419" s="172" t="s">
        <v>4</v>
      </c>
      <c r="U1419" s="128" t="s">
        <v>29</v>
      </c>
      <c r="V1419" s="128" t="s">
        <v>1920</v>
      </c>
      <c r="W1419" s="128" t="s">
        <v>1922</v>
      </c>
      <c r="X1419" s="128" t="s">
        <v>554</v>
      </c>
      <c r="Y1419" s="128" t="s">
        <v>2958</v>
      </c>
      <c r="Z1419" s="128" t="s">
        <v>970</v>
      </c>
      <c r="AA1419" s="146" t="s">
        <v>554</v>
      </c>
    </row>
    <row r="1420" spans="1:27" ht="18.600000000000001" customHeight="1">
      <c r="A1420" s="142" t="str">
        <f>IF(priority(Main[[#This Row],[Comments]])&lt;&gt;0, priority(Main[[#This Row],[Comments]]),"")</f>
        <v/>
      </c>
      <c r="B1420" s="127" t="s">
        <v>2049</v>
      </c>
      <c r="C1420" s="128" t="s">
        <v>4</v>
      </c>
      <c r="D1420" s="159" t="s">
        <v>2057</v>
      </c>
      <c r="E1420" s="161"/>
      <c r="F1420" s="161"/>
      <c r="G1420" s="163" t="str">
        <f>IF(stdProdLT(Main[[#This Row],[Comments]])=0.1,"N/A",IF(stdProdLT(Main[[#This Row],[Comments]])=0,"",stdProdLT(Main[[#This Row],[Comments]])))</f>
        <v/>
      </c>
      <c r="H1420" s="165" t="str">
        <f>IF(AND(Main[[#This Row],[In Stock Date]]&lt;&gt;"",Main[[#This Row],[Revised Due Date]]&lt;&gt;""),Main[[#This Row],[In Stock Date]]-Main[[#This Row],[Revised Due Date]],"")</f>
        <v/>
      </c>
      <c r="I1420" s="128" t="s">
        <v>891</v>
      </c>
      <c r="J1420" s="128" t="s">
        <v>28</v>
      </c>
      <c r="K1420" s="128" t="s">
        <v>1926</v>
      </c>
      <c r="L1420" s="161">
        <v>40752</v>
      </c>
      <c r="M1420" s="168">
        <f>IF(Main[[#This Row],[Tech Start Date]]&lt;1/1/1990,"",IF(Main[[#This Row],[Class]]="C",WORKDAY(Main[[#This Row],[Tech Start Date]],9),IF(Main[[#This Row],[Class]]="B", WORKDAY(Main[[#This Row],[Tech Start Date]],6),IF(Main[[#This Row],[Class]]="A",WORKDAY(Main[[#This Row],[Tech Start Date]],2),""))))</f>
        <v>40756</v>
      </c>
      <c r="N1420" s="168">
        <f>IF(Main[[#This Row],[Tech Start Date]]&lt;1/1/1990,"",IF(Main[[#This Row],[Class]]="C",WORKDAY(Main[[#This Row],[Tech Start Date]],19),IF(Main[[#This Row],[Class]]="B", WORKDAY(Main[[#This Row],[Tech Start Date]],12),IF(Main[[#This Row],[Class]]="A",WORKDAY(Main[[#This Row],[Tech Start Date]],4),""))))</f>
        <v>40758</v>
      </c>
      <c r="O1420" s="168">
        <f>IF(Main[[#This Row],[Tech Start Date]]&lt;1/1/1990,"",IF(Main[[#This Row],[Class]]="C",WORKDAY(Main[[#This Row],[Tech Start Date]],23),IF(Main[[#This Row],[Class]]="B", WORKDAY(Main[[#This Row],[Tech Start Date]],15),IF(Main[[#This Row],[Class]]="A",WORKDAY(Main[[#This Row],[Tech Start Date]],5),""))))</f>
        <v>40759</v>
      </c>
      <c r="P1420" s="168">
        <f>IF(Main[[#This Row],[Tech Start Date]]&lt;1/1/1990,"",IF(Main[[#This Row],[Class]]="C",WORKDAY(Main[[#This Row],[Tech Start Date]],28),IF(Main[[#This Row],[Class]]="B", WORKDAY(Main[[#This Row],[Tech Start Date]],19),IF(Main[[#This Row],[Class]]="A",WORKDAY(Main[[#This Row],[Tech Start Date]],9),""))))</f>
        <v>40765</v>
      </c>
      <c r="Q1420" s="161">
        <v>40758</v>
      </c>
      <c r="R1420" s="161">
        <v>40786</v>
      </c>
      <c r="S1420" s="128" t="s">
        <v>6</v>
      </c>
      <c r="T1420" s="172" t="s">
        <v>4</v>
      </c>
      <c r="U1420" s="128" t="s">
        <v>14</v>
      </c>
      <c r="V1420" s="128" t="s">
        <v>1917</v>
      </c>
      <c r="W1420" s="128" t="s">
        <v>1921</v>
      </c>
      <c r="X1420" s="128" t="s">
        <v>879</v>
      </c>
      <c r="Y1420" s="128" t="s">
        <v>3015</v>
      </c>
      <c r="Z1420" s="128" t="s">
        <v>879</v>
      </c>
      <c r="AA1420" s="146" t="s">
        <v>879</v>
      </c>
    </row>
    <row r="1421" spans="1:27" ht="18.600000000000001" customHeight="1">
      <c r="A1421" s="142" t="str">
        <f>IF(priority(Main[[#This Row],[Comments]])&lt;&gt;0, priority(Main[[#This Row],[Comments]]),"")</f>
        <v/>
      </c>
      <c r="B1421" s="127" t="s">
        <v>1900</v>
      </c>
      <c r="C1421" s="128" t="s">
        <v>72</v>
      </c>
      <c r="D1421" s="159" t="s">
        <v>2141</v>
      </c>
      <c r="E1421" s="161">
        <v>40470.014479166668</v>
      </c>
      <c r="F1421" s="161">
        <v>40487</v>
      </c>
      <c r="G1421" s="163">
        <f>IF(stdProdLT(Main[[#This Row],[Comments]])=0.1,"N/A",IF(stdProdLT(Main[[#This Row],[Comments]])=0,"",stdProdLT(Main[[#This Row],[Comments]])))</f>
        <v>42</v>
      </c>
      <c r="H1421" s="165">
        <f>IF(AND(Main[[#This Row],[In Stock Date]]&lt;&gt;"",Main[[#This Row],[Revised Due Date]]&lt;&gt;""),Main[[#This Row],[In Stock Date]]-Main[[#This Row],[Revised Due Date]],"")</f>
        <v>-294</v>
      </c>
      <c r="I1421" s="128" t="s">
        <v>2056</v>
      </c>
      <c r="J1421" s="128" t="s">
        <v>52</v>
      </c>
      <c r="K1421" s="128" t="s">
        <v>1924</v>
      </c>
      <c r="L1421" s="161">
        <v>40756</v>
      </c>
      <c r="M1421" s="168">
        <f>IF(Main[[#This Row],[Tech Start Date]]&lt;1/1/1990,"",IF(Main[[#This Row],[Class]]="C",WORKDAY(Main[[#This Row],[Tech Start Date]],9),IF(Main[[#This Row],[Class]]="B", WORKDAY(Main[[#This Row],[Tech Start Date]],6),IF(Main[[#This Row],[Class]]="A",WORKDAY(Main[[#This Row],[Tech Start Date]],2),""))))</f>
        <v>40764</v>
      </c>
      <c r="N1421" s="168">
        <f>IF(Main[[#This Row],[Tech Start Date]]&lt;1/1/1990,"",IF(Main[[#This Row],[Class]]="C",WORKDAY(Main[[#This Row],[Tech Start Date]],19),IF(Main[[#This Row],[Class]]="B", WORKDAY(Main[[#This Row],[Tech Start Date]],12),IF(Main[[#This Row],[Class]]="A",WORKDAY(Main[[#This Row],[Tech Start Date]],4),""))))</f>
        <v>40772</v>
      </c>
      <c r="O1421" s="168">
        <f>IF(Main[[#This Row],[Tech Start Date]]&lt;1/1/1990,"",IF(Main[[#This Row],[Class]]="C",WORKDAY(Main[[#This Row],[Tech Start Date]],23),IF(Main[[#This Row],[Class]]="B", WORKDAY(Main[[#This Row],[Tech Start Date]],15),IF(Main[[#This Row],[Class]]="A",WORKDAY(Main[[#This Row],[Tech Start Date]],5),""))))</f>
        <v>40777</v>
      </c>
      <c r="P1421" s="168">
        <f>IF(Main[[#This Row],[Tech Start Date]]&lt;1/1/1990,"",IF(Main[[#This Row],[Class]]="C",WORKDAY(Main[[#This Row],[Tech Start Date]],28),IF(Main[[#This Row],[Class]]="B", WORKDAY(Main[[#This Row],[Tech Start Date]],19),IF(Main[[#This Row],[Class]]="A",WORKDAY(Main[[#This Row],[Tech Start Date]],9),""))))</f>
        <v>40781</v>
      </c>
      <c r="Q1421" s="161"/>
      <c r="R1421" s="161">
        <v>40781</v>
      </c>
      <c r="S1421" s="128" t="s">
        <v>6</v>
      </c>
      <c r="T1421" s="172" t="s">
        <v>2142</v>
      </c>
      <c r="U1421" s="128" t="s">
        <v>29</v>
      </c>
      <c r="V1421" s="128" t="s">
        <v>1918</v>
      </c>
      <c r="W1421" s="128" t="s">
        <v>1919</v>
      </c>
      <c r="X1421" s="128" t="s">
        <v>2907</v>
      </c>
      <c r="Y1421" s="128" t="s">
        <v>3085</v>
      </c>
      <c r="Z1421" s="128" t="s">
        <v>2056</v>
      </c>
      <c r="AA1421" s="146" t="s">
        <v>2907</v>
      </c>
    </row>
    <row r="1422" spans="1:27" ht="18.600000000000001" customHeight="1">
      <c r="A1422" s="142" t="str">
        <f>IF(priority(Main[[#This Row],[Comments]])&lt;&gt;0, priority(Main[[#This Row],[Comments]]),"")</f>
        <v/>
      </c>
      <c r="B1422" s="127" t="s">
        <v>1302</v>
      </c>
      <c r="C1422" s="128" t="s">
        <v>374</v>
      </c>
      <c r="D1422" s="159" t="s">
        <v>2267</v>
      </c>
      <c r="E1422" s="161">
        <v>40711.60083333333</v>
      </c>
      <c r="F1422" s="161">
        <v>40877</v>
      </c>
      <c r="G1422" s="163" t="str">
        <f>IF(stdProdLT(Main[[#This Row],[Comments]])=0.1,"N/A",IF(stdProdLT(Main[[#This Row],[Comments]])=0,"",stdProdLT(Main[[#This Row],[Comments]])))</f>
        <v/>
      </c>
      <c r="H1422" s="165">
        <f>IF(AND(Main[[#This Row],[In Stock Date]]&lt;&gt;"",Main[[#This Row],[Revised Due Date]]&lt;&gt;""),Main[[#This Row],[In Stock Date]]-Main[[#This Row],[Revised Due Date]],"")</f>
        <v>0</v>
      </c>
      <c r="I1422" s="128" t="s">
        <v>239</v>
      </c>
      <c r="J1422" s="128" t="s">
        <v>52</v>
      </c>
      <c r="K1422" s="128" t="s">
        <v>1929</v>
      </c>
      <c r="L1422" s="161">
        <v>40767</v>
      </c>
      <c r="M1422" s="168" t="str">
        <f>IF(Main[[#This Row],[Tech Start Date]]&lt;1/1/1990,"",IF(Main[[#This Row],[Class]]="C",WORKDAY(Main[[#This Row],[Tech Start Date]],9),IF(Main[[#This Row],[Class]]="B", WORKDAY(Main[[#This Row],[Tech Start Date]],6),IF(Main[[#This Row],[Class]]="A",WORKDAY(Main[[#This Row],[Tech Start Date]],2),""))))</f>
        <v/>
      </c>
      <c r="N1422" s="168" t="str">
        <f>IF(Main[[#This Row],[Tech Start Date]]&lt;1/1/1990,"",IF(Main[[#This Row],[Class]]="C",WORKDAY(Main[[#This Row],[Tech Start Date]],19),IF(Main[[#This Row],[Class]]="B", WORKDAY(Main[[#This Row],[Tech Start Date]],12),IF(Main[[#This Row],[Class]]="A",WORKDAY(Main[[#This Row],[Tech Start Date]],4),""))))</f>
        <v/>
      </c>
      <c r="O1422" s="168" t="str">
        <f>IF(Main[[#This Row],[Tech Start Date]]&lt;1/1/1990,"",IF(Main[[#This Row],[Class]]="C",WORKDAY(Main[[#This Row],[Tech Start Date]],23),IF(Main[[#This Row],[Class]]="B", WORKDAY(Main[[#This Row],[Tech Start Date]],15),IF(Main[[#This Row],[Class]]="A",WORKDAY(Main[[#This Row],[Tech Start Date]],5),""))))</f>
        <v/>
      </c>
      <c r="P1422" s="168" t="str">
        <f>IF(Main[[#This Row],[Tech Start Date]]&lt;1/1/1990,"",IF(Main[[#This Row],[Class]]="C",WORKDAY(Main[[#This Row],[Tech Start Date]],28),IF(Main[[#This Row],[Class]]="B", WORKDAY(Main[[#This Row],[Tech Start Date]],19),IF(Main[[#This Row],[Class]]="A",WORKDAY(Main[[#This Row],[Tech Start Date]],9),""))))</f>
        <v/>
      </c>
      <c r="Q1422" s="161">
        <v>40877</v>
      </c>
      <c r="R1422" s="161">
        <v>40877</v>
      </c>
      <c r="S1422" s="128" t="s">
        <v>17</v>
      </c>
      <c r="T1422" s="172" t="s">
        <v>4</v>
      </c>
      <c r="U1422" s="128" t="s">
        <v>29</v>
      </c>
      <c r="V1422" s="128" t="s">
        <v>1920</v>
      </c>
      <c r="W1422" s="128" t="s">
        <v>1925</v>
      </c>
      <c r="X1422" s="128" t="s">
        <v>554</v>
      </c>
      <c r="Y1422" s="128" t="s">
        <v>2958</v>
      </c>
      <c r="Z1422" s="128" t="s">
        <v>530</v>
      </c>
      <c r="AA1422" s="146" t="s">
        <v>554</v>
      </c>
    </row>
    <row r="1423" spans="1:27" ht="18.600000000000001" customHeight="1">
      <c r="A1423" s="142" t="str">
        <f>IF(priority(Main[[#This Row],[Comments]])&lt;&gt;0, priority(Main[[#This Row],[Comments]]),"")</f>
        <v/>
      </c>
      <c r="B1423" s="127" t="s">
        <v>2145</v>
      </c>
      <c r="C1423" s="128" t="s">
        <v>4</v>
      </c>
      <c r="D1423" s="159" t="s">
        <v>2801</v>
      </c>
      <c r="E1423" s="161">
        <v>40772.344918981478</v>
      </c>
      <c r="F1423" s="161"/>
      <c r="G1423" s="163" t="str">
        <f>IF(stdProdLT(Main[[#This Row],[Comments]])=0.1,"N/A",IF(stdProdLT(Main[[#This Row],[Comments]])=0,"",stdProdLT(Main[[#This Row],[Comments]])))</f>
        <v/>
      </c>
      <c r="H1423" s="165" t="str">
        <f>IF(AND(Main[[#This Row],[In Stock Date]]&lt;&gt;"",Main[[#This Row],[Revised Due Date]]&lt;&gt;""),Main[[#This Row],[In Stock Date]]-Main[[#This Row],[Revised Due Date]],"")</f>
        <v/>
      </c>
      <c r="I1423" s="128" t="s">
        <v>879</v>
      </c>
      <c r="J1423" s="128" t="s">
        <v>28</v>
      </c>
      <c r="K1423" s="128" t="s">
        <v>1924</v>
      </c>
      <c r="L1423" s="161">
        <v>40772</v>
      </c>
      <c r="M1423" s="168">
        <f>IF(Main[[#This Row],[Tech Start Date]]&lt;1/1/1990,"",IF(Main[[#This Row],[Class]]="C",WORKDAY(Main[[#This Row],[Tech Start Date]],9),IF(Main[[#This Row],[Class]]="B", WORKDAY(Main[[#This Row],[Tech Start Date]],6),IF(Main[[#This Row],[Class]]="A",WORKDAY(Main[[#This Row],[Tech Start Date]],2),""))))</f>
        <v>40780</v>
      </c>
      <c r="N1423" s="168">
        <f>IF(Main[[#This Row],[Tech Start Date]]&lt;1/1/1990,"",IF(Main[[#This Row],[Class]]="C",WORKDAY(Main[[#This Row],[Tech Start Date]],19),IF(Main[[#This Row],[Class]]="B", WORKDAY(Main[[#This Row],[Tech Start Date]],12),IF(Main[[#This Row],[Class]]="A",WORKDAY(Main[[#This Row],[Tech Start Date]],4),""))))</f>
        <v>40788</v>
      </c>
      <c r="O1423" s="168">
        <f>IF(Main[[#This Row],[Tech Start Date]]&lt;1/1/1990,"",IF(Main[[#This Row],[Class]]="C",WORKDAY(Main[[#This Row],[Tech Start Date]],23),IF(Main[[#This Row],[Class]]="B", WORKDAY(Main[[#This Row],[Tech Start Date]],15),IF(Main[[#This Row],[Class]]="A",WORKDAY(Main[[#This Row],[Tech Start Date]],5),""))))</f>
        <v>40793</v>
      </c>
      <c r="P1423" s="168">
        <f>IF(Main[[#This Row],[Tech Start Date]]&lt;1/1/1990,"",IF(Main[[#This Row],[Class]]="C",WORKDAY(Main[[#This Row],[Tech Start Date]],28),IF(Main[[#This Row],[Class]]="B", WORKDAY(Main[[#This Row],[Tech Start Date]],19),IF(Main[[#This Row],[Class]]="A",WORKDAY(Main[[#This Row],[Tech Start Date]],9),""))))</f>
        <v>40799</v>
      </c>
      <c r="Q1423" s="161">
        <v>40779</v>
      </c>
      <c r="R1423" s="161">
        <v>40907</v>
      </c>
      <c r="S1423" s="128" t="s">
        <v>6</v>
      </c>
      <c r="T1423" s="172" t="s">
        <v>4</v>
      </c>
      <c r="U1423" s="128" t="s">
        <v>29</v>
      </c>
      <c r="V1423" s="128" t="s">
        <v>1917</v>
      </c>
      <c r="W1423" s="128" t="s">
        <v>1925</v>
      </c>
      <c r="X1423" s="128" t="s">
        <v>879</v>
      </c>
      <c r="Y1423" s="128" t="s">
        <v>4</v>
      </c>
      <c r="Z1423" s="128" t="s">
        <v>129</v>
      </c>
      <c r="AA1423" s="146" t="s">
        <v>3487</v>
      </c>
    </row>
    <row r="1424" spans="1:27" ht="18.600000000000001" customHeight="1">
      <c r="A1424" s="142" t="str">
        <f>IF(priority(Main[[#This Row],[Comments]])&lt;&gt;0, priority(Main[[#This Row],[Comments]]),"")</f>
        <v/>
      </c>
      <c r="B1424" s="127" t="s">
        <v>2146</v>
      </c>
      <c r="C1424" s="128" t="s">
        <v>4</v>
      </c>
      <c r="D1424" s="159" t="s">
        <v>2619</v>
      </c>
      <c r="E1424" s="161">
        <v>40772.447592592594</v>
      </c>
      <c r="F1424" s="161"/>
      <c r="G1424" s="163" t="str">
        <f>IF(stdProdLT(Main[[#This Row],[Comments]])=0.1,"N/A",IF(stdProdLT(Main[[#This Row],[Comments]])=0,"",stdProdLT(Main[[#This Row],[Comments]])))</f>
        <v/>
      </c>
      <c r="H1424" s="165" t="str">
        <f>IF(AND(Main[[#This Row],[In Stock Date]]&lt;&gt;"",Main[[#This Row],[Revised Due Date]]&lt;&gt;""),Main[[#This Row],[In Stock Date]]-Main[[#This Row],[Revised Due Date]],"")</f>
        <v/>
      </c>
      <c r="I1424" s="128" t="s">
        <v>879</v>
      </c>
      <c r="J1424" s="128" t="s">
        <v>28</v>
      </c>
      <c r="K1424" s="128" t="s">
        <v>1930</v>
      </c>
      <c r="L1424" s="161">
        <v>40772</v>
      </c>
      <c r="M1424" s="168">
        <f>IF(Main[[#This Row],[Tech Start Date]]&lt;1/1/1990,"",IF(Main[[#This Row],[Class]]="C",WORKDAY(Main[[#This Row],[Tech Start Date]],9),IF(Main[[#This Row],[Class]]="B", WORKDAY(Main[[#This Row],[Tech Start Date]],6),IF(Main[[#This Row],[Class]]="A",WORKDAY(Main[[#This Row],[Tech Start Date]],2),""))))</f>
        <v>40785</v>
      </c>
      <c r="N1424" s="168">
        <f>IF(Main[[#This Row],[Tech Start Date]]&lt;1/1/1990,"",IF(Main[[#This Row],[Class]]="C",WORKDAY(Main[[#This Row],[Tech Start Date]],19),IF(Main[[#This Row],[Class]]="B", WORKDAY(Main[[#This Row],[Tech Start Date]],12),IF(Main[[#This Row],[Class]]="A",WORKDAY(Main[[#This Row],[Tech Start Date]],4),""))))</f>
        <v>40799</v>
      </c>
      <c r="O1424" s="168">
        <f>IF(Main[[#This Row],[Tech Start Date]]&lt;1/1/1990,"",IF(Main[[#This Row],[Class]]="C",WORKDAY(Main[[#This Row],[Tech Start Date]],23),IF(Main[[#This Row],[Class]]="B", WORKDAY(Main[[#This Row],[Tech Start Date]],15),IF(Main[[#This Row],[Class]]="A",WORKDAY(Main[[#This Row],[Tech Start Date]],5),""))))</f>
        <v>40805</v>
      </c>
      <c r="P1424" s="168">
        <f>IF(Main[[#This Row],[Tech Start Date]]&lt;1/1/1990,"",IF(Main[[#This Row],[Class]]="C",WORKDAY(Main[[#This Row],[Tech Start Date]],28),IF(Main[[#This Row],[Class]]="B", WORKDAY(Main[[#This Row],[Tech Start Date]],19),IF(Main[[#This Row],[Class]]="A",WORKDAY(Main[[#This Row],[Tech Start Date]],9),""))))</f>
        <v>40812</v>
      </c>
      <c r="Q1424" s="161">
        <v>40786</v>
      </c>
      <c r="R1424" s="170">
        <v>40907</v>
      </c>
      <c r="S1424" s="128" t="s">
        <v>17</v>
      </c>
      <c r="T1424" s="172" t="s">
        <v>2326</v>
      </c>
      <c r="U1424" s="128" t="s">
        <v>29</v>
      </c>
      <c r="V1424" s="128" t="s">
        <v>1917</v>
      </c>
      <c r="W1424" s="128" t="s">
        <v>1919</v>
      </c>
      <c r="X1424" s="128" t="s">
        <v>879</v>
      </c>
      <c r="Y1424" s="128" t="s">
        <v>3015</v>
      </c>
      <c r="Z1424" s="128" t="s">
        <v>129</v>
      </c>
      <c r="AA1424" s="146" t="s">
        <v>879</v>
      </c>
    </row>
    <row r="1425" spans="1:27" ht="18.600000000000001" customHeight="1">
      <c r="A1425" s="142" t="str">
        <f>IF(priority(Main[[#This Row],[Comments]])&lt;&gt;0, priority(Main[[#This Row],[Comments]]),"")</f>
        <v/>
      </c>
      <c r="B1425" s="127" t="s">
        <v>2150</v>
      </c>
      <c r="C1425" s="128" t="s">
        <v>53</v>
      </c>
      <c r="D1425" s="159" t="s">
        <v>2151</v>
      </c>
      <c r="E1425" s="161">
        <v>40774.327164351853</v>
      </c>
      <c r="F1425" s="161">
        <v>40786</v>
      </c>
      <c r="G1425" s="163" t="str">
        <f>IF(stdProdLT(Main[[#This Row],[Comments]])=0.1,"N/A",IF(stdProdLT(Main[[#This Row],[Comments]])=0,"",stdProdLT(Main[[#This Row],[Comments]])))</f>
        <v/>
      </c>
      <c r="H1425" s="165">
        <f>IF(AND(Main[[#This Row],[In Stock Date]]&lt;&gt;"",Main[[#This Row],[Revised Due Date]]&lt;&gt;""),Main[[#This Row],[In Stock Date]]-Main[[#This Row],[Revised Due Date]],"")</f>
        <v>-6</v>
      </c>
      <c r="I1425" s="128" t="s">
        <v>2056</v>
      </c>
      <c r="J1425" s="128" t="s">
        <v>52</v>
      </c>
      <c r="K1425" s="128" t="s">
        <v>1926</v>
      </c>
      <c r="L1425" s="161">
        <v>40777</v>
      </c>
      <c r="M1425" s="168">
        <f>IF(Main[[#This Row],[Tech Start Date]]&lt;1/1/1990,"",IF(Main[[#This Row],[Class]]="C",WORKDAY(Main[[#This Row],[Tech Start Date]],9),IF(Main[[#This Row],[Class]]="B", WORKDAY(Main[[#This Row],[Tech Start Date]],6),IF(Main[[#This Row],[Class]]="A",WORKDAY(Main[[#This Row],[Tech Start Date]],2),""))))</f>
        <v>40779</v>
      </c>
      <c r="N1425" s="168">
        <f>IF(Main[[#This Row],[Tech Start Date]]&lt;1/1/1990,"",IF(Main[[#This Row],[Class]]="C",WORKDAY(Main[[#This Row],[Tech Start Date]],19),IF(Main[[#This Row],[Class]]="B", WORKDAY(Main[[#This Row],[Tech Start Date]],12),IF(Main[[#This Row],[Class]]="A",WORKDAY(Main[[#This Row],[Tech Start Date]],4),""))))</f>
        <v>40781</v>
      </c>
      <c r="O1425" s="168">
        <f>IF(Main[[#This Row],[Tech Start Date]]&lt;1/1/1990,"",IF(Main[[#This Row],[Class]]="C",WORKDAY(Main[[#This Row],[Tech Start Date]],23),IF(Main[[#This Row],[Class]]="B", WORKDAY(Main[[#This Row],[Tech Start Date]],15),IF(Main[[#This Row],[Class]]="A",WORKDAY(Main[[#This Row],[Tech Start Date]],5),""))))</f>
        <v>40784</v>
      </c>
      <c r="P1425" s="168">
        <f>IF(Main[[#This Row],[Tech Start Date]]&lt;1/1/1990,"",IF(Main[[#This Row],[Class]]="C",WORKDAY(Main[[#This Row],[Tech Start Date]],28),IF(Main[[#This Row],[Class]]="B", WORKDAY(Main[[#This Row],[Tech Start Date]],19),IF(Main[[#This Row],[Class]]="A",WORKDAY(Main[[#This Row],[Tech Start Date]],9),""))))</f>
        <v>40788</v>
      </c>
      <c r="Q1425" s="161"/>
      <c r="R1425" s="161">
        <v>40792</v>
      </c>
      <c r="S1425" s="128" t="s">
        <v>6</v>
      </c>
      <c r="T1425" s="172" t="s">
        <v>4</v>
      </c>
      <c r="U1425" s="128" t="s">
        <v>29</v>
      </c>
      <c r="V1425" s="128" t="s">
        <v>1918</v>
      </c>
      <c r="W1425" s="128" t="s">
        <v>1919</v>
      </c>
      <c r="X1425" s="128" t="s">
        <v>2822</v>
      </c>
      <c r="Y1425" s="128" t="s">
        <v>2999</v>
      </c>
      <c r="Z1425" s="128" t="s">
        <v>2056</v>
      </c>
      <c r="AA1425" s="146" t="s">
        <v>2822</v>
      </c>
    </row>
    <row r="1426" spans="1:27" ht="18.600000000000001" customHeight="1">
      <c r="A1426" s="142" t="str">
        <f>IF(priority(Main[[#This Row],[Comments]])&lt;&gt;0, priority(Main[[#This Row],[Comments]]),"")</f>
        <v/>
      </c>
      <c r="B1426" s="127" t="s">
        <v>2152</v>
      </c>
      <c r="C1426" s="128" t="s">
        <v>2153</v>
      </c>
      <c r="D1426" s="159" t="s">
        <v>2154</v>
      </c>
      <c r="E1426" s="161">
        <v>40778.69290509259</v>
      </c>
      <c r="F1426" s="161"/>
      <c r="G1426" s="163" t="str">
        <f>IF(stdProdLT(Main[[#This Row],[Comments]])=0.1,"N/A",IF(stdProdLT(Main[[#This Row],[Comments]])=0,"",stdProdLT(Main[[#This Row],[Comments]])))</f>
        <v/>
      </c>
      <c r="H1426" s="165" t="str">
        <f>IF(AND(Main[[#This Row],[In Stock Date]]&lt;&gt;"",Main[[#This Row],[Revised Due Date]]&lt;&gt;""),Main[[#This Row],[In Stock Date]]-Main[[#This Row],[Revised Due Date]],"")</f>
        <v/>
      </c>
      <c r="I1426" s="128" t="s">
        <v>943</v>
      </c>
      <c r="J1426" s="128" t="s">
        <v>28</v>
      </c>
      <c r="K1426" s="128" t="s">
        <v>1924</v>
      </c>
      <c r="L1426" s="161">
        <v>40778</v>
      </c>
      <c r="M1426" s="168">
        <f>IF(Main[[#This Row],[Tech Start Date]]&lt;1/1/1990,"",IF(Main[[#This Row],[Class]]="C",WORKDAY(Main[[#This Row],[Tech Start Date]],9),IF(Main[[#This Row],[Class]]="B", WORKDAY(Main[[#This Row],[Tech Start Date]],6),IF(Main[[#This Row],[Class]]="A",WORKDAY(Main[[#This Row],[Tech Start Date]],2),""))))</f>
        <v>40786</v>
      </c>
      <c r="N1426" s="168">
        <f>IF(Main[[#This Row],[Tech Start Date]]&lt;1/1/1990,"",IF(Main[[#This Row],[Class]]="C",WORKDAY(Main[[#This Row],[Tech Start Date]],19),IF(Main[[#This Row],[Class]]="B", WORKDAY(Main[[#This Row],[Tech Start Date]],12),IF(Main[[#This Row],[Class]]="A",WORKDAY(Main[[#This Row],[Tech Start Date]],4),""))))</f>
        <v>40794</v>
      </c>
      <c r="O1426" s="168">
        <f>IF(Main[[#This Row],[Tech Start Date]]&lt;1/1/1990,"",IF(Main[[#This Row],[Class]]="C",WORKDAY(Main[[#This Row],[Tech Start Date]],23),IF(Main[[#This Row],[Class]]="B", WORKDAY(Main[[#This Row],[Tech Start Date]],15),IF(Main[[#This Row],[Class]]="A",WORKDAY(Main[[#This Row],[Tech Start Date]],5),""))))</f>
        <v>40799</v>
      </c>
      <c r="P1426" s="168">
        <f>IF(Main[[#This Row],[Tech Start Date]]&lt;1/1/1990,"",IF(Main[[#This Row],[Class]]="C",WORKDAY(Main[[#This Row],[Tech Start Date]],28),IF(Main[[#This Row],[Class]]="B", WORKDAY(Main[[#This Row],[Tech Start Date]],19),IF(Main[[#This Row],[Class]]="A",WORKDAY(Main[[#This Row],[Tech Start Date]],9),""))))</f>
        <v>40805</v>
      </c>
      <c r="Q1426" s="161"/>
      <c r="R1426" s="161">
        <v>40807</v>
      </c>
      <c r="S1426" s="128" t="s">
        <v>6</v>
      </c>
      <c r="T1426" s="172" t="s">
        <v>4</v>
      </c>
      <c r="U1426" s="128" t="s">
        <v>29</v>
      </c>
      <c r="V1426" s="128" t="s">
        <v>1918</v>
      </c>
      <c r="W1426" s="128" t="s">
        <v>1921</v>
      </c>
      <c r="X1426" s="128" t="s">
        <v>2056</v>
      </c>
      <c r="Y1426" s="128" t="s">
        <v>3159</v>
      </c>
      <c r="Z1426" s="128" t="s">
        <v>2056</v>
      </c>
      <c r="AA1426" s="146" t="s">
        <v>2056</v>
      </c>
    </row>
    <row r="1427" spans="1:27" ht="18.600000000000001" customHeight="1">
      <c r="A1427" s="142" t="str">
        <f>IF(priority(Main[[#This Row],[Comments]])&lt;&gt;0, priority(Main[[#This Row],[Comments]]),"")</f>
        <v/>
      </c>
      <c r="B1427" s="127" t="s">
        <v>2156</v>
      </c>
      <c r="C1427" s="128" t="s">
        <v>2153</v>
      </c>
      <c r="D1427" s="159" t="s">
        <v>2157</v>
      </c>
      <c r="E1427" s="161">
        <v>40778.690706018519</v>
      </c>
      <c r="F1427" s="161"/>
      <c r="G1427" s="163" t="str">
        <f>IF(stdProdLT(Main[[#This Row],[Comments]])=0.1,"N/A",IF(stdProdLT(Main[[#This Row],[Comments]])=0,"",stdProdLT(Main[[#This Row],[Comments]])))</f>
        <v/>
      </c>
      <c r="H1427" s="165" t="str">
        <f>IF(AND(Main[[#This Row],[In Stock Date]]&lt;&gt;"",Main[[#This Row],[Revised Due Date]]&lt;&gt;""),Main[[#This Row],[In Stock Date]]-Main[[#This Row],[Revised Due Date]],"")</f>
        <v/>
      </c>
      <c r="I1427" s="128" t="s">
        <v>943</v>
      </c>
      <c r="J1427" s="128" t="s">
        <v>28</v>
      </c>
      <c r="K1427" s="128" t="s">
        <v>1926</v>
      </c>
      <c r="L1427" s="161">
        <v>40778</v>
      </c>
      <c r="M1427" s="168">
        <f>IF(Main[[#This Row],[Tech Start Date]]&lt;1/1/1990,"",IF(Main[[#This Row],[Class]]="C",WORKDAY(Main[[#This Row],[Tech Start Date]],9),IF(Main[[#This Row],[Class]]="B", WORKDAY(Main[[#This Row],[Tech Start Date]],6),IF(Main[[#This Row],[Class]]="A",WORKDAY(Main[[#This Row],[Tech Start Date]],2),""))))</f>
        <v>40780</v>
      </c>
      <c r="N1427" s="168">
        <f>IF(Main[[#This Row],[Tech Start Date]]&lt;1/1/1990,"",IF(Main[[#This Row],[Class]]="C",WORKDAY(Main[[#This Row],[Tech Start Date]],19),IF(Main[[#This Row],[Class]]="B", WORKDAY(Main[[#This Row],[Tech Start Date]],12),IF(Main[[#This Row],[Class]]="A",WORKDAY(Main[[#This Row],[Tech Start Date]],4),""))))</f>
        <v>40784</v>
      </c>
      <c r="O1427" s="168">
        <f>IF(Main[[#This Row],[Tech Start Date]]&lt;1/1/1990,"",IF(Main[[#This Row],[Class]]="C",WORKDAY(Main[[#This Row],[Tech Start Date]],23),IF(Main[[#This Row],[Class]]="B", WORKDAY(Main[[#This Row],[Tech Start Date]],15),IF(Main[[#This Row],[Class]]="A",WORKDAY(Main[[#This Row],[Tech Start Date]],5),""))))</f>
        <v>40785</v>
      </c>
      <c r="P1427" s="168">
        <f>IF(Main[[#This Row],[Tech Start Date]]&lt;1/1/1990,"",IF(Main[[#This Row],[Class]]="C",WORKDAY(Main[[#This Row],[Tech Start Date]],28),IF(Main[[#This Row],[Class]]="B", WORKDAY(Main[[#This Row],[Tech Start Date]],19),IF(Main[[#This Row],[Class]]="A",WORKDAY(Main[[#This Row],[Tech Start Date]],9),""))))</f>
        <v>40791</v>
      </c>
      <c r="Q1427" s="161"/>
      <c r="R1427" s="161">
        <v>40807</v>
      </c>
      <c r="S1427" s="128" t="s">
        <v>6</v>
      </c>
      <c r="T1427" s="172" t="s">
        <v>4</v>
      </c>
      <c r="U1427" s="128" t="s">
        <v>29</v>
      </c>
      <c r="V1427" s="128" t="s">
        <v>1918</v>
      </c>
      <c r="W1427" s="128" t="s">
        <v>1919</v>
      </c>
      <c r="X1427" s="128" t="s">
        <v>2056</v>
      </c>
      <c r="Y1427" s="128" t="s">
        <v>3159</v>
      </c>
      <c r="Z1427" s="128" t="s">
        <v>2056</v>
      </c>
      <c r="AA1427" s="146" t="s">
        <v>2056</v>
      </c>
    </row>
    <row r="1428" spans="1:27" ht="18.600000000000001" customHeight="1">
      <c r="A1428" s="142" t="str">
        <f>IF(priority(Main[[#This Row],[Comments]])&lt;&gt;0, priority(Main[[#This Row],[Comments]]),"")</f>
        <v/>
      </c>
      <c r="B1428" s="127" t="s">
        <v>2212</v>
      </c>
      <c r="C1428" s="128" t="s">
        <v>2213</v>
      </c>
      <c r="D1428" s="159" t="s">
        <v>2803</v>
      </c>
      <c r="E1428" s="161"/>
      <c r="F1428" s="161">
        <v>40940</v>
      </c>
      <c r="G1428" s="163">
        <f>IF(stdProdLT(Main[[#This Row],[Comments]])=0.1,"N/A",IF(stdProdLT(Main[[#This Row],[Comments]])=0,"",stdProdLT(Main[[#This Row],[Comments]])))</f>
        <v>112</v>
      </c>
      <c r="H1428" s="165" t="str">
        <f>IF(AND(Main[[#This Row],[In Stock Date]]&lt;&gt;"",Main[[#This Row],[Revised Due Date]]&lt;&gt;""),Main[[#This Row],[In Stock Date]]-Main[[#This Row],[Revised Due Date]],"")</f>
        <v/>
      </c>
      <c r="I1428" s="128" t="s">
        <v>939</v>
      </c>
      <c r="J1428" s="128" t="s">
        <v>28</v>
      </c>
      <c r="K1428" s="128" t="s">
        <v>1924</v>
      </c>
      <c r="L1428" s="161">
        <v>40792</v>
      </c>
      <c r="M1428" s="168">
        <f>IF(Main[[#This Row],[Tech Start Date]]&lt;1/1/1990,"",IF(Main[[#This Row],[Class]]="C",WORKDAY(Main[[#This Row],[Tech Start Date]],9),IF(Main[[#This Row],[Class]]="B", WORKDAY(Main[[#This Row],[Tech Start Date]],6),IF(Main[[#This Row],[Class]]="A",WORKDAY(Main[[#This Row],[Tech Start Date]],2),""))))</f>
        <v>40800</v>
      </c>
      <c r="N1428" s="168">
        <f>IF(Main[[#This Row],[Tech Start Date]]&lt;1/1/1990,"",IF(Main[[#This Row],[Class]]="C",WORKDAY(Main[[#This Row],[Tech Start Date]],19),IF(Main[[#This Row],[Class]]="B", WORKDAY(Main[[#This Row],[Tech Start Date]],12),IF(Main[[#This Row],[Class]]="A",WORKDAY(Main[[#This Row],[Tech Start Date]],4),""))))</f>
        <v>40808</v>
      </c>
      <c r="O1428" s="168">
        <f>IF(Main[[#This Row],[Tech Start Date]]&lt;1/1/1990,"",IF(Main[[#This Row],[Class]]="C",WORKDAY(Main[[#This Row],[Tech Start Date]],23),IF(Main[[#This Row],[Class]]="B", WORKDAY(Main[[#This Row],[Tech Start Date]],15),IF(Main[[#This Row],[Class]]="A",WORKDAY(Main[[#This Row],[Tech Start Date]],5),""))))</f>
        <v>40813</v>
      </c>
      <c r="P1428" s="168">
        <f>IF(Main[[#This Row],[Tech Start Date]]&lt;1/1/1990,"",IF(Main[[#This Row],[Class]]="C",WORKDAY(Main[[#This Row],[Tech Start Date]],28),IF(Main[[#This Row],[Class]]="B", WORKDAY(Main[[#This Row],[Tech Start Date]],19),IF(Main[[#This Row],[Class]]="A",WORKDAY(Main[[#This Row],[Tech Start Date]],9),""))))</f>
        <v>40819</v>
      </c>
      <c r="Q1428" s="161">
        <v>40792</v>
      </c>
      <c r="R1428" s="161"/>
      <c r="S1428" s="128" t="s">
        <v>11</v>
      </c>
      <c r="T1428" s="172" t="s">
        <v>3321</v>
      </c>
      <c r="U1428" s="128" t="s">
        <v>14</v>
      </c>
      <c r="V1428" s="128" t="s">
        <v>1917</v>
      </c>
      <c r="W1428" s="128" t="s">
        <v>1922</v>
      </c>
      <c r="X1428" s="128" t="s">
        <v>2838</v>
      </c>
      <c r="Y1428" s="128" t="s">
        <v>2989</v>
      </c>
      <c r="Z1428" s="128" t="s">
        <v>129</v>
      </c>
      <c r="AA1428" s="146" t="s">
        <v>2855</v>
      </c>
    </row>
    <row r="1429" spans="1:27" ht="18.600000000000001" customHeight="1">
      <c r="A1429" s="142" t="str">
        <f>IF(priority(Main[[#This Row],[Comments]])&lt;&gt;0, priority(Main[[#This Row],[Comments]]),"")</f>
        <v/>
      </c>
      <c r="B1429" s="127" t="s">
        <v>2204</v>
      </c>
      <c r="C1429" s="128" t="s">
        <v>116</v>
      </c>
      <c r="D1429" s="159" t="s">
        <v>2205</v>
      </c>
      <c r="E1429" s="161">
        <v>40787.614270833335</v>
      </c>
      <c r="F1429" s="161"/>
      <c r="G1429" s="163" t="str">
        <f>IF(stdProdLT(Main[[#This Row],[Comments]])=0.1,"N/A",IF(stdProdLT(Main[[#This Row],[Comments]])=0,"",stdProdLT(Main[[#This Row],[Comments]])))</f>
        <v/>
      </c>
      <c r="H1429" s="165" t="str">
        <f>IF(AND(Main[[#This Row],[In Stock Date]]&lt;&gt;"",Main[[#This Row],[Revised Due Date]]&lt;&gt;""),Main[[#This Row],[In Stock Date]]-Main[[#This Row],[Revised Due Date]],"")</f>
        <v/>
      </c>
      <c r="I1429" s="128" t="s">
        <v>2254</v>
      </c>
      <c r="J1429" s="128" t="s">
        <v>28</v>
      </c>
      <c r="K1429" s="166" t="s">
        <v>1930</v>
      </c>
      <c r="L1429" s="161">
        <v>40798</v>
      </c>
      <c r="M1429" s="168">
        <f>IF(Main[[#This Row],[Tech Start Date]]&lt;1/1/1990,"",IF(Main[[#This Row],[Class]]="C",WORKDAY(Main[[#This Row],[Tech Start Date]],9),IF(Main[[#This Row],[Class]]="B", WORKDAY(Main[[#This Row],[Tech Start Date]],6),IF(Main[[#This Row],[Class]]="A",WORKDAY(Main[[#This Row],[Tech Start Date]],2),""))))</f>
        <v>40809</v>
      </c>
      <c r="N1429" s="168">
        <f>IF(Main[[#This Row],[Tech Start Date]]&lt;1/1/1990,"",IF(Main[[#This Row],[Class]]="C",WORKDAY(Main[[#This Row],[Tech Start Date]],19),IF(Main[[#This Row],[Class]]="B", WORKDAY(Main[[#This Row],[Tech Start Date]],12),IF(Main[[#This Row],[Class]]="A",WORKDAY(Main[[#This Row],[Tech Start Date]],4),""))))</f>
        <v>40823</v>
      </c>
      <c r="O1429" s="168">
        <f>IF(Main[[#This Row],[Tech Start Date]]&lt;1/1/1990,"",IF(Main[[#This Row],[Class]]="C",WORKDAY(Main[[#This Row],[Tech Start Date]],23),IF(Main[[#This Row],[Class]]="B", WORKDAY(Main[[#This Row],[Tech Start Date]],15),IF(Main[[#This Row],[Class]]="A",WORKDAY(Main[[#This Row],[Tech Start Date]],5),""))))</f>
        <v>40829</v>
      </c>
      <c r="P1429" s="168">
        <f>IF(Main[[#This Row],[Tech Start Date]]&lt;1/1/1990,"",IF(Main[[#This Row],[Class]]="C",WORKDAY(Main[[#This Row],[Tech Start Date]],28),IF(Main[[#This Row],[Class]]="B", WORKDAY(Main[[#This Row],[Tech Start Date]],19),IF(Main[[#This Row],[Class]]="A",WORKDAY(Main[[#This Row],[Tech Start Date]],9),""))))</f>
        <v>40836</v>
      </c>
      <c r="Q1429" s="161">
        <v>40914</v>
      </c>
      <c r="R1429" s="161">
        <v>40841</v>
      </c>
      <c r="S1429" s="128" t="s">
        <v>6</v>
      </c>
      <c r="T1429" s="172" t="s">
        <v>4</v>
      </c>
      <c r="U1429" s="128" t="s">
        <v>29</v>
      </c>
      <c r="V1429" s="128" t="s">
        <v>1918</v>
      </c>
      <c r="W1429" s="128" t="s">
        <v>1919</v>
      </c>
      <c r="X1429" s="128" t="s">
        <v>2056</v>
      </c>
      <c r="Y1429" s="128" t="s">
        <v>3159</v>
      </c>
      <c r="Z1429" s="128" t="s">
        <v>2056</v>
      </c>
      <c r="AA1429" s="146" t="s">
        <v>2056</v>
      </c>
    </row>
    <row r="1430" spans="1:27" ht="18.600000000000001" customHeight="1">
      <c r="A1430" s="142" t="str">
        <f>IF(priority(Main[[#This Row],[Comments]])&lt;&gt;0, priority(Main[[#This Row],[Comments]]),"")</f>
        <v/>
      </c>
      <c r="B1430" s="127" t="s">
        <v>2181</v>
      </c>
      <c r="C1430" s="128" t="s">
        <v>4</v>
      </c>
      <c r="D1430" s="159" t="s">
        <v>2182</v>
      </c>
      <c r="E1430" s="161">
        <v>40787.619050925925</v>
      </c>
      <c r="F1430" s="161"/>
      <c r="G1430" s="163" t="str">
        <f>IF(stdProdLT(Main[[#This Row],[Comments]])=0.1,"N/A",IF(stdProdLT(Main[[#This Row],[Comments]])=0,"",stdProdLT(Main[[#This Row],[Comments]])))</f>
        <v/>
      </c>
      <c r="H1430" s="165" t="str">
        <f>IF(AND(Main[[#This Row],[In Stock Date]]&lt;&gt;"",Main[[#This Row],[Revised Due Date]]&lt;&gt;""),Main[[#This Row],[In Stock Date]]-Main[[#This Row],[Revised Due Date]],"")</f>
        <v/>
      </c>
      <c r="I1430" s="128" t="s">
        <v>942</v>
      </c>
      <c r="J1430" s="128" t="s">
        <v>28</v>
      </c>
      <c r="K1430" s="128" t="s">
        <v>1930</v>
      </c>
      <c r="L1430" s="161">
        <v>40798</v>
      </c>
      <c r="M1430" s="168">
        <f>IF(Main[[#This Row],[Tech Start Date]]&lt;1/1/1990,"",IF(Main[[#This Row],[Class]]="C",WORKDAY(Main[[#This Row],[Tech Start Date]],9),IF(Main[[#This Row],[Class]]="B", WORKDAY(Main[[#This Row],[Tech Start Date]],6),IF(Main[[#This Row],[Class]]="A",WORKDAY(Main[[#This Row],[Tech Start Date]],2),""))))</f>
        <v>40809</v>
      </c>
      <c r="N1430" s="168">
        <f>IF(Main[[#This Row],[Tech Start Date]]&lt;1/1/1990,"",IF(Main[[#This Row],[Class]]="C",WORKDAY(Main[[#This Row],[Tech Start Date]],19),IF(Main[[#This Row],[Class]]="B", WORKDAY(Main[[#This Row],[Tech Start Date]],12),IF(Main[[#This Row],[Class]]="A",WORKDAY(Main[[#This Row],[Tech Start Date]],4),""))))</f>
        <v>40823</v>
      </c>
      <c r="O1430" s="168">
        <f>IF(Main[[#This Row],[Tech Start Date]]&lt;1/1/1990,"",IF(Main[[#This Row],[Class]]="C",WORKDAY(Main[[#This Row],[Tech Start Date]],23),IF(Main[[#This Row],[Class]]="B", WORKDAY(Main[[#This Row],[Tech Start Date]],15),IF(Main[[#This Row],[Class]]="A",WORKDAY(Main[[#This Row],[Tech Start Date]],5),""))))</f>
        <v>40829</v>
      </c>
      <c r="P1430" s="168">
        <f>IF(Main[[#This Row],[Tech Start Date]]&lt;1/1/1990,"",IF(Main[[#This Row],[Class]]="C",WORKDAY(Main[[#This Row],[Tech Start Date]],28),IF(Main[[#This Row],[Class]]="B", WORKDAY(Main[[#This Row],[Tech Start Date]],19),IF(Main[[#This Row],[Class]]="A",WORKDAY(Main[[#This Row],[Tech Start Date]],9),""))))</f>
        <v>40836</v>
      </c>
      <c r="Q1430" s="161">
        <v>40914</v>
      </c>
      <c r="R1430" s="161">
        <v>40841</v>
      </c>
      <c r="S1430" s="128" t="s">
        <v>6</v>
      </c>
      <c r="T1430" s="172" t="s">
        <v>4</v>
      </c>
      <c r="U1430" s="128" t="s">
        <v>29</v>
      </c>
      <c r="V1430" s="128" t="s">
        <v>1918</v>
      </c>
      <c r="W1430" s="128" t="s">
        <v>1919</v>
      </c>
      <c r="X1430" s="128" t="s">
        <v>2056</v>
      </c>
      <c r="Y1430" s="128" t="s">
        <v>3159</v>
      </c>
      <c r="Z1430" s="128" t="s">
        <v>2056</v>
      </c>
      <c r="AA1430" s="146" t="s">
        <v>2056</v>
      </c>
    </row>
    <row r="1431" spans="1:27" ht="18.600000000000001" customHeight="1">
      <c r="A1431" s="142" t="str">
        <f>IF(priority(Main[[#This Row],[Comments]])&lt;&gt;0, priority(Main[[#This Row],[Comments]]),"")</f>
        <v/>
      </c>
      <c r="B1431" s="127" t="s">
        <v>2234</v>
      </c>
      <c r="C1431" s="128" t="s">
        <v>2235</v>
      </c>
      <c r="D1431" s="159" t="s">
        <v>2236</v>
      </c>
      <c r="E1431" s="161"/>
      <c r="F1431" s="161">
        <v>40814</v>
      </c>
      <c r="G1431" s="163">
        <f>IF(stdProdLT(Main[[#This Row],[Comments]])=0.1,"N/A",IF(stdProdLT(Main[[#This Row],[Comments]])=0,"",stdProdLT(Main[[#This Row],[Comments]])))</f>
        <v>112</v>
      </c>
      <c r="H1431" s="165">
        <f>IF(AND(Main[[#This Row],[In Stock Date]]&lt;&gt;"",Main[[#This Row],[Revised Due Date]]&lt;&gt;""),Main[[#This Row],[In Stock Date]]-Main[[#This Row],[Revised Due Date]],"")</f>
        <v>-6</v>
      </c>
      <c r="I1431" s="128" t="s">
        <v>2047</v>
      </c>
      <c r="J1431" s="128" t="s">
        <v>28</v>
      </c>
      <c r="K1431" s="128" t="s">
        <v>1926</v>
      </c>
      <c r="L1431" s="161">
        <v>40805</v>
      </c>
      <c r="M1431" s="168">
        <f>IF(Main[[#This Row],[Tech Start Date]]&lt;1/1/1990,"",IF(Main[[#This Row],[Class]]="C",WORKDAY(Main[[#This Row],[Tech Start Date]],9),IF(Main[[#This Row],[Class]]="B", WORKDAY(Main[[#This Row],[Tech Start Date]],6),IF(Main[[#This Row],[Class]]="A",WORKDAY(Main[[#This Row],[Tech Start Date]],2),""))))</f>
        <v>40807</v>
      </c>
      <c r="N1431" s="168">
        <f>IF(Main[[#This Row],[Tech Start Date]]&lt;1/1/1990,"",IF(Main[[#This Row],[Class]]="C",WORKDAY(Main[[#This Row],[Tech Start Date]],19),IF(Main[[#This Row],[Class]]="B", WORKDAY(Main[[#This Row],[Tech Start Date]],12),IF(Main[[#This Row],[Class]]="A",WORKDAY(Main[[#This Row],[Tech Start Date]],4),""))))</f>
        <v>40809</v>
      </c>
      <c r="O1431" s="168">
        <f>IF(Main[[#This Row],[Tech Start Date]]&lt;1/1/1990,"",IF(Main[[#This Row],[Class]]="C",WORKDAY(Main[[#This Row],[Tech Start Date]],23),IF(Main[[#This Row],[Class]]="B", WORKDAY(Main[[#This Row],[Tech Start Date]],15),IF(Main[[#This Row],[Class]]="A",WORKDAY(Main[[#This Row],[Tech Start Date]],5),""))))</f>
        <v>40812</v>
      </c>
      <c r="P1431" s="168">
        <f>IF(Main[[#This Row],[Tech Start Date]]&lt;1/1/1990,"",IF(Main[[#This Row],[Class]]="C",WORKDAY(Main[[#This Row],[Tech Start Date]],28),IF(Main[[#This Row],[Class]]="B", WORKDAY(Main[[#This Row],[Tech Start Date]],19),IF(Main[[#This Row],[Class]]="A",WORKDAY(Main[[#This Row],[Tech Start Date]],9),""))))</f>
        <v>40816</v>
      </c>
      <c r="Q1431" s="161">
        <v>40819</v>
      </c>
      <c r="R1431" s="161">
        <v>40820</v>
      </c>
      <c r="S1431" s="128" t="s">
        <v>11</v>
      </c>
      <c r="T1431" s="172" t="s">
        <v>2268</v>
      </c>
      <c r="U1431" s="128" t="s">
        <v>14</v>
      </c>
      <c r="V1431" s="128" t="s">
        <v>1920</v>
      </c>
      <c r="W1431" s="128" t="s">
        <v>1925</v>
      </c>
      <c r="X1431" s="128" t="s">
        <v>2928</v>
      </c>
      <c r="Y1431" s="128" t="s">
        <v>4</v>
      </c>
      <c r="Z1431" s="128" t="s">
        <v>2047</v>
      </c>
      <c r="AA1431" s="146" t="s">
        <v>2928</v>
      </c>
    </row>
    <row r="1432" spans="1:27" ht="18.600000000000001" customHeight="1">
      <c r="A1432" s="142" t="str">
        <f>IF(priority(Main[[#This Row],[Comments]])&lt;&gt;0, priority(Main[[#This Row],[Comments]]),"")</f>
        <v/>
      </c>
      <c r="B1432" s="127" t="s">
        <v>2099</v>
      </c>
      <c r="C1432" s="128" t="s">
        <v>4</v>
      </c>
      <c r="D1432" s="159" t="s">
        <v>2804</v>
      </c>
      <c r="E1432" s="161">
        <v>40760.556030092594</v>
      </c>
      <c r="F1432" s="161"/>
      <c r="G1432" s="163" t="str">
        <f>IF(stdProdLT(Main[[#This Row],[Comments]])=0.1,"N/A",IF(stdProdLT(Main[[#This Row],[Comments]])=0,"",stdProdLT(Main[[#This Row],[Comments]])))</f>
        <v/>
      </c>
      <c r="H1432" s="165" t="str">
        <f>IF(AND(Main[[#This Row],[In Stock Date]]&lt;&gt;"",Main[[#This Row],[Revised Due Date]]&lt;&gt;""),Main[[#This Row],[In Stock Date]]-Main[[#This Row],[Revised Due Date]],"")</f>
        <v/>
      </c>
      <c r="I1432" s="128" t="s">
        <v>891</v>
      </c>
      <c r="J1432" s="128" t="s">
        <v>4</v>
      </c>
      <c r="K1432" s="128" t="s">
        <v>1929</v>
      </c>
      <c r="L1432" s="161">
        <v>40805</v>
      </c>
      <c r="M1432" s="168" t="str">
        <f>IF(Main[[#This Row],[Tech Start Date]]&lt;1/1/1990,"",IF(Main[[#This Row],[Class]]="C",WORKDAY(Main[[#This Row],[Tech Start Date]],9),IF(Main[[#This Row],[Class]]="B", WORKDAY(Main[[#This Row],[Tech Start Date]],6),IF(Main[[#This Row],[Class]]="A",WORKDAY(Main[[#This Row],[Tech Start Date]],2),""))))</f>
        <v/>
      </c>
      <c r="N1432" s="168" t="str">
        <f>IF(Main[[#This Row],[Tech Start Date]]&lt;1/1/1990,"",IF(Main[[#This Row],[Class]]="C",WORKDAY(Main[[#This Row],[Tech Start Date]],19),IF(Main[[#This Row],[Class]]="B", WORKDAY(Main[[#This Row],[Tech Start Date]],12),IF(Main[[#This Row],[Class]]="A",WORKDAY(Main[[#This Row],[Tech Start Date]],4),""))))</f>
        <v/>
      </c>
      <c r="O1432" s="168" t="str">
        <f>IF(Main[[#This Row],[Tech Start Date]]&lt;1/1/1990,"",IF(Main[[#This Row],[Class]]="C",WORKDAY(Main[[#This Row],[Tech Start Date]],23),IF(Main[[#This Row],[Class]]="B", WORKDAY(Main[[#This Row],[Tech Start Date]],15),IF(Main[[#This Row],[Class]]="A",WORKDAY(Main[[#This Row],[Tech Start Date]],5),""))))</f>
        <v/>
      </c>
      <c r="P1432" s="168" t="str">
        <f>IF(Main[[#This Row],[Tech Start Date]]&lt;1/1/1990,"",IF(Main[[#This Row],[Class]]="C",WORKDAY(Main[[#This Row],[Tech Start Date]],28),IF(Main[[#This Row],[Class]]="B", WORKDAY(Main[[#This Row],[Tech Start Date]],19),IF(Main[[#This Row],[Class]]="A",WORKDAY(Main[[#This Row],[Tech Start Date]],9),""))))</f>
        <v/>
      </c>
      <c r="Q1432" s="161"/>
      <c r="R1432" s="161">
        <v>41075</v>
      </c>
      <c r="S1432" s="128" t="s">
        <v>6</v>
      </c>
      <c r="T1432" s="172" t="s">
        <v>4</v>
      </c>
      <c r="U1432" s="128" t="s">
        <v>29</v>
      </c>
      <c r="V1432" s="128" t="s">
        <v>1917</v>
      </c>
      <c r="W1432" s="128" t="s">
        <v>1921</v>
      </c>
      <c r="X1432" s="128" t="s">
        <v>306</v>
      </c>
      <c r="Y1432" s="128" t="s">
        <v>4</v>
      </c>
      <c r="Z1432" s="128" t="s">
        <v>879</v>
      </c>
      <c r="AA1432" s="146" t="s">
        <v>4</v>
      </c>
    </row>
    <row r="1433" spans="1:27" ht="18.600000000000001" customHeight="1">
      <c r="A1433" s="142" t="str">
        <f>IF(priority(Main[[#This Row],[Comments]])&lt;&gt;0, priority(Main[[#This Row],[Comments]]),"")</f>
        <v/>
      </c>
      <c r="B1433" s="127" t="s">
        <v>2620</v>
      </c>
      <c r="C1433" s="128" t="s">
        <v>518</v>
      </c>
      <c r="D1433" s="159" t="s">
        <v>2621</v>
      </c>
      <c r="E1433" s="161"/>
      <c r="F1433" s="161">
        <v>40854</v>
      </c>
      <c r="G1433" s="163">
        <f>IF(stdProdLT(Main[[#This Row],[Comments]])=0.1,"N/A",IF(stdProdLT(Main[[#This Row],[Comments]])=0,"",stdProdLT(Main[[#This Row],[Comments]])))</f>
        <v>98</v>
      </c>
      <c r="H1433" s="165">
        <f>IF(AND(Main[[#This Row],[In Stock Date]]&lt;&gt;"",Main[[#This Row],[Revised Due Date]]&lt;&gt;""),Main[[#This Row],[In Stock Date]]-Main[[#This Row],[Revised Due Date]],"")</f>
        <v>18</v>
      </c>
      <c r="I1433" s="128" t="s">
        <v>2047</v>
      </c>
      <c r="J1433" s="128" t="s">
        <v>28</v>
      </c>
      <c r="K1433" s="128" t="s">
        <v>1926</v>
      </c>
      <c r="L1433" s="161">
        <v>40821</v>
      </c>
      <c r="M1433" s="168">
        <f>IF(Main[[#This Row],[Tech Start Date]]&lt;1/1/1990,"",IF(Main[[#This Row],[Class]]="C",WORKDAY(Main[[#This Row],[Tech Start Date]],9),IF(Main[[#This Row],[Class]]="B", WORKDAY(Main[[#This Row],[Tech Start Date]],6),IF(Main[[#This Row],[Class]]="A",WORKDAY(Main[[#This Row],[Tech Start Date]],2),""))))</f>
        <v>40823</v>
      </c>
      <c r="N1433" s="168">
        <f>IF(Main[[#This Row],[Tech Start Date]]&lt;1/1/1990,"",IF(Main[[#This Row],[Class]]="C",WORKDAY(Main[[#This Row],[Tech Start Date]],19),IF(Main[[#This Row],[Class]]="B", WORKDAY(Main[[#This Row],[Tech Start Date]],12),IF(Main[[#This Row],[Class]]="A",WORKDAY(Main[[#This Row],[Tech Start Date]],4),""))))</f>
        <v>40827</v>
      </c>
      <c r="O1433" s="168">
        <f>IF(Main[[#This Row],[Tech Start Date]]&lt;1/1/1990,"",IF(Main[[#This Row],[Class]]="C",WORKDAY(Main[[#This Row],[Tech Start Date]],23),IF(Main[[#This Row],[Class]]="B", WORKDAY(Main[[#This Row],[Tech Start Date]],15),IF(Main[[#This Row],[Class]]="A",WORKDAY(Main[[#This Row],[Tech Start Date]],5),""))))</f>
        <v>40828</v>
      </c>
      <c r="P1433" s="168">
        <f>IF(Main[[#This Row],[Tech Start Date]]&lt;1/1/1990,"",IF(Main[[#This Row],[Class]]="C",WORKDAY(Main[[#This Row],[Tech Start Date]],28),IF(Main[[#This Row],[Class]]="B", WORKDAY(Main[[#This Row],[Tech Start Date]],19),IF(Main[[#This Row],[Class]]="A",WORKDAY(Main[[#This Row],[Tech Start Date]],9),""))))</f>
        <v>40834</v>
      </c>
      <c r="Q1433" s="161"/>
      <c r="R1433" s="161">
        <v>40836</v>
      </c>
      <c r="S1433" s="128" t="s">
        <v>11</v>
      </c>
      <c r="T1433" s="172" t="s">
        <v>2622</v>
      </c>
      <c r="U1433" s="128" t="s">
        <v>14</v>
      </c>
      <c r="V1433" s="128" t="s">
        <v>1920</v>
      </c>
      <c r="W1433" s="128" t="s">
        <v>1925</v>
      </c>
      <c r="X1433" s="128" t="s">
        <v>50</v>
      </c>
      <c r="Y1433" s="128" t="s">
        <v>3161</v>
      </c>
      <c r="Z1433" s="128" t="s">
        <v>530</v>
      </c>
      <c r="AA1433" s="146" t="s">
        <v>3488</v>
      </c>
    </row>
    <row r="1434" spans="1:27" ht="18.600000000000001" customHeight="1">
      <c r="A1434" s="142" t="str">
        <f>IF(priority(Main[[#This Row],[Comments]])&lt;&gt;0, priority(Main[[#This Row],[Comments]]),"")</f>
        <v/>
      </c>
      <c r="B1434" s="127" t="s">
        <v>2623</v>
      </c>
      <c r="C1434" s="128" t="s">
        <v>116</v>
      </c>
      <c r="D1434" s="159" t="s">
        <v>2624</v>
      </c>
      <c r="E1434" s="161">
        <v>40823.419490740744</v>
      </c>
      <c r="F1434" s="161"/>
      <c r="G1434" s="163" t="str">
        <f>IF(stdProdLT(Main[[#This Row],[Comments]])=0.1,"N/A",IF(stdProdLT(Main[[#This Row],[Comments]])=0,"",stdProdLT(Main[[#This Row],[Comments]])))</f>
        <v/>
      </c>
      <c r="H1434" s="165" t="str">
        <f>IF(AND(Main[[#This Row],[In Stock Date]]&lt;&gt;"",Main[[#This Row],[Revised Due Date]]&lt;&gt;""),Main[[#This Row],[In Stock Date]]-Main[[#This Row],[Revised Due Date]],"")</f>
        <v/>
      </c>
      <c r="I1434" s="128" t="s">
        <v>239</v>
      </c>
      <c r="J1434" s="128" t="s">
        <v>21</v>
      </c>
      <c r="K1434" s="166" t="s">
        <v>1924</v>
      </c>
      <c r="L1434" s="161">
        <v>40823</v>
      </c>
      <c r="M1434" s="168">
        <f>IF(Main[[#This Row],[Tech Start Date]]&lt;1/1/1990,"",IF(Main[[#This Row],[Class]]="C",WORKDAY(Main[[#This Row],[Tech Start Date]],9),IF(Main[[#This Row],[Class]]="B", WORKDAY(Main[[#This Row],[Tech Start Date]],6),IF(Main[[#This Row],[Class]]="A",WORKDAY(Main[[#This Row],[Tech Start Date]],2),""))))</f>
        <v>40833</v>
      </c>
      <c r="N1434" s="168">
        <f>IF(Main[[#This Row],[Tech Start Date]]&lt;1/1/1990,"",IF(Main[[#This Row],[Class]]="C",WORKDAY(Main[[#This Row],[Tech Start Date]],19),IF(Main[[#This Row],[Class]]="B", WORKDAY(Main[[#This Row],[Tech Start Date]],12),IF(Main[[#This Row],[Class]]="A",WORKDAY(Main[[#This Row],[Tech Start Date]],4),""))))</f>
        <v>40841</v>
      </c>
      <c r="O1434" s="168">
        <f>IF(Main[[#This Row],[Tech Start Date]]&lt;1/1/1990,"",IF(Main[[#This Row],[Class]]="C",WORKDAY(Main[[#This Row],[Tech Start Date]],23),IF(Main[[#This Row],[Class]]="B", WORKDAY(Main[[#This Row],[Tech Start Date]],15),IF(Main[[#This Row],[Class]]="A",WORKDAY(Main[[#This Row],[Tech Start Date]],5),""))))</f>
        <v>40844</v>
      </c>
      <c r="P1434" s="168">
        <f>IF(Main[[#This Row],[Tech Start Date]]&lt;1/1/1990,"",IF(Main[[#This Row],[Class]]="C",WORKDAY(Main[[#This Row],[Tech Start Date]],28),IF(Main[[#This Row],[Class]]="B", WORKDAY(Main[[#This Row],[Tech Start Date]],19),IF(Main[[#This Row],[Class]]="A",WORKDAY(Main[[#This Row],[Tech Start Date]],9),""))))</f>
        <v>40850</v>
      </c>
      <c r="Q1434" s="161"/>
      <c r="R1434" s="161">
        <v>40837</v>
      </c>
      <c r="S1434" s="128" t="s">
        <v>6</v>
      </c>
      <c r="T1434" s="172" t="s">
        <v>4</v>
      </c>
      <c r="U1434" s="128" t="s">
        <v>29</v>
      </c>
      <c r="V1434" s="128" t="s">
        <v>1920</v>
      </c>
      <c r="W1434" s="128" t="s">
        <v>1921</v>
      </c>
      <c r="X1434" s="128" t="s">
        <v>2047</v>
      </c>
      <c r="Y1434" s="128" t="s">
        <v>3162</v>
      </c>
      <c r="Z1434" s="128" t="s">
        <v>530</v>
      </c>
      <c r="AA1434" s="146" t="s">
        <v>2047</v>
      </c>
    </row>
    <row r="1435" spans="1:27" ht="18.600000000000001" customHeight="1">
      <c r="A1435" s="142" t="str">
        <f>IF(priority(Main[[#This Row],[Comments]])&lt;&gt;0, priority(Main[[#This Row],[Comments]]),"")</f>
        <v/>
      </c>
      <c r="B1435" s="127" t="s">
        <v>2627</v>
      </c>
      <c r="C1435" s="128" t="s">
        <v>116</v>
      </c>
      <c r="D1435" s="159" t="s">
        <v>2628</v>
      </c>
      <c r="E1435" s="161"/>
      <c r="F1435" s="161"/>
      <c r="G1435" s="163" t="str">
        <f>IF(stdProdLT(Main[[#This Row],[Comments]])=0.1,"N/A",IF(stdProdLT(Main[[#This Row],[Comments]])=0,"",stdProdLT(Main[[#This Row],[Comments]])))</f>
        <v>N/A</v>
      </c>
      <c r="H1435" s="165" t="str">
        <f>IF(AND(Main[[#This Row],[In Stock Date]]&lt;&gt;"",Main[[#This Row],[Revised Due Date]]&lt;&gt;""),Main[[#This Row],[In Stock Date]]-Main[[#This Row],[Revised Due Date]],"")</f>
        <v/>
      </c>
      <c r="I1435" s="128" t="s">
        <v>171</v>
      </c>
      <c r="J1435" s="128" t="s">
        <v>1981</v>
      </c>
      <c r="K1435" s="128" t="s">
        <v>1926</v>
      </c>
      <c r="L1435" s="161">
        <v>40835</v>
      </c>
      <c r="M1435" s="168">
        <f>IF(Main[[#This Row],[Tech Start Date]]&lt;1/1/1990,"",IF(Main[[#This Row],[Class]]="C",WORKDAY(Main[[#This Row],[Tech Start Date]],9),IF(Main[[#This Row],[Class]]="B", WORKDAY(Main[[#This Row],[Tech Start Date]],6),IF(Main[[#This Row],[Class]]="A",WORKDAY(Main[[#This Row],[Tech Start Date]],2),""))))</f>
        <v>40837</v>
      </c>
      <c r="N1435" s="168">
        <f>IF(Main[[#This Row],[Tech Start Date]]&lt;1/1/1990,"",IF(Main[[#This Row],[Class]]="C",WORKDAY(Main[[#This Row],[Tech Start Date]],19),IF(Main[[#This Row],[Class]]="B", WORKDAY(Main[[#This Row],[Tech Start Date]],12),IF(Main[[#This Row],[Class]]="A",WORKDAY(Main[[#This Row],[Tech Start Date]],4),""))))</f>
        <v>40841</v>
      </c>
      <c r="O1435" s="168">
        <f>IF(Main[[#This Row],[Tech Start Date]]&lt;1/1/1990,"",IF(Main[[#This Row],[Class]]="C",WORKDAY(Main[[#This Row],[Tech Start Date]],23),IF(Main[[#This Row],[Class]]="B", WORKDAY(Main[[#This Row],[Tech Start Date]],15),IF(Main[[#This Row],[Class]]="A",WORKDAY(Main[[#This Row],[Tech Start Date]],5),""))))</f>
        <v>40842</v>
      </c>
      <c r="P1435" s="168">
        <f>IF(Main[[#This Row],[Tech Start Date]]&lt;1/1/1990,"",IF(Main[[#This Row],[Class]]="C",WORKDAY(Main[[#This Row],[Tech Start Date]],28),IF(Main[[#This Row],[Class]]="B", WORKDAY(Main[[#This Row],[Tech Start Date]],19),IF(Main[[#This Row],[Class]]="A",WORKDAY(Main[[#This Row],[Tech Start Date]],9),""))))</f>
        <v>40848</v>
      </c>
      <c r="Q1435" s="161">
        <v>40954</v>
      </c>
      <c r="R1435" s="161">
        <v>40850</v>
      </c>
      <c r="S1435" s="128" t="s">
        <v>11</v>
      </c>
      <c r="T1435" s="172" t="s">
        <v>2629</v>
      </c>
      <c r="U1435" s="128" t="s">
        <v>14</v>
      </c>
      <c r="V1435" s="128" t="s">
        <v>1920</v>
      </c>
      <c r="W1435" s="128" t="s">
        <v>1921</v>
      </c>
      <c r="X1435" s="128" t="s">
        <v>554</v>
      </c>
      <c r="Y1435" s="128" t="s">
        <v>2958</v>
      </c>
      <c r="Z1435" s="128" t="s">
        <v>530</v>
      </c>
      <c r="AA1435" s="146" t="s">
        <v>554</v>
      </c>
    </row>
    <row r="1436" spans="1:27" ht="18.600000000000001" customHeight="1">
      <c r="A1436" s="142" t="str">
        <f>IF(priority(Main[[#This Row],[Comments]])&lt;&gt;0, priority(Main[[#This Row],[Comments]]),"")</f>
        <v/>
      </c>
      <c r="B1436" s="127" t="s">
        <v>2631</v>
      </c>
      <c r="C1436" s="128" t="s">
        <v>4</v>
      </c>
      <c r="D1436" s="159" t="s">
        <v>3843</v>
      </c>
      <c r="E1436" s="161">
        <v>40848.357997685183</v>
      </c>
      <c r="F1436" s="161"/>
      <c r="G1436" s="163" t="str">
        <f>IF(stdProdLT(Main[[#This Row],[Comments]])=0.1,"N/A",IF(stdProdLT(Main[[#This Row],[Comments]])=0,"",stdProdLT(Main[[#This Row],[Comments]])))</f>
        <v/>
      </c>
      <c r="H1436" s="165" t="str">
        <f>IF(AND(Main[[#This Row],[In Stock Date]]&lt;&gt;"",Main[[#This Row],[Revised Due Date]]&lt;&gt;""),Main[[#This Row],[In Stock Date]]-Main[[#This Row],[Revised Due Date]],"")</f>
        <v/>
      </c>
      <c r="I1436" s="128" t="s">
        <v>2632</v>
      </c>
      <c r="J1436" s="128" t="s">
        <v>28</v>
      </c>
      <c r="K1436" s="166" t="s">
        <v>1929</v>
      </c>
      <c r="L1436" s="161">
        <v>40840</v>
      </c>
      <c r="M1436" s="168" t="str">
        <f>IF(Main[[#This Row],[Tech Start Date]]&lt;1/1/1990,"",IF(Main[[#This Row],[Class]]="C",WORKDAY(Main[[#This Row],[Tech Start Date]],9),IF(Main[[#This Row],[Class]]="B", WORKDAY(Main[[#This Row],[Tech Start Date]],6),IF(Main[[#This Row],[Class]]="A",WORKDAY(Main[[#This Row],[Tech Start Date]],2),""))))</f>
        <v/>
      </c>
      <c r="N1436" s="168" t="str">
        <f>IF(Main[[#This Row],[Tech Start Date]]&lt;1/1/1990,"",IF(Main[[#This Row],[Class]]="C",WORKDAY(Main[[#This Row],[Tech Start Date]],19),IF(Main[[#This Row],[Class]]="B", WORKDAY(Main[[#This Row],[Tech Start Date]],12),IF(Main[[#This Row],[Class]]="A",WORKDAY(Main[[#This Row],[Tech Start Date]],4),""))))</f>
        <v/>
      </c>
      <c r="O1436" s="168" t="str">
        <f>IF(Main[[#This Row],[Tech Start Date]]&lt;1/1/1990,"",IF(Main[[#This Row],[Class]]="C",WORKDAY(Main[[#This Row],[Tech Start Date]],23),IF(Main[[#This Row],[Class]]="B", WORKDAY(Main[[#This Row],[Tech Start Date]],15),IF(Main[[#This Row],[Class]]="A",WORKDAY(Main[[#This Row],[Tech Start Date]],5),""))))</f>
        <v/>
      </c>
      <c r="P1436" s="168" t="str">
        <f>IF(Main[[#This Row],[Tech Start Date]]&lt;1/1/1990,"",IF(Main[[#This Row],[Class]]="C",WORKDAY(Main[[#This Row],[Tech Start Date]],28),IF(Main[[#This Row],[Class]]="B", WORKDAY(Main[[#This Row],[Tech Start Date]],19),IF(Main[[#This Row],[Class]]="A",WORKDAY(Main[[#This Row],[Tech Start Date]],9),""))))</f>
        <v/>
      </c>
      <c r="Q1436" s="161">
        <v>40998</v>
      </c>
      <c r="R1436" s="161">
        <v>40998</v>
      </c>
      <c r="S1436" s="128" t="s">
        <v>17</v>
      </c>
      <c r="T1436" s="172" t="s">
        <v>4</v>
      </c>
      <c r="U1436" s="128" t="s">
        <v>29</v>
      </c>
      <c r="V1436" s="128" t="s">
        <v>1917</v>
      </c>
      <c r="W1436" s="128" t="s">
        <v>1922</v>
      </c>
      <c r="X1436" s="128" t="s">
        <v>879</v>
      </c>
      <c r="Y1436" s="128" t="s">
        <v>3015</v>
      </c>
      <c r="Z1436" s="128" t="s">
        <v>879</v>
      </c>
      <c r="AA1436" s="146" t="s">
        <v>879</v>
      </c>
    </row>
    <row r="1437" spans="1:27" ht="18.600000000000001" customHeight="1">
      <c r="A1437" s="142" t="str">
        <f>IF(priority(Main[[#This Row],[Comments]])&lt;&gt;0, priority(Main[[#This Row],[Comments]]),"")</f>
        <v/>
      </c>
      <c r="B1437" s="127" t="s">
        <v>2637</v>
      </c>
      <c r="C1437" s="128" t="s">
        <v>2638</v>
      </c>
      <c r="D1437" s="159" t="s">
        <v>2639</v>
      </c>
      <c r="E1437" s="161"/>
      <c r="F1437" s="161"/>
      <c r="G1437" s="163" t="str">
        <f>IF(stdProdLT(Main[[#This Row],[Comments]])=0.1,"N/A",IF(stdProdLT(Main[[#This Row],[Comments]])=0,"",stdProdLT(Main[[#This Row],[Comments]])))</f>
        <v/>
      </c>
      <c r="H1437" s="165" t="str">
        <f>IF(AND(Main[[#This Row],[In Stock Date]]&lt;&gt;"",Main[[#This Row],[Revised Due Date]]&lt;&gt;""),Main[[#This Row],[In Stock Date]]-Main[[#This Row],[Revised Due Date]],"")</f>
        <v/>
      </c>
      <c r="I1437" s="128" t="s">
        <v>2047</v>
      </c>
      <c r="J1437" s="128" t="s">
        <v>28</v>
      </c>
      <c r="K1437" s="128" t="s">
        <v>1926</v>
      </c>
      <c r="L1437" s="161">
        <v>40848</v>
      </c>
      <c r="M1437" s="168">
        <f>IF(Main[[#This Row],[Tech Start Date]]&lt;1/1/1990,"",IF(Main[[#This Row],[Class]]="C",WORKDAY(Main[[#This Row],[Tech Start Date]],9),IF(Main[[#This Row],[Class]]="B", WORKDAY(Main[[#This Row],[Tech Start Date]],6),IF(Main[[#This Row],[Class]]="A",WORKDAY(Main[[#This Row],[Tech Start Date]],2),""))))</f>
        <v>40850</v>
      </c>
      <c r="N1437" s="168">
        <f>IF(Main[[#This Row],[Tech Start Date]]&lt;1/1/1990,"",IF(Main[[#This Row],[Class]]="C",WORKDAY(Main[[#This Row],[Tech Start Date]],19),IF(Main[[#This Row],[Class]]="B", WORKDAY(Main[[#This Row],[Tech Start Date]],12),IF(Main[[#This Row],[Class]]="A",WORKDAY(Main[[#This Row],[Tech Start Date]],4),""))))</f>
        <v>40854</v>
      </c>
      <c r="O1437" s="168">
        <f>IF(Main[[#This Row],[Tech Start Date]]&lt;1/1/1990,"",IF(Main[[#This Row],[Class]]="C",WORKDAY(Main[[#This Row],[Tech Start Date]],23),IF(Main[[#This Row],[Class]]="B", WORKDAY(Main[[#This Row],[Tech Start Date]],15),IF(Main[[#This Row],[Class]]="A",WORKDAY(Main[[#This Row],[Tech Start Date]],5),""))))</f>
        <v>40855</v>
      </c>
      <c r="P1437" s="168">
        <f>IF(Main[[#This Row],[Tech Start Date]]&lt;1/1/1990,"",IF(Main[[#This Row],[Class]]="C",WORKDAY(Main[[#This Row],[Tech Start Date]],28),IF(Main[[#This Row],[Class]]="B", WORKDAY(Main[[#This Row],[Tech Start Date]],19),IF(Main[[#This Row],[Class]]="A",WORKDAY(Main[[#This Row],[Tech Start Date]],9),""))))</f>
        <v>40861</v>
      </c>
      <c r="Q1437" s="161">
        <v>40849</v>
      </c>
      <c r="R1437" s="161">
        <v>40863</v>
      </c>
      <c r="S1437" s="128" t="s">
        <v>11</v>
      </c>
      <c r="T1437" s="172" t="s">
        <v>4</v>
      </c>
      <c r="U1437" s="128" t="s">
        <v>14</v>
      </c>
      <c r="V1437" s="128" t="s">
        <v>1927</v>
      </c>
      <c r="W1437" s="128" t="s">
        <v>1925</v>
      </c>
      <c r="X1437" s="128" t="s">
        <v>2850</v>
      </c>
      <c r="Y1437" s="128" t="s">
        <v>2983</v>
      </c>
      <c r="Z1437" s="128" t="s">
        <v>530</v>
      </c>
      <c r="AA1437" s="146" t="s">
        <v>2850</v>
      </c>
    </row>
    <row r="1438" spans="1:27" ht="18.600000000000001" customHeight="1">
      <c r="A1438" s="142" t="str">
        <f>IF(priority(Main[[#This Row],[Comments]])&lt;&gt;0, priority(Main[[#This Row],[Comments]]),"")</f>
        <v/>
      </c>
      <c r="B1438" s="127" t="s">
        <v>2644</v>
      </c>
      <c r="C1438" s="128" t="s">
        <v>2573</v>
      </c>
      <c r="D1438" s="159" t="s">
        <v>3184</v>
      </c>
      <c r="E1438" s="161">
        <v>40843.101504629631</v>
      </c>
      <c r="F1438" s="161"/>
      <c r="G1438" s="163">
        <f>IF(stdProdLT(Main[[#This Row],[Comments]])=0.1,"N/A",IF(stdProdLT(Main[[#This Row],[Comments]])=0,"",stdProdLT(Main[[#This Row],[Comments]])))</f>
        <v>168</v>
      </c>
      <c r="H1438" s="165" t="str">
        <f>IF(AND(Main[[#This Row],[In Stock Date]]&lt;&gt;"",Main[[#This Row],[Revised Due Date]]&lt;&gt;""),Main[[#This Row],[In Stock Date]]-Main[[#This Row],[Revised Due Date]],"")</f>
        <v/>
      </c>
      <c r="I1438" s="128" t="s">
        <v>171</v>
      </c>
      <c r="J1438" s="128" t="s">
        <v>70</v>
      </c>
      <c r="K1438" s="128" t="s">
        <v>1930</v>
      </c>
      <c r="L1438" s="161">
        <v>40849</v>
      </c>
      <c r="M1438" s="168">
        <f>IF(Main[[#This Row],[Tech Start Date]]&lt;1/1/1990,"",IF(Main[[#This Row],[Class]]="C",WORKDAY(Main[[#This Row],[Tech Start Date]],9),IF(Main[[#This Row],[Class]]="B", WORKDAY(Main[[#This Row],[Tech Start Date]],6),IF(Main[[#This Row],[Class]]="A",WORKDAY(Main[[#This Row],[Tech Start Date]],2),""))))</f>
        <v>40862</v>
      </c>
      <c r="N1438" s="168">
        <f>IF(Main[[#This Row],[Tech Start Date]]&lt;1/1/1990,"",IF(Main[[#This Row],[Class]]="C",WORKDAY(Main[[#This Row],[Tech Start Date]],19),IF(Main[[#This Row],[Class]]="B", WORKDAY(Main[[#This Row],[Tech Start Date]],12),IF(Main[[#This Row],[Class]]="A",WORKDAY(Main[[#This Row],[Tech Start Date]],4),""))))</f>
        <v>40876</v>
      </c>
      <c r="O1438" s="168">
        <f>IF(Main[[#This Row],[Tech Start Date]]&lt;1/1/1990,"",IF(Main[[#This Row],[Class]]="C",WORKDAY(Main[[#This Row],[Tech Start Date]],23),IF(Main[[#This Row],[Class]]="B", WORKDAY(Main[[#This Row],[Tech Start Date]],15),IF(Main[[#This Row],[Class]]="A",WORKDAY(Main[[#This Row],[Tech Start Date]],5),""))))</f>
        <v>40882</v>
      </c>
      <c r="P1438" s="168">
        <f>IF(Main[[#This Row],[Tech Start Date]]&lt;1/1/1990,"",IF(Main[[#This Row],[Class]]="C",WORKDAY(Main[[#This Row],[Tech Start Date]],28),IF(Main[[#This Row],[Class]]="B", WORKDAY(Main[[#This Row],[Tech Start Date]],19),IF(Main[[#This Row],[Class]]="A",WORKDAY(Main[[#This Row],[Tech Start Date]],9),""))))</f>
        <v>40889</v>
      </c>
      <c r="Q1438" s="161">
        <v>40881</v>
      </c>
      <c r="R1438" s="161"/>
      <c r="S1438" s="128" t="s">
        <v>11</v>
      </c>
      <c r="T1438" s="172" t="s">
        <v>3849</v>
      </c>
      <c r="U1438" s="128" t="s">
        <v>534</v>
      </c>
      <c r="V1438" s="128" t="s">
        <v>1920</v>
      </c>
      <c r="W1438" s="128" t="s">
        <v>1925</v>
      </c>
      <c r="X1438" s="128" t="s">
        <v>2910</v>
      </c>
      <c r="Y1438" s="128" t="s">
        <v>3163</v>
      </c>
      <c r="Z1438" s="128" t="s">
        <v>530</v>
      </c>
      <c r="AA1438" s="146" t="s">
        <v>2910</v>
      </c>
    </row>
    <row r="1439" spans="1:27" ht="18.600000000000001" customHeight="1">
      <c r="A1439" s="142" t="str">
        <f>IF(priority(Main[[#This Row],[Comments]])&lt;&gt;0, priority(Main[[#This Row],[Comments]]),"")</f>
        <v/>
      </c>
      <c r="B1439" s="127" t="s">
        <v>2646</v>
      </c>
      <c r="C1439" s="128" t="s">
        <v>4</v>
      </c>
      <c r="D1439" s="159" t="s">
        <v>2647</v>
      </c>
      <c r="E1439" s="161">
        <v>40848.726550925923</v>
      </c>
      <c r="F1439" s="161"/>
      <c r="G1439" s="163" t="str">
        <f>IF(stdProdLT(Main[[#This Row],[Comments]])=0.1,"N/A",IF(stdProdLT(Main[[#This Row],[Comments]])=0,"",stdProdLT(Main[[#This Row],[Comments]])))</f>
        <v/>
      </c>
      <c r="H1439" s="165" t="str">
        <f>IF(AND(Main[[#This Row],[In Stock Date]]&lt;&gt;"",Main[[#This Row],[Revised Due Date]]&lt;&gt;""),Main[[#This Row],[In Stock Date]]-Main[[#This Row],[Revised Due Date]],"")</f>
        <v/>
      </c>
      <c r="I1439" s="128" t="s">
        <v>69</v>
      </c>
      <c r="J1439" s="128" t="s">
        <v>28</v>
      </c>
      <c r="K1439" s="128" t="s">
        <v>1926</v>
      </c>
      <c r="L1439" s="161">
        <v>40849</v>
      </c>
      <c r="M1439" s="168">
        <f>IF(Main[[#This Row],[Tech Start Date]]&lt;1/1/1990,"",IF(Main[[#This Row],[Class]]="C",WORKDAY(Main[[#This Row],[Tech Start Date]],9),IF(Main[[#This Row],[Class]]="B", WORKDAY(Main[[#This Row],[Tech Start Date]],6),IF(Main[[#This Row],[Class]]="A",WORKDAY(Main[[#This Row],[Tech Start Date]],2),""))))</f>
        <v>40851</v>
      </c>
      <c r="N1439" s="168">
        <f>IF(Main[[#This Row],[Tech Start Date]]&lt;1/1/1990,"",IF(Main[[#This Row],[Class]]="C",WORKDAY(Main[[#This Row],[Tech Start Date]],19),IF(Main[[#This Row],[Class]]="B", WORKDAY(Main[[#This Row],[Tech Start Date]],12),IF(Main[[#This Row],[Class]]="A",WORKDAY(Main[[#This Row],[Tech Start Date]],4),""))))</f>
        <v>40855</v>
      </c>
      <c r="O1439" s="168">
        <f>IF(Main[[#This Row],[Tech Start Date]]&lt;1/1/1990,"",IF(Main[[#This Row],[Class]]="C",WORKDAY(Main[[#This Row],[Tech Start Date]],23),IF(Main[[#This Row],[Class]]="B", WORKDAY(Main[[#This Row],[Tech Start Date]],15),IF(Main[[#This Row],[Class]]="A",WORKDAY(Main[[#This Row],[Tech Start Date]],5),""))))</f>
        <v>40856</v>
      </c>
      <c r="P1439" s="168">
        <f>IF(Main[[#This Row],[Tech Start Date]]&lt;1/1/1990,"",IF(Main[[#This Row],[Class]]="C",WORKDAY(Main[[#This Row],[Tech Start Date]],28),IF(Main[[#This Row],[Class]]="B", WORKDAY(Main[[#This Row],[Tech Start Date]],19),IF(Main[[#This Row],[Class]]="A",WORKDAY(Main[[#This Row],[Tech Start Date]],9),""))))</f>
        <v>40862</v>
      </c>
      <c r="Q1439" s="161"/>
      <c r="R1439" s="161">
        <v>40864</v>
      </c>
      <c r="S1439" s="128" t="s">
        <v>6</v>
      </c>
      <c r="T1439" s="172" t="s">
        <v>4</v>
      </c>
      <c r="U1439" s="128" t="s">
        <v>29</v>
      </c>
      <c r="V1439" s="128" t="s">
        <v>1927</v>
      </c>
      <c r="W1439" s="128" t="s">
        <v>1931</v>
      </c>
      <c r="X1439" s="128" t="s">
        <v>2847</v>
      </c>
      <c r="Y1439" s="128" t="s">
        <v>2977</v>
      </c>
      <c r="Z1439" s="128" t="s">
        <v>2871</v>
      </c>
      <c r="AA1439" s="146" t="s">
        <v>2847</v>
      </c>
    </row>
    <row r="1440" spans="1:27" ht="18.600000000000001" customHeight="1">
      <c r="A1440" s="142" t="str">
        <f>IF(priority(Main[[#This Row],[Comments]])&lt;&gt;0, priority(Main[[#This Row],[Comments]]),"")</f>
        <v/>
      </c>
      <c r="B1440" s="127" t="s">
        <v>2640</v>
      </c>
      <c r="C1440" s="128" t="s">
        <v>2573</v>
      </c>
      <c r="D1440" s="159" t="s">
        <v>2810</v>
      </c>
      <c r="E1440" s="161"/>
      <c r="F1440" s="161"/>
      <c r="G1440" s="163">
        <f>IF(stdProdLT(Main[[#This Row],[Comments]])=0.1,"N/A",IF(stdProdLT(Main[[#This Row],[Comments]])=0,"",stdProdLT(Main[[#This Row],[Comments]])))</f>
        <v>168</v>
      </c>
      <c r="H1440" s="165" t="str">
        <f>IF(AND(Main[[#This Row],[In Stock Date]]&lt;&gt;"",Main[[#This Row],[Revised Due Date]]&lt;&gt;""),Main[[#This Row],[In Stock Date]]-Main[[#This Row],[Revised Due Date]],"")</f>
        <v/>
      </c>
      <c r="I1440" s="128" t="s">
        <v>896</v>
      </c>
      <c r="J1440" s="128" t="s">
        <v>52</v>
      </c>
      <c r="K1440" s="166" t="s">
        <v>1930</v>
      </c>
      <c r="L1440" s="161">
        <v>40849</v>
      </c>
      <c r="M1440" s="168">
        <f>IF(Main[[#This Row],[Tech Start Date]]&lt;1/1/1990,"",IF(Main[[#This Row],[Class]]="C",WORKDAY(Main[[#This Row],[Tech Start Date]],9),IF(Main[[#This Row],[Class]]="B", WORKDAY(Main[[#This Row],[Tech Start Date]],6),IF(Main[[#This Row],[Class]]="A",WORKDAY(Main[[#This Row],[Tech Start Date]],2),""))))</f>
        <v>40862</v>
      </c>
      <c r="N1440" s="168">
        <f>IF(Main[[#This Row],[Tech Start Date]]&lt;1/1/1990,"",IF(Main[[#This Row],[Class]]="C",WORKDAY(Main[[#This Row],[Tech Start Date]],19),IF(Main[[#This Row],[Class]]="B", WORKDAY(Main[[#This Row],[Tech Start Date]],12),IF(Main[[#This Row],[Class]]="A",WORKDAY(Main[[#This Row],[Tech Start Date]],4),""))))</f>
        <v>40876</v>
      </c>
      <c r="O1440" s="168">
        <f>IF(Main[[#This Row],[Tech Start Date]]&lt;1/1/1990,"",IF(Main[[#This Row],[Class]]="C",WORKDAY(Main[[#This Row],[Tech Start Date]],23),IF(Main[[#This Row],[Class]]="B", WORKDAY(Main[[#This Row],[Tech Start Date]],15),IF(Main[[#This Row],[Class]]="A",WORKDAY(Main[[#This Row],[Tech Start Date]],5),""))))</f>
        <v>40882</v>
      </c>
      <c r="P1440" s="168">
        <f>IF(Main[[#This Row],[Tech Start Date]]&lt;1/1/1990,"",IF(Main[[#This Row],[Class]]="C",WORKDAY(Main[[#This Row],[Tech Start Date]],28),IF(Main[[#This Row],[Class]]="B", WORKDAY(Main[[#This Row],[Tech Start Date]],19),IF(Main[[#This Row],[Class]]="A",WORKDAY(Main[[#This Row],[Tech Start Date]],9),""))))</f>
        <v>40889</v>
      </c>
      <c r="Q1440" s="161">
        <v>40880</v>
      </c>
      <c r="R1440" s="161"/>
      <c r="S1440" s="128" t="s">
        <v>11</v>
      </c>
      <c r="T1440" s="172" t="s">
        <v>3848</v>
      </c>
      <c r="U1440" s="128" t="s">
        <v>14</v>
      </c>
      <c r="V1440" s="128" t="s">
        <v>1920</v>
      </c>
      <c r="W1440" s="128" t="s">
        <v>1925</v>
      </c>
      <c r="X1440" s="128" t="s">
        <v>2910</v>
      </c>
      <c r="Y1440" s="128" t="s">
        <v>3163</v>
      </c>
      <c r="Z1440" s="128" t="s">
        <v>530</v>
      </c>
      <c r="AA1440" s="146" t="s">
        <v>2910</v>
      </c>
    </row>
    <row r="1441" spans="1:27" ht="18.600000000000001" customHeight="1">
      <c r="A1441" s="142" t="str">
        <f>IF(priority(Main[[#This Row],[Comments]])&lt;&gt;0, priority(Main[[#This Row],[Comments]]),"")</f>
        <v/>
      </c>
      <c r="B1441" s="127" t="s">
        <v>2569</v>
      </c>
      <c r="C1441" s="128" t="s">
        <v>2570</v>
      </c>
      <c r="D1441" s="159" t="s">
        <v>3185</v>
      </c>
      <c r="E1441" s="161">
        <v>40821.398842592593</v>
      </c>
      <c r="F1441" s="161">
        <v>41182</v>
      </c>
      <c r="G1441" s="163">
        <f>IF(stdProdLT(Main[[#This Row],[Comments]])=0.1,"N/A",IF(stdProdLT(Main[[#This Row],[Comments]])=0,"",stdProdLT(Main[[#This Row],[Comments]])))</f>
        <v>210</v>
      </c>
      <c r="H1441" s="165" t="str">
        <f>IF(AND(Main[[#This Row],[In Stock Date]]&lt;&gt;"",Main[[#This Row],[Revised Due Date]]&lt;&gt;""),Main[[#This Row],[In Stock Date]]-Main[[#This Row],[Revised Due Date]],"")</f>
        <v/>
      </c>
      <c r="I1441" s="128" t="s">
        <v>4</v>
      </c>
      <c r="J1441" s="128" t="s">
        <v>4</v>
      </c>
      <c r="K1441" s="128" t="s">
        <v>1930</v>
      </c>
      <c r="L1441" s="161">
        <v>40850</v>
      </c>
      <c r="M1441" s="168">
        <f>IF(Main[[#This Row],[Tech Start Date]]&lt;1/1/1990,"",IF(Main[[#This Row],[Class]]="C",WORKDAY(Main[[#This Row],[Tech Start Date]],9),IF(Main[[#This Row],[Class]]="B", WORKDAY(Main[[#This Row],[Tech Start Date]],6),IF(Main[[#This Row],[Class]]="A",WORKDAY(Main[[#This Row],[Tech Start Date]],2),""))))</f>
        <v>40863</v>
      </c>
      <c r="N1441" s="168">
        <f>IF(Main[[#This Row],[Tech Start Date]]&lt;1/1/1990,"",IF(Main[[#This Row],[Class]]="C",WORKDAY(Main[[#This Row],[Tech Start Date]],19),IF(Main[[#This Row],[Class]]="B", WORKDAY(Main[[#This Row],[Tech Start Date]],12),IF(Main[[#This Row],[Class]]="A",WORKDAY(Main[[#This Row],[Tech Start Date]],4),""))))</f>
        <v>40877</v>
      </c>
      <c r="O1441" s="168">
        <f>IF(Main[[#This Row],[Tech Start Date]]&lt;1/1/1990,"",IF(Main[[#This Row],[Class]]="C",WORKDAY(Main[[#This Row],[Tech Start Date]],23),IF(Main[[#This Row],[Class]]="B", WORKDAY(Main[[#This Row],[Tech Start Date]],15),IF(Main[[#This Row],[Class]]="A",WORKDAY(Main[[#This Row],[Tech Start Date]],5),""))))</f>
        <v>40883</v>
      </c>
      <c r="P1441" s="168">
        <f>IF(Main[[#This Row],[Tech Start Date]]&lt;1/1/1990,"",IF(Main[[#This Row],[Class]]="C",WORKDAY(Main[[#This Row],[Tech Start Date]],28),IF(Main[[#This Row],[Class]]="B", WORKDAY(Main[[#This Row],[Tech Start Date]],19),IF(Main[[#This Row],[Class]]="A",WORKDAY(Main[[#This Row],[Tech Start Date]],9),""))))</f>
        <v>40890</v>
      </c>
      <c r="Q1441" s="161">
        <v>40872</v>
      </c>
      <c r="R1441" s="161"/>
      <c r="S1441" s="128" t="s">
        <v>11</v>
      </c>
      <c r="T1441" s="172" t="s">
        <v>3322</v>
      </c>
      <c r="U1441" s="128" t="s">
        <v>534</v>
      </c>
      <c r="V1441" s="128" t="s">
        <v>1920</v>
      </c>
      <c r="W1441" s="128" t="s">
        <v>1922</v>
      </c>
      <c r="X1441" s="128" t="s">
        <v>2835</v>
      </c>
      <c r="Y1441" s="128" t="s">
        <v>2957</v>
      </c>
      <c r="Z1441" s="128" t="s">
        <v>4</v>
      </c>
      <c r="AA1441" s="146" t="s">
        <v>2835</v>
      </c>
    </row>
    <row r="1442" spans="1:27" ht="18.600000000000001" customHeight="1">
      <c r="A1442" s="142" t="str">
        <f>IF(priority(Main[[#This Row],[Comments]])&lt;&gt;0, priority(Main[[#This Row],[Comments]]),"")</f>
        <v/>
      </c>
      <c r="B1442" s="127" t="s">
        <v>1678</v>
      </c>
      <c r="C1442" s="128" t="s">
        <v>4</v>
      </c>
      <c r="D1442" s="159" t="s">
        <v>2651</v>
      </c>
      <c r="E1442" s="161">
        <v>40647.529861111114</v>
      </c>
      <c r="F1442" s="161"/>
      <c r="G1442" s="163" t="str">
        <f>IF(stdProdLT(Main[[#This Row],[Comments]])=0.1,"N/A",IF(stdProdLT(Main[[#This Row],[Comments]])=0,"",stdProdLT(Main[[#This Row],[Comments]])))</f>
        <v/>
      </c>
      <c r="H1442" s="165" t="str">
        <f>IF(AND(Main[[#This Row],[In Stock Date]]&lt;&gt;"",Main[[#This Row],[Revised Due Date]]&lt;&gt;""),Main[[#This Row],[In Stock Date]]-Main[[#This Row],[Revised Due Date]],"")</f>
        <v/>
      </c>
      <c r="I1442" s="128" t="s">
        <v>879</v>
      </c>
      <c r="J1442" s="128" t="s">
        <v>4</v>
      </c>
      <c r="K1442" s="128" t="s">
        <v>1926</v>
      </c>
      <c r="L1442" s="161">
        <v>40856</v>
      </c>
      <c r="M1442" s="168">
        <f>IF(Main[[#This Row],[Tech Start Date]]&lt;1/1/1990,"",IF(Main[[#This Row],[Class]]="C",WORKDAY(Main[[#This Row],[Tech Start Date]],9),IF(Main[[#This Row],[Class]]="B", WORKDAY(Main[[#This Row],[Tech Start Date]],6),IF(Main[[#This Row],[Class]]="A",WORKDAY(Main[[#This Row],[Tech Start Date]],2),""))))</f>
        <v>40858</v>
      </c>
      <c r="N1442" s="168">
        <f>IF(Main[[#This Row],[Tech Start Date]]&lt;1/1/1990,"",IF(Main[[#This Row],[Class]]="C",WORKDAY(Main[[#This Row],[Tech Start Date]],19),IF(Main[[#This Row],[Class]]="B", WORKDAY(Main[[#This Row],[Tech Start Date]],12),IF(Main[[#This Row],[Class]]="A",WORKDAY(Main[[#This Row],[Tech Start Date]],4),""))))</f>
        <v>40862</v>
      </c>
      <c r="O1442" s="168">
        <f>IF(Main[[#This Row],[Tech Start Date]]&lt;1/1/1990,"",IF(Main[[#This Row],[Class]]="C",WORKDAY(Main[[#This Row],[Tech Start Date]],23),IF(Main[[#This Row],[Class]]="B", WORKDAY(Main[[#This Row],[Tech Start Date]],15),IF(Main[[#This Row],[Class]]="A",WORKDAY(Main[[#This Row],[Tech Start Date]],5),""))))</f>
        <v>40863</v>
      </c>
      <c r="P1442" s="168">
        <f>IF(Main[[#This Row],[Tech Start Date]]&lt;1/1/1990,"",IF(Main[[#This Row],[Class]]="C",WORKDAY(Main[[#This Row],[Tech Start Date]],28),IF(Main[[#This Row],[Class]]="B", WORKDAY(Main[[#This Row],[Tech Start Date]],19),IF(Main[[#This Row],[Class]]="A",WORKDAY(Main[[#This Row],[Tech Start Date]],9),""))))</f>
        <v>40869</v>
      </c>
      <c r="Q1442" s="161">
        <v>40877</v>
      </c>
      <c r="R1442" s="161">
        <v>40883</v>
      </c>
      <c r="S1442" s="128" t="s">
        <v>6</v>
      </c>
      <c r="T1442" s="172" t="s">
        <v>2652</v>
      </c>
      <c r="U1442" s="128" t="s">
        <v>29</v>
      </c>
      <c r="V1442" s="128" t="s">
        <v>1917</v>
      </c>
      <c r="W1442" s="128" t="s">
        <v>1919</v>
      </c>
      <c r="X1442" s="128" t="s">
        <v>924</v>
      </c>
      <c r="Y1442" s="128" t="s">
        <v>2988</v>
      </c>
      <c r="Z1442" s="128" t="s">
        <v>129</v>
      </c>
      <c r="AA1442" s="146" t="s">
        <v>924</v>
      </c>
    </row>
    <row r="1443" spans="1:27" ht="18.600000000000001" customHeight="1">
      <c r="A1443" s="142" t="str">
        <f>IF(priority(Main[[#This Row],[Comments]])&lt;&gt;0, priority(Main[[#This Row],[Comments]]),"")</f>
        <v/>
      </c>
      <c r="B1443" s="127" t="s">
        <v>2653</v>
      </c>
      <c r="C1443" s="128" t="s">
        <v>4</v>
      </c>
      <c r="D1443" s="159" t="s">
        <v>2654</v>
      </c>
      <c r="E1443" s="161">
        <v>40864.413506944446</v>
      </c>
      <c r="F1443" s="161"/>
      <c r="G1443" s="163" t="str">
        <f>IF(stdProdLT(Main[[#This Row],[Comments]])=0.1,"N/A",IF(stdProdLT(Main[[#This Row],[Comments]])=0,"",stdProdLT(Main[[#This Row],[Comments]])))</f>
        <v/>
      </c>
      <c r="H1443" s="165" t="str">
        <f>IF(AND(Main[[#This Row],[In Stock Date]]&lt;&gt;"",Main[[#This Row],[Revised Due Date]]&lt;&gt;""),Main[[#This Row],[In Stock Date]]-Main[[#This Row],[Revised Due Date]],"")</f>
        <v/>
      </c>
      <c r="I1443" s="128" t="s">
        <v>943</v>
      </c>
      <c r="J1443" s="128" t="s">
        <v>28</v>
      </c>
      <c r="K1443" s="128" t="s">
        <v>1926</v>
      </c>
      <c r="L1443" s="161">
        <v>40864</v>
      </c>
      <c r="M1443" s="168">
        <f>IF(Main[[#This Row],[Tech Start Date]]&lt;1/1/1990,"",IF(Main[[#This Row],[Class]]="C",WORKDAY(Main[[#This Row],[Tech Start Date]],9),IF(Main[[#This Row],[Class]]="B", WORKDAY(Main[[#This Row],[Tech Start Date]],6),IF(Main[[#This Row],[Class]]="A",WORKDAY(Main[[#This Row],[Tech Start Date]],2),""))))</f>
        <v>40868</v>
      </c>
      <c r="N1443" s="168">
        <f>IF(Main[[#This Row],[Tech Start Date]]&lt;1/1/1990,"",IF(Main[[#This Row],[Class]]="C",WORKDAY(Main[[#This Row],[Tech Start Date]],19),IF(Main[[#This Row],[Class]]="B", WORKDAY(Main[[#This Row],[Tech Start Date]],12),IF(Main[[#This Row],[Class]]="A",WORKDAY(Main[[#This Row],[Tech Start Date]],4),""))))</f>
        <v>40870</v>
      </c>
      <c r="O1443" s="168">
        <f>IF(Main[[#This Row],[Tech Start Date]]&lt;1/1/1990,"",IF(Main[[#This Row],[Class]]="C",WORKDAY(Main[[#This Row],[Tech Start Date]],23),IF(Main[[#This Row],[Class]]="B", WORKDAY(Main[[#This Row],[Tech Start Date]],15),IF(Main[[#This Row],[Class]]="A",WORKDAY(Main[[#This Row],[Tech Start Date]],5),""))))</f>
        <v>40871</v>
      </c>
      <c r="P1443" s="168">
        <f>IF(Main[[#This Row],[Tech Start Date]]&lt;1/1/1990,"",IF(Main[[#This Row],[Class]]="C",WORKDAY(Main[[#This Row],[Tech Start Date]],28),IF(Main[[#This Row],[Class]]="B", WORKDAY(Main[[#This Row],[Tech Start Date]],19),IF(Main[[#This Row],[Class]]="A",WORKDAY(Main[[#This Row],[Tech Start Date]],9),""))))</f>
        <v>40877</v>
      </c>
      <c r="Q1443" s="161"/>
      <c r="R1443" s="161">
        <v>40877</v>
      </c>
      <c r="S1443" s="128" t="s">
        <v>6</v>
      </c>
      <c r="T1443" s="172" t="s">
        <v>4</v>
      </c>
      <c r="U1443" s="128" t="s">
        <v>29</v>
      </c>
      <c r="V1443" s="128" t="s">
        <v>1918</v>
      </c>
      <c r="W1443" s="128" t="s">
        <v>1921</v>
      </c>
      <c r="X1443" s="128" t="s">
        <v>943</v>
      </c>
      <c r="Y1443" s="128" t="s">
        <v>3001</v>
      </c>
      <c r="Z1443" s="128" t="s">
        <v>2056</v>
      </c>
      <c r="AA1443" s="146" t="s">
        <v>943</v>
      </c>
    </row>
    <row r="1444" spans="1:27" ht="18.600000000000001" customHeight="1">
      <c r="A1444" s="142" t="str">
        <f>IF(priority(Main[[#This Row],[Comments]])&lt;&gt;0, priority(Main[[#This Row],[Comments]]),"")</f>
        <v/>
      </c>
      <c r="B1444" s="127" t="s">
        <v>2660</v>
      </c>
      <c r="C1444" s="128" t="s">
        <v>72</v>
      </c>
      <c r="D1444" s="159" t="s">
        <v>2673</v>
      </c>
      <c r="E1444" s="161"/>
      <c r="F1444" s="161"/>
      <c r="G1444" s="163" t="str">
        <f>IF(stdProdLT(Main[[#This Row],[Comments]])=0.1,"N/A",IF(stdProdLT(Main[[#This Row],[Comments]])=0,"",stdProdLT(Main[[#This Row],[Comments]])))</f>
        <v/>
      </c>
      <c r="H1444" s="165" t="str">
        <f>IF(AND(Main[[#This Row],[In Stock Date]]&lt;&gt;"",Main[[#This Row],[Revised Due Date]]&lt;&gt;""),Main[[#This Row],[In Stock Date]]-Main[[#This Row],[Revised Due Date]],"")</f>
        <v/>
      </c>
      <c r="I1444" s="128" t="s">
        <v>2254</v>
      </c>
      <c r="J1444" s="128" t="s">
        <v>28</v>
      </c>
      <c r="K1444" s="128" t="s">
        <v>1926</v>
      </c>
      <c r="L1444" s="161">
        <v>40869</v>
      </c>
      <c r="M1444" s="168">
        <f>IF(Main[[#This Row],[Tech Start Date]]&lt;1/1/1990,"",IF(Main[[#This Row],[Class]]="C",WORKDAY(Main[[#This Row],[Tech Start Date]],9),IF(Main[[#This Row],[Class]]="B", WORKDAY(Main[[#This Row],[Tech Start Date]],6),IF(Main[[#This Row],[Class]]="A",WORKDAY(Main[[#This Row],[Tech Start Date]],2),""))))</f>
        <v>40871</v>
      </c>
      <c r="N1444" s="168">
        <f>IF(Main[[#This Row],[Tech Start Date]]&lt;1/1/1990,"",IF(Main[[#This Row],[Class]]="C",WORKDAY(Main[[#This Row],[Tech Start Date]],19),IF(Main[[#This Row],[Class]]="B", WORKDAY(Main[[#This Row],[Tech Start Date]],12),IF(Main[[#This Row],[Class]]="A",WORKDAY(Main[[#This Row],[Tech Start Date]],4),""))))</f>
        <v>40875</v>
      </c>
      <c r="O1444" s="168">
        <f>IF(Main[[#This Row],[Tech Start Date]]&lt;1/1/1990,"",IF(Main[[#This Row],[Class]]="C",WORKDAY(Main[[#This Row],[Tech Start Date]],23),IF(Main[[#This Row],[Class]]="B", WORKDAY(Main[[#This Row],[Tech Start Date]],15),IF(Main[[#This Row],[Class]]="A",WORKDAY(Main[[#This Row],[Tech Start Date]],5),""))))</f>
        <v>40876</v>
      </c>
      <c r="P1444" s="168">
        <f>IF(Main[[#This Row],[Tech Start Date]]&lt;1/1/1990,"",IF(Main[[#This Row],[Class]]="C",WORKDAY(Main[[#This Row],[Tech Start Date]],28),IF(Main[[#This Row],[Class]]="B", WORKDAY(Main[[#This Row],[Tech Start Date]],19),IF(Main[[#This Row],[Class]]="A",WORKDAY(Main[[#This Row],[Tech Start Date]],9),""))))</f>
        <v>40882</v>
      </c>
      <c r="Q1444" s="161">
        <v>40882</v>
      </c>
      <c r="R1444" s="161"/>
      <c r="S1444" s="128" t="s">
        <v>11</v>
      </c>
      <c r="T1444" s="172" t="s">
        <v>4</v>
      </c>
      <c r="U1444" s="128" t="s">
        <v>14</v>
      </c>
      <c r="V1444" s="128" t="s">
        <v>1918</v>
      </c>
      <c r="W1444" s="128" t="s">
        <v>1919</v>
      </c>
      <c r="X1444" s="128" t="s">
        <v>2896</v>
      </c>
      <c r="Y1444" s="128" t="s">
        <v>3053</v>
      </c>
      <c r="Z1444" s="128" t="s">
        <v>2056</v>
      </c>
      <c r="AA1444" s="146" t="s">
        <v>2896</v>
      </c>
    </row>
    <row r="1445" spans="1:27" ht="18.600000000000001" customHeight="1">
      <c r="A1445" s="142" t="str">
        <f>IF(priority(Main[[#This Row],[Comments]])&lt;&gt;0, priority(Main[[#This Row],[Comments]]),"")</f>
        <v/>
      </c>
      <c r="B1445" s="127" t="s">
        <v>2658</v>
      </c>
      <c r="C1445" s="128" t="s">
        <v>72</v>
      </c>
      <c r="D1445" s="159" t="s">
        <v>2659</v>
      </c>
      <c r="E1445" s="161"/>
      <c r="F1445" s="161"/>
      <c r="G1445" s="163" t="str">
        <f>IF(stdProdLT(Main[[#This Row],[Comments]])=0.1,"N/A",IF(stdProdLT(Main[[#This Row],[Comments]])=0,"",stdProdLT(Main[[#This Row],[Comments]])))</f>
        <v/>
      </c>
      <c r="H1445" s="165" t="str">
        <f>IF(AND(Main[[#This Row],[In Stock Date]]&lt;&gt;"",Main[[#This Row],[Revised Due Date]]&lt;&gt;""),Main[[#This Row],[In Stock Date]]-Main[[#This Row],[Revised Due Date]],"")</f>
        <v/>
      </c>
      <c r="I1445" s="128" t="s">
        <v>2630</v>
      </c>
      <c r="J1445" s="128" t="s">
        <v>28</v>
      </c>
      <c r="K1445" s="128" t="s">
        <v>1926</v>
      </c>
      <c r="L1445" s="161">
        <v>40869</v>
      </c>
      <c r="M1445" s="168">
        <f>IF(Main[[#This Row],[Tech Start Date]]&lt;1/1/1990,"",IF(Main[[#This Row],[Class]]="C",WORKDAY(Main[[#This Row],[Tech Start Date]],9),IF(Main[[#This Row],[Class]]="B", WORKDAY(Main[[#This Row],[Tech Start Date]],6),IF(Main[[#This Row],[Class]]="A",WORKDAY(Main[[#This Row],[Tech Start Date]],2),""))))</f>
        <v>40871</v>
      </c>
      <c r="N1445" s="168">
        <f>IF(Main[[#This Row],[Tech Start Date]]&lt;1/1/1990,"",IF(Main[[#This Row],[Class]]="C",WORKDAY(Main[[#This Row],[Tech Start Date]],19),IF(Main[[#This Row],[Class]]="B", WORKDAY(Main[[#This Row],[Tech Start Date]],12),IF(Main[[#This Row],[Class]]="A",WORKDAY(Main[[#This Row],[Tech Start Date]],4),""))))</f>
        <v>40875</v>
      </c>
      <c r="O1445" s="168">
        <f>IF(Main[[#This Row],[Tech Start Date]]&lt;1/1/1990,"",IF(Main[[#This Row],[Class]]="C",WORKDAY(Main[[#This Row],[Tech Start Date]],23),IF(Main[[#This Row],[Class]]="B", WORKDAY(Main[[#This Row],[Tech Start Date]],15),IF(Main[[#This Row],[Class]]="A",WORKDAY(Main[[#This Row],[Tech Start Date]],5),""))))</f>
        <v>40876</v>
      </c>
      <c r="P1445" s="168">
        <f>IF(Main[[#This Row],[Tech Start Date]]&lt;1/1/1990,"",IF(Main[[#This Row],[Class]]="C",WORKDAY(Main[[#This Row],[Tech Start Date]],28),IF(Main[[#This Row],[Class]]="B", WORKDAY(Main[[#This Row],[Tech Start Date]],19),IF(Main[[#This Row],[Class]]="A",WORKDAY(Main[[#This Row],[Tech Start Date]],9),""))))</f>
        <v>40882</v>
      </c>
      <c r="Q1445" s="161">
        <v>40882</v>
      </c>
      <c r="R1445" s="161">
        <v>40882</v>
      </c>
      <c r="S1445" s="128" t="s">
        <v>11</v>
      </c>
      <c r="T1445" s="172" t="s">
        <v>4</v>
      </c>
      <c r="U1445" s="128" t="s">
        <v>14</v>
      </c>
      <c r="V1445" s="128" t="s">
        <v>1918</v>
      </c>
      <c r="W1445" s="128" t="s">
        <v>1919</v>
      </c>
      <c r="X1445" s="128" t="s">
        <v>2896</v>
      </c>
      <c r="Y1445" s="128" t="s">
        <v>3053</v>
      </c>
      <c r="Z1445" s="128" t="s">
        <v>2056</v>
      </c>
      <c r="AA1445" s="146" t="s">
        <v>2896</v>
      </c>
    </row>
    <row r="1446" spans="1:27" ht="18.600000000000001" customHeight="1">
      <c r="A1446" s="142" t="str">
        <f>IF(priority(Main[[#This Row],[Comments]])&lt;&gt;0, priority(Main[[#This Row],[Comments]]),"")</f>
        <v/>
      </c>
      <c r="B1446" s="127" t="s">
        <v>2655</v>
      </c>
      <c r="C1446" s="128" t="s">
        <v>72</v>
      </c>
      <c r="D1446" s="159" t="s">
        <v>2656</v>
      </c>
      <c r="E1446" s="161"/>
      <c r="F1446" s="161"/>
      <c r="G1446" s="163" t="str">
        <f>IF(stdProdLT(Main[[#This Row],[Comments]])=0.1,"N/A",IF(stdProdLT(Main[[#This Row],[Comments]])=0,"",stdProdLT(Main[[#This Row],[Comments]])))</f>
        <v/>
      </c>
      <c r="H1446" s="165" t="str">
        <f>IF(AND(Main[[#This Row],[In Stock Date]]&lt;&gt;"",Main[[#This Row],[Revised Due Date]]&lt;&gt;""),Main[[#This Row],[In Stock Date]]-Main[[#This Row],[Revised Due Date]],"")</f>
        <v/>
      </c>
      <c r="I1446" s="128" t="s">
        <v>2630</v>
      </c>
      <c r="J1446" s="128" t="s">
        <v>28</v>
      </c>
      <c r="K1446" s="128" t="s">
        <v>1926</v>
      </c>
      <c r="L1446" s="161">
        <v>40869</v>
      </c>
      <c r="M1446" s="168">
        <f>IF(Main[[#This Row],[Tech Start Date]]&lt;1/1/1990,"",IF(Main[[#This Row],[Class]]="C",WORKDAY(Main[[#This Row],[Tech Start Date]],9),IF(Main[[#This Row],[Class]]="B", WORKDAY(Main[[#This Row],[Tech Start Date]],6),IF(Main[[#This Row],[Class]]="A",WORKDAY(Main[[#This Row],[Tech Start Date]],2),""))))</f>
        <v>40871</v>
      </c>
      <c r="N1446" s="168">
        <f>IF(Main[[#This Row],[Tech Start Date]]&lt;1/1/1990,"",IF(Main[[#This Row],[Class]]="C",WORKDAY(Main[[#This Row],[Tech Start Date]],19),IF(Main[[#This Row],[Class]]="B", WORKDAY(Main[[#This Row],[Tech Start Date]],12),IF(Main[[#This Row],[Class]]="A",WORKDAY(Main[[#This Row],[Tech Start Date]],4),""))))</f>
        <v>40875</v>
      </c>
      <c r="O1446" s="168">
        <f>IF(Main[[#This Row],[Tech Start Date]]&lt;1/1/1990,"",IF(Main[[#This Row],[Class]]="C",WORKDAY(Main[[#This Row],[Tech Start Date]],23),IF(Main[[#This Row],[Class]]="B", WORKDAY(Main[[#This Row],[Tech Start Date]],15),IF(Main[[#This Row],[Class]]="A",WORKDAY(Main[[#This Row],[Tech Start Date]],5),""))))</f>
        <v>40876</v>
      </c>
      <c r="P1446" s="168">
        <f>IF(Main[[#This Row],[Tech Start Date]]&lt;1/1/1990,"",IF(Main[[#This Row],[Class]]="C",WORKDAY(Main[[#This Row],[Tech Start Date]],28),IF(Main[[#This Row],[Class]]="B", WORKDAY(Main[[#This Row],[Tech Start Date]],19),IF(Main[[#This Row],[Class]]="A",WORKDAY(Main[[#This Row],[Tech Start Date]],9),""))))</f>
        <v>40882</v>
      </c>
      <c r="Q1446" s="161">
        <v>40882</v>
      </c>
      <c r="R1446" s="161">
        <v>40882</v>
      </c>
      <c r="S1446" s="128" t="s">
        <v>17</v>
      </c>
      <c r="T1446" s="172" t="s">
        <v>4</v>
      </c>
      <c r="U1446" s="128" t="s">
        <v>14</v>
      </c>
      <c r="V1446" s="128" t="s">
        <v>1918</v>
      </c>
      <c r="W1446" s="128" t="s">
        <v>1919</v>
      </c>
      <c r="X1446" s="128" t="s">
        <v>2896</v>
      </c>
      <c r="Y1446" s="128" t="s">
        <v>3053</v>
      </c>
      <c r="Z1446" s="128" t="s">
        <v>2056</v>
      </c>
      <c r="AA1446" s="146" t="s">
        <v>2896</v>
      </c>
    </row>
    <row r="1447" spans="1:27" ht="18.600000000000001" customHeight="1">
      <c r="A1447" s="142" t="str">
        <f>IF(priority(Main[[#This Row],[Comments]])&lt;&gt;0, priority(Main[[#This Row],[Comments]]),"")</f>
        <v/>
      </c>
      <c r="B1447" s="127" t="s">
        <v>1229</v>
      </c>
      <c r="C1447" s="128" t="s">
        <v>33</v>
      </c>
      <c r="D1447" s="159" t="s">
        <v>3855</v>
      </c>
      <c r="E1447" s="161">
        <v>40603.336435185185</v>
      </c>
      <c r="F1447" s="161">
        <v>40632</v>
      </c>
      <c r="G1447" s="163" t="str">
        <f>IF(stdProdLT(Main[[#This Row],[Comments]])=0.1,"N/A",IF(stdProdLT(Main[[#This Row],[Comments]])=0,"",stdProdLT(Main[[#This Row],[Comments]])))</f>
        <v/>
      </c>
      <c r="H1447" s="165">
        <f>IF(AND(Main[[#This Row],[In Stock Date]]&lt;&gt;"",Main[[#This Row],[Revised Due Date]]&lt;&gt;""),Main[[#This Row],[In Stock Date]]-Main[[#This Row],[Revised Due Date]],"")</f>
        <v>-351</v>
      </c>
      <c r="I1447" s="128" t="s">
        <v>891</v>
      </c>
      <c r="J1447" s="128" t="s">
        <v>28</v>
      </c>
      <c r="K1447" s="128" t="s">
        <v>1929</v>
      </c>
      <c r="L1447" s="161">
        <v>40878</v>
      </c>
      <c r="M1447" s="168" t="str">
        <f>IF(Main[[#This Row],[Tech Start Date]]&lt;1/1/1990,"",IF(Main[[#This Row],[Class]]="C",WORKDAY(Main[[#This Row],[Tech Start Date]],9),IF(Main[[#This Row],[Class]]="B", WORKDAY(Main[[#This Row],[Tech Start Date]],6),IF(Main[[#This Row],[Class]]="A",WORKDAY(Main[[#This Row],[Tech Start Date]],2),""))))</f>
        <v/>
      </c>
      <c r="N1447" s="168" t="str">
        <f>IF(Main[[#This Row],[Tech Start Date]]&lt;1/1/1990,"",IF(Main[[#This Row],[Class]]="C",WORKDAY(Main[[#This Row],[Tech Start Date]],19),IF(Main[[#This Row],[Class]]="B", WORKDAY(Main[[#This Row],[Tech Start Date]],12),IF(Main[[#This Row],[Class]]="A",WORKDAY(Main[[#This Row],[Tech Start Date]],4),""))))</f>
        <v/>
      </c>
      <c r="O1447" s="168" t="str">
        <f>IF(Main[[#This Row],[Tech Start Date]]&lt;1/1/1990,"",IF(Main[[#This Row],[Class]]="C",WORKDAY(Main[[#This Row],[Tech Start Date]],23),IF(Main[[#This Row],[Class]]="B", WORKDAY(Main[[#This Row],[Tech Start Date]],15),IF(Main[[#This Row],[Class]]="A",WORKDAY(Main[[#This Row],[Tech Start Date]],5),""))))</f>
        <v/>
      </c>
      <c r="P1447" s="168" t="str">
        <f>IF(Main[[#This Row],[Tech Start Date]]&lt;1/1/1990,"",IF(Main[[#This Row],[Class]]="C",WORKDAY(Main[[#This Row],[Tech Start Date]],28),IF(Main[[#This Row],[Class]]="B", WORKDAY(Main[[#This Row],[Tech Start Date]],19),IF(Main[[#This Row],[Class]]="A",WORKDAY(Main[[#This Row],[Tech Start Date]],9),""))))</f>
        <v/>
      </c>
      <c r="Q1447" s="161">
        <v>40612</v>
      </c>
      <c r="R1447" s="161">
        <v>40983</v>
      </c>
      <c r="S1447" s="128" t="s">
        <v>17</v>
      </c>
      <c r="T1447" s="172" t="s">
        <v>4</v>
      </c>
      <c r="U1447" s="128" t="s">
        <v>29</v>
      </c>
      <c r="V1447" s="128" t="s">
        <v>1917</v>
      </c>
      <c r="W1447" s="128" t="s">
        <v>1922</v>
      </c>
      <c r="X1447" s="128" t="s">
        <v>2881</v>
      </c>
      <c r="Y1447" s="128" t="s">
        <v>3027</v>
      </c>
      <c r="Z1447" s="128" t="s">
        <v>879</v>
      </c>
      <c r="AA1447" s="146" t="s">
        <v>2881</v>
      </c>
    </row>
    <row r="1448" spans="1:27" ht="18.600000000000001" customHeight="1">
      <c r="A1448" s="142" t="str">
        <f>IF(priority(Main[[#This Row],[Comments]])&lt;&gt;0, priority(Main[[#This Row],[Comments]]),"")</f>
        <v/>
      </c>
      <c r="B1448" s="127" t="s">
        <v>2572</v>
      </c>
      <c r="C1448" s="128" t="s">
        <v>2573</v>
      </c>
      <c r="D1448" s="159" t="s">
        <v>2812</v>
      </c>
      <c r="E1448" s="161">
        <v>40857.997499999998</v>
      </c>
      <c r="F1448" s="161"/>
      <c r="G1448" s="163">
        <f>IF(stdProdLT(Main[[#This Row],[Comments]])=0.1,"N/A",IF(stdProdLT(Main[[#This Row],[Comments]])=0,"",stdProdLT(Main[[#This Row],[Comments]])))</f>
        <v>140</v>
      </c>
      <c r="H1448" s="165" t="str">
        <f>IF(AND(Main[[#This Row],[In Stock Date]]&lt;&gt;"",Main[[#This Row],[Revised Due Date]]&lt;&gt;""),Main[[#This Row],[In Stock Date]]-Main[[#This Row],[Revised Due Date]],"")</f>
        <v/>
      </c>
      <c r="I1448" s="128" t="s">
        <v>429</v>
      </c>
      <c r="J1448" s="128" t="s">
        <v>70</v>
      </c>
      <c r="K1448" s="128" t="s">
        <v>1926</v>
      </c>
      <c r="L1448" s="161">
        <v>40885</v>
      </c>
      <c r="M1448" s="168">
        <f>IF(Main[[#This Row],[Tech Start Date]]&lt;1/1/1990,"",IF(Main[[#This Row],[Class]]="C",WORKDAY(Main[[#This Row],[Tech Start Date]],9),IF(Main[[#This Row],[Class]]="B", WORKDAY(Main[[#This Row],[Tech Start Date]],6),IF(Main[[#This Row],[Class]]="A",WORKDAY(Main[[#This Row],[Tech Start Date]],2),""))))</f>
        <v>40889</v>
      </c>
      <c r="N1448" s="168">
        <f>IF(Main[[#This Row],[Tech Start Date]]&lt;1/1/1990,"",IF(Main[[#This Row],[Class]]="C",WORKDAY(Main[[#This Row],[Tech Start Date]],19),IF(Main[[#This Row],[Class]]="B", WORKDAY(Main[[#This Row],[Tech Start Date]],12),IF(Main[[#This Row],[Class]]="A",WORKDAY(Main[[#This Row],[Tech Start Date]],4),""))))</f>
        <v>40891</v>
      </c>
      <c r="O1448" s="168">
        <f>IF(Main[[#This Row],[Tech Start Date]]&lt;1/1/1990,"",IF(Main[[#This Row],[Class]]="C",WORKDAY(Main[[#This Row],[Tech Start Date]],23),IF(Main[[#This Row],[Class]]="B", WORKDAY(Main[[#This Row],[Tech Start Date]],15),IF(Main[[#This Row],[Class]]="A",WORKDAY(Main[[#This Row],[Tech Start Date]],5),""))))</f>
        <v>40892</v>
      </c>
      <c r="P1448" s="168">
        <f>IF(Main[[#This Row],[Tech Start Date]]&lt;1/1/1990,"",IF(Main[[#This Row],[Class]]="C",WORKDAY(Main[[#This Row],[Tech Start Date]],28),IF(Main[[#This Row],[Class]]="B", WORKDAY(Main[[#This Row],[Tech Start Date]],19),IF(Main[[#This Row],[Class]]="A",WORKDAY(Main[[#This Row],[Tech Start Date]],9),""))))</f>
        <v>40898</v>
      </c>
      <c r="Q1448" s="161">
        <v>40879</v>
      </c>
      <c r="R1448" s="161"/>
      <c r="S1448" s="128" t="s">
        <v>11</v>
      </c>
      <c r="T1448" s="172" t="s">
        <v>3856</v>
      </c>
      <c r="U1448" s="128" t="s">
        <v>29</v>
      </c>
      <c r="V1448" s="128" t="s">
        <v>1927</v>
      </c>
      <c r="W1448" s="128" t="s">
        <v>1925</v>
      </c>
      <c r="X1448" s="128" t="s">
        <v>2910</v>
      </c>
      <c r="Y1448" s="128" t="s">
        <v>4</v>
      </c>
      <c r="Z1448" s="128" t="s">
        <v>530</v>
      </c>
      <c r="AA1448" s="146" t="s">
        <v>2910</v>
      </c>
    </row>
    <row r="1449" spans="1:27" ht="18.600000000000001" customHeight="1">
      <c r="A1449" s="142" t="str">
        <f>IF(priority(Main[[#This Row],[Comments]])&lt;&gt;0, priority(Main[[#This Row],[Comments]]),"")</f>
        <v/>
      </c>
      <c r="B1449" s="127" t="s">
        <v>2813</v>
      </c>
      <c r="C1449" s="128" t="s">
        <v>2814</v>
      </c>
      <c r="D1449" s="159" t="s">
        <v>3186</v>
      </c>
      <c r="E1449" s="161">
        <v>40889.938506944447</v>
      </c>
      <c r="F1449" s="161">
        <v>41029</v>
      </c>
      <c r="G1449" s="163">
        <f>IF(stdProdLT(Main[[#This Row],[Comments]])=0.1,"N/A",IF(stdProdLT(Main[[#This Row],[Comments]])=0,"",stdProdLT(Main[[#This Row],[Comments]])))</f>
        <v>154</v>
      </c>
      <c r="H1449" s="165" t="str">
        <f>IF(AND(Main[[#This Row],[In Stock Date]]&lt;&gt;"",Main[[#This Row],[Revised Due Date]]&lt;&gt;""),Main[[#This Row],[In Stock Date]]-Main[[#This Row],[Revised Due Date]],"")</f>
        <v/>
      </c>
      <c r="I1449" s="128" t="s">
        <v>767</v>
      </c>
      <c r="J1449" s="128" t="s">
        <v>28</v>
      </c>
      <c r="K1449" s="128" t="s">
        <v>1924</v>
      </c>
      <c r="L1449" s="161">
        <v>40904</v>
      </c>
      <c r="M1449" s="168">
        <f>IF(Main[[#This Row],[Tech Start Date]]&lt;1/1/1990,"",IF(Main[[#This Row],[Class]]="C",WORKDAY(Main[[#This Row],[Tech Start Date]],9),IF(Main[[#This Row],[Class]]="B", WORKDAY(Main[[#This Row],[Tech Start Date]],6),IF(Main[[#This Row],[Class]]="A",WORKDAY(Main[[#This Row],[Tech Start Date]],2),""))))</f>
        <v>40912</v>
      </c>
      <c r="N1449" s="168">
        <f>IF(Main[[#This Row],[Tech Start Date]]&lt;1/1/1990,"",IF(Main[[#This Row],[Class]]="C",WORKDAY(Main[[#This Row],[Tech Start Date]],19),IF(Main[[#This Row],[Class]]="B", WORKDAY(Main[[#This Row],[Tech Start Date]],12),IF(Main[[#This Row],[Class]]="A",WORKDAY(Main[[#This Row],[Tech Start Date]],4),""))))</f>
        <v>40920</v>
      </c>
      <c r="O1449" s="168">
        <f>IF(Main[[#This Row],[Tech Start Date]]&lt;1/1/1990,"",IF(Main[[#This Row],[Class]]="C",WORKDAY(Main[[#This Row],[Tech Start Date]],23),IF(Main[[#This Row],[Class]]="B", WORKDAY(Main[[#This Row],[Tech Start Date]],15),IF(Main[[#This Row],[Class]]="A",WORKDAY(Main[[#This Row],[Tech Start Date]],5),""))))</f>
        <v>40925</v>
      </c>
      <c r="P1449" s="168">
        <f>IF(Main[[#This Row],[Tech Start Date]]&lt;1/1/1990,"",IF(Main[[#This Row],[Class]]="C",WORKDAY(Main[[#This Row],[Tech Start Date]],28),IF(Main[[#This Row],[Class]]="B", WORKDAY(Main[[#This Row],[Tech Start Date]],19),IF(Main[[#This Row],[Class]]="A",WORKDAY(Main[[#This Row],[Tech Start Date]],9),""))))</f>
        <v>40931</v>
      </c>
      <c r="Q1449" s="161">
        <v>40918</v>
      </c>
      <c r="R1449" s="161"/>
      <c r="S1449" s="128" t="s">
        <v>11</v>
      </c>
      <c r="T1449" s="172" t="s">
        <v>3323</v>
      </c>
      <c r="U1449" s="128" t="s">
        <v>534</v>
      </c>
      <c r="V1449" s="128" t="s">
        <v>1920</v>
      </c>
      <c r="W1449" s="128" t="s">
        <v>1922</v>
      </c>
      <c r="X1449" s="128" t="s">
        <v>2930</v>
      </c>
      <c r="Y1449" s="128" t="s">
        <v>4</v>
      </c>
      <c r="Z1449" s="128" t="s">
        <v>530</v>
      </c>
      <c r="AA1449" s="146" t="s">
        <v>2930</v>
      </c>
    </row>
    <row r="1450" spans="1:27" ht="18.600000000000001" customHeight="1">
      <c r="A1450" s="173" t="str">
        <f>IF(priority(Main[[#This Row],[Comments]])&lt;&gt;0, priority(Main[[#This Row],[Comments]]),"")</f>
        <v/>
      </c>
      <c r="B1450" s="145" t="s">
        <v>3179</v>
      </c>
      <c r="C1450" s="146" t="s">
        <v>3254</v>
      </c>
      <c r="D1450" s="147" t="s">
        <v>3324</v>
      </c>
      <c r="E1450" s="148"/>
      <c r="F1450" s="148">
        <v>41105</v>
      </c>
      <c r="G1450" s="149">
        <f>IF(stdProdLT(Main[[#This Row],[Comments]])=0.1,"N/A",IF(stdProdLT(Main[[#This Row],[Comments]])=0,"",stdProdLT(Main[[#This Row],[Comments]])))</f>
        <v>126</v>
      </c>
      <c r="H1450" s="150" t="str">
        <f>IF(AND(Main[[#This Row],[In Stock Date]]&lt;&gt;"",Main[[#This Row],[Revised Due Date]]&lt;&gt;""),Main[[#This Row],[In Stock Date]]-Main[[#This Row],[Revised Due Date]],"")</f>
        <v/>
      </c>
      <c r="I1450" s="146" t="s">
        <v>939</v>
      </c>
      <c r="J1450" s="146" t="s">
        <v>28</v>
      </c>
      <c r="K1450" s="146" t="s">
        <v>1924</v>
      </c>
      <c r="L1450" s="148">
        <v>40921</v>
      </c>
      <c r="M1450" s="151">
        <f>IF(Main[[#This Row],[Tech Start Date]]&lt;1/1/1990,"",IF(Main[[#This Row],[Class]]="C",WORKDAY(Main[[#This Row],[Tech Start Date]],9),IF(Main[[#This Row],[Class]]="B", WORKDAY(Main[[#This Row],[Tech Start Date]],6),IF(Main[[#This Row],[Class]]="A",WORKDAY(Main[[#This Row],[Tech Start Date]],2),""))))</f>
        <v>40931</v>
      </c>
      <c r="N1450" s="151">
        <f>IF(Main[[#This Row],[Tech Start Date]]&lt;1/1/1990,"",IF(Main[[#This Row],[Class]]="C",WORKDAY(Main[[#This Row],[Tech Start Date]],19),IF(Main[[#This Row],[Class]]="B", WORKDAY(Main[[#This Row],[Tech Start Date]],12),IF(Main[[#This Row],[Class]]="A",WORKDAY(Main[[#This Row],[Tech Start Date]],4),""))))</f>
        <v>40939</v>
      </c>
      <c r="O1450" s="151">
        <f>IF(Main[[#This Row],[Tech Start Date]]&lt;1/1/1990,"",IF(Main[[#This Row],[Class]]="C",WORKDAY(Main[[#This Row],[Tech Start Date]],23),IF(Main[[#This Row],[Class]]="B", WORKDAY(Main[[#This Row],[Tech Start Date]],15),IF(Main[[#This Row],[Class]]="A",WORKDAY(Main[[#This Row],[Tech Start Date]],5),""))))</f>
        <v>40942</v>
      </c>
      <c r="P1450" s="151">
        <f>IF(Main[[#This Row],[Tech Start Date]]&lt;1/1/1990,"",IF(Main[[#This Row],[Class]]="C",WORKDAY(Main[[#This Row],[Tech Start Date]],28),IF(Main[[#This Row],[Class]]="B", WORKDAY(Main[[#This Row],[Tech Start Date]],19),IF(Main[[#This Row],[Class]]="A",WORKDAY(Main[[#This Row],[Tech Start Date]],9),""))))</f>
        <v>40948</v>
      </c>
      <c r="Q1450" s="148">
        <v>41105</v>
      </c>
      <c r="R1450" s="148"/>
      <c r="S1450" s="146" t="s">
        <v>11</v>
      </c>
      <c r="T1450" s="152" t="s">
        <v>3325</v>
      </c>
      <c r="U1450" s="146" t="s">
        <v>14</v>
      </c>
      <c r="V1450" s="146" t="s">
        <v>1917</v>
      </c>
      <c r="W1450" s="146" t="s">
        <v>1928</v>
      </c>
      <c r="X1450" s="146" t="s">
        <v>2858</v>
      </c>
      <c r="Y1450" s="146" t="s">
        <v>2996</v>
      </c>
      <c r="Z1450" s="146" t="s">
        <v>129</v>
      </c>
      <c r="AA1450" s="153" t="s">
        <v>2858</v>
      </c>
    </row>
    <row r="1451" spans="1:27" ht="18.600000000000001" customHeight="1">
      <c r="A1451" s="173" t="str">
        <f>IF(priority(Main[[#This Row],[Comments]])&lt;&gt;0, priority(Main[[#This Row],[Comments]]),"")</f>
        <v/>
      </c>
      <c r="B1451" s="145" t="s">
        <v>3505</v>
      </c>
      <c r="C1451" s="146" t="s">
        <v>3506</v>
      </c>
      <c r="D1451" s="147" t="s">
        <v>3507</v>
      </c>
      <c r="E1451" s="148">
        <v>40899.057951388888</v>
      </c>
      <c r="F1451" s="148"/>
      <c r="G1451" s="149" t="str">
        <f>IF(stdProdLT(Main[[#This Row],[Comments]])=0.1,"N/A",IF(stdProdLT(Main[[#This Row],[Comments]])=0,"",stdProdLT(Main[[#This Row],[Comments]])))</f>
        <v>N/A</v>
      </c>
      <c r="H1451" s="150" t="str">
        <f>IF(AND(Main[[#This Row],[In Stock Date]]&lt;&gt;"",Main[[#This Row],[Revised Due Date]]&lt;&gt;""),Main[[#This Row],[In Stock Date]]-Main[[#This Row],[Revised Due Date]],"")</f>
        <v/>
      </c>
      <c r="I1451" s="146" t="s">
        <v>948</v>
      </c>
      <c r="J1451" s="146" t="s">
        <v>28</v>
      </c>
      <c r="K1451" s="146" t="s">
        <v>1930</v>
      </c>
      <c r="L1451" s="148">
        <v>40932</v>
      </c>
      <c r="M1451" s="151">
        <f>IF(Main[[#This Row],[Tech Start Date]]&lt;1/1/1990,"",IF(Main[[#This Row],[Class]]="C",WORKDAY(Main[[#This Row],[Tech Start Date]],9),IF(Main[[#This Row],[Class]]="B", WORKDAY(Main[[#This Row],[Tech Start Date]],6),IF(Main[[#This Row],[Class]]="A",WORKDAY(Main[[#This Row],[Tech Start Date]],2),""))))</f>
        <v>40945</v>
      </c>
      <c r="N1451" s="151">
        <f>IF(Main[[#This Row],[Tech Start Date]]&lt;1/1/1990,"",IF(Main[[#This Row],[Class]]="C",WORKDAY(Main[[#This Row],[Tech Start Date]],19),IF(Main[[#This Row],[Class]]="B", WORKDAY(Main[[#This Row],[Tech Start Date]],12),IF(Main[[#This Row],[Class]]="A",WORKDAY(Main[[#This Row],[Tech Start Date]],4),""))))</f>
        <v>40959</v>
      </c>
      <c r="O1451" s="151">
        <f>IF(Main[[#This Row],[Tech Start Date]]&lt;1/1/1990,"",IF(Main[[#This Row],[Class]]="C",WORKDAY(Main[[#This Row],[Tech Start Date]],23),IF(Main[[#This Row],[Class]]="B", WORKDAY(Main[[#This Row],[Tech Start Date]],15),IF(Main[[#This Row],[Class]]="A",WORKDAY(Main[[#This Row],[Tech Start Date]],5),""))))</f>
        <v>40963</v>
      </c>
      <c r="P1451" s="151">
        <f>IF(Main[[#This Row],[Tech Start Date]]&lt;1/1/1990,"",IF(Main[[#This Row],[Class]]="C",WORKDAY(Main[[#This Row],[Tech Start Date]],28),IF(Main[[#This Row],[Class]]="B", WORKDAY(Main[[#This Row],[Tech Start Date]],19),IF(Main[[#This Row],[Class]]="A",WORKDAY(Main[[#This Row],[Tech Start Date]],9),""))))</f>
        <v>40970</v>
      </c>
      <c r="Q1451" s="148">
        <v>40921</v>
      </c>
      <c r="R1451" s="148">
        <v>40968</v>
      </c>
      <c r="S1451" s="146" t="s">
        <v>17</v>
      </c>
      <c r="T1451" s="152" t="s">
        <v>3508</v>
      </c>
      <c r="U1451" s="146" t="s">
        <v>29</v>
      </c>
      <c r="V1451" s="146" t="s">
        <v>1918</v>
      </c>
      <c r="W1451" s="146" t="s">
        <v>1919</v>
      </c>
      <c r="X1451" s="146" t="s">
        <v>2841</v>
      </c>
      <c r="Y1451" s="146" t="s">
        <v>4</v>
      </c>
      <c r="Z1451" s="146" t="s">
        <v>2056</v>
      </c>
      <c r="AA1451" s="153" t="s">
        <v>2841</v>
      </c>
    </row>
    <row r="1452" spans="1:27" ht="18.600000000000001" customHeight="1">
      <c r="A1452" s="173" t="str">
        <f>IF(priority(Main[[#This Row],[Comments]])&lt;&gt;0, priority(Main[[#This Row],[Comments]]),"")</f>
        <v/>
      </c>
      <c r="B1452" s="145" t="s">
        <v>3509</v>
      </c>
      <c r="C1452" s="146" t="s">
        <v>2213</v>
      </c>
      <c r="D1452" s="147" t="s">
        <v>3574</v>
      </c>
      <c r="E1452" s="148"/>
      <c r="F1452" s="148">
        <v>40978</v>
      </c>
      <c r="G1452" s="149" t="str">
        <f>IF(stdProdLT(Main[[#This Row],[Comments]])=0.1,"N/A",IF(stdProdLT(Main[[#This Row],[Comments]])=0,"",stdProdLT(Main[[#This Row],[Comments]])))</f>
        <v/>
      </c>
      <c r="H1452" s="150">
        <f>IF(AND(Main[[#This Row],[In Stock Date]]&lt;&gt;"",Main[[#This Row],[Revised Due Date]]&lt;&gt;""),Main[[#This Row],[In Stock Date]]-Main[[#This Row],[Revised Due Date]],"")</f>
        <v>24</v>
      </c>
      <c r="I1452" s="146" t="s">
        <v>943</v>
      </c>
      <c r="J1452" s="146" t="s">
        <v>28</v>
      </c>
      <c r="K1452" s="146" t="s">
        <v>1926</v>
      </c>
      <c r="L1452" s="148">
        <v>40945</v>
      </c>
      <c r="M1452" s="151">
        <f>IF(Main[[#This Row],[Tech Start Date]]&lt;1/1/1990,"",IF(Main[[#This Row],[Class]]="C",WORKDAY(Main[[#This Row],[Tech Start Date]],9),IF(Main[[#This Row],[Class]]="B", WORKDAY(Main[[#This Row],[Tech Start Date]],6),IF(Main[[#This Row],[Class]]="A",WORKDAY(Main[[#This Row],[Tech Start Date]],2),""))))</f>
        <v>40947</v>
      </c>
      <c r="N1452" s="151">
        <f>IF(Main[[#This Row],[Tech Start Date]]&lt;1/1/1990,"",IF(Main[[#This Row],[Class]]="C",WORKDAY(Main[[#This Row],[Tech Start Date]],19),IF(Main[[#This Row],[Class]]="B", WORKDAY(Main[[#This Row],[Tech Start Date]],12),IF(Main[[#This Row],[Class]]="A",WORKDAY(Main[[#This Row],[Tech Start Date]],4),""))))</f>
        <v>40949</v>
      </c>
      <c r="O1452" s="151">
        <f>IF(Main[[#This Row],[Tech Start Date]]&lt;1/1/1990,"",IF(Main[[#This Row],[Class]]="C",WORKDAY(Main[[#This Row],[Tech Start Date]],23),IF(Main[[#This Row],[Class]]="B", WORKDAY(Main[[#This Row],[Tech Start Date]],15),IF(Main[[#This Row],[Class]]="A",WORKDAY(Main[[#This Row],[Tech Start Date]],5),""))))</f>
        <v>40952</v>
      </c>
      <c r="P1452" s="151">
        <f>IF(Main[[#This Row],[Tech Start Date]]&lt;1/1/1990,"",IF(Main[[#This Row],[Class]]="C",WORKDAY(Main[[#This Row],[Tech Start Date]],28),IF(Main[[#This Row],[Class]]="B", WORKDAY(Main[[#This Row],[Tech Start Date]],19),IF(Main[[#This Row],[Class]]="A",WORKDAY(Main[[#This Row],[Tech Start Date]],9),""))))</f>
        <v>40956</v>
      </c>
      <c r="Q1452" s="148">
        <v>40978</v>
      </c>
      <c r="R1452" s="148">
        <v>40954</v>
      </c>
      <c r="S1452" s="146" t="s">
        <v>11</v>
      </c>
      <c r="T1452" s="152" t="s">
        <v>3575</v>
      </c>
      <c r="U1452" s="146" t="s">
        <v>14</v>
      </c>
      <c r="V1452" s="146" t="s">
        <v>1918</v>
      </c>
      <c r="W1452" s="146" t="s">
        <v>1922</v>
      </c>
      <c r="X1452" s="146" t="s">
        <v>2822</v>
      </c>
      <c r="Y1452" s="146" t="s">
        <v>4</v>
      </c>
      <c r="Z1452" s="146" t="s">
        <v>2056</v>
      </c>
      <c r="AA1452" s="153" t="s">
        <v>2822</v>
      </c>
    </row>
    <row r="1453" spans="1:27" ht="18.600000000000001" customHeight="1">
      <c r="A1453" s="174" t="str">
        <f>IF(priority(Main[[#This Row],[Comments]])&lt;&gt;0, priority(Main[[#This Row],[Comments]]),"")</f>
        <v/>
      </c>
      <c r="B1453" s="145" t="s">
        <v>3579</v>
      </c>
      <c r="C1453" s="146" t="s">
        <v>4</v>
      </c>
      <c r="D1453" s="147" t="s">
        <v>3580</v>
      </c>
      <c r="E1453" s="148">
        <v>40947.374143518522</v>
      </c>
      <c r="F1453" s="148"/>
      <c r="G1453" s="149" t="str">
        <f>IF(stdProdLT(Main[[#This Row],[Comments]])=0.1,"N/A",IF(stdProdLT(Main[[#This Row],[Comments]])=0,"",stdProdLT(Main[[#This Row],[Comments]])))</f>
        <v/>
      </c>
      <c r="H1453" s="150" t="str">
        <f>IF(AND(Main[[#This Row],[In Stock Date]]&lt;&gt;"",Main[[#This Row],[Revised Due Date]]&lt;&gt;""),Main[[#This Row],[In Stock Date]]-Main[[#This Row],[Revised Due Date]],"")</f>
        <v/>
      </c>
      <c r="I1453" s="146" t="s">
        <v>944</v>
      </c>
      <c r="J1453" s="146" t="s">
        <v>28</v>
      </c>
      <c r="K1453" s="146" t="s">
        <v>1924</v>
      </c>
      <c r="L1453" s="148">
        <v>40947</v>
      </c>
      <c r="M1453" s="151">
        <f>IF(Main[[#This Row],[Tech Start Date]]&lt;1/1/1990,"",IF(Main[[#This Row],[Class]]="C",WORKDAY(Main[[#This Row],[Tech Start Date]],9),IF(Main[[#This Row],[Class]]="B", WORKDAY(Main[[#This Row],[Tech Start Date]],6),IF(Main[[#This Row],[Class]]="A",WORKDAY(Main[[#This Row],[Tech Start Date]],2),""))))</f>
        <v>40955</v>
      </c>
      <c r="N1453" s="151">
        <f>IF(Main[[#This Row],[Tech Start Date]]&lt;1/1/1990,"",IF(Main[[#This Row],[Class]]="C",WORKDAY(Main[[#This Row],[Tech Start Date]],19),IF(Main[[#This Row],[Class]]="B", WORKDAY(Main[[#This Row],[Tech Start Date]],12),IF(Main[[#This Row],[Class]]="A",WORKDAY(Main[[#This Row],[Tech Start Date]],4),""))))</f>
        <v>40963</v>
      </c>
      <c r="O1453" s="151">
        <f>IF(Main[[#This Row],[Tech Start Date]]&lt;1/1/1990,"",IF(Main[[#This Row],[Class]]="C",WORKDAY(Main[[#This Row],[Tech Start Date]],23),IF(Main[[#This Row],[Class]]="B", WORKDAY(Main[[#This Row],[Tech Start Date]],15),IF(Main[[#This Row],[Class]]="A",WORKDAY(Main[[#This Row],[Tech Start Date]],5),""))))</f>
        <v>40968</v>
      </c>
      <c r="P1453" s="151">
        <f>IF(Main[[#This Row],[Tech Start Date]]&lt;1/1/1990,"",IF(Main[[#This Row],[Class]]="C",WORKDAY(Main[[#This Row],[Tech Start Date]],28),IF(Main[[#This Row],[Class]]="B", WORKDAY(Main[[#This Row],[Tech Start Date]],19),IF(Main[[#This Row],[Class]]="A",WORKDAY(Main[[#This Row],[Tech Start Date]],9),""))))</f>
        <v>40974</v>
      </c>
      <c r="Q1453" s="148"/>
      <c r="R1453" s="148">
        <v>40956</v>
      </c>
      <c r="S1453" s="146" t="s">
        <v>6</v>
      </c>
      <c r="T1453" s="152" t="s">
        <v>4</v>
      </c>
      <c r="U1453" s="146" t="s">
        <v>29</v>
      </c>
      <c r="V1453" s="146" t="s">
        <v>1918</v>
      </c>
      <c r="W1453" s="146" t="s">
        <v>1922</v>
      </c>
      <c r="X1453" s="146" t="s">
        <v>2056</v>
      </c>
      <c r="Y1453" s="153" t="s">
        <v>3159</v>
      </c>
      <c r="Z1453" s="153" t="s">
        <v>2056</v>
      </c>
      <c r="AA1453" s="153" t="s">
        <v>2056</v>
      </c>
    </row>
    <row r="1454" spans="1:27" ht="18.600000000000001" customHeight="1">
      <c r="A1454" s="174" t="str">
        <f>IF(priority(Main[[#This Row],[Comments]])&lt;&gt;0, priority(Main[[#This Row],[Comments]]),"")</f>
        <v/>
      </c>
      <c r="B1454" s="145" t="s">
        <v>3278</v>
      </c>
      <c r="C1454" s="153" t="s">
        <v>3216</v>
      </c>
      <c r="D1454" s="175" t="s">
        <v>3279</v>
      </c>
      <c r="E1454" s="176">
        <v>40935.321921296294</v>
      </c>
      <c r="F1454" s="176">
        <v>41153</v>
      </c>
      <c r="G1454" s="177">
        <f>IF(stdProdLT(Main[[#This Row],[Comments]])=0.1,"N/A",IF(stdProdLT(Main[[#This Row],[Comments]])=0,"",stdProdLT(Main[[#This Row],[Comments]])))</f>
        <v>168</v>
      </c>
      <c r="H1454" s="178" t="str">
        <f>IF(AND(Main[[#This Row],[In Stock Date]]&lt;&gt;"",Main[[#This Row],[Revised Due Date]]&lt;&gt;""),Main[[#This Row],[In Stock Date]]-Main[[#This Row],[Revised Due Date]],"")</f>
        <v/>
      </c>
      <c r="I1454" s="153" t="s">
        <v>767</v>
      </c>
      <c r="J1454" s="153" t="s">
        <v>28</v>
      </c>
      <c r="K1454" s="153" t="s">
        <v>1924</v>
      </c>
      <c r="L1454" s="176">
        <v>40948</v>
      </c>
      <c r="M1454" s="179">
        <f>IF(Main[[#This Row],[Tech Start Date]]&lt;1/1/1990,"",IF(Main[[#This Row],[Class]]="C",WORKDAY(Main[[#This Row],[Tech Start Date]],9),IF(Main[[#This Row],[Class]]="B", WORKDAY(Main[[#This Row],[Tech Start Date]],6),IF(Main[[#This Row],[Class]]="A",WORKDAY(Main[[#This Row],[Tech Start Date]],2),""))))</f>
        <v>40956</v>
      </c>
      <c r="N1454" s="179">
        <f>IF(Main[[#This Row],[Tech Start Date]]&lt;1/1/1990,"",IF(Main[[#This Row],[Class]]="C",WORKDAY(Main[[#This Row],[Tech Start Date]],19),IF(Main[[#This Row],[Class]]="B", WORKDAY(Main[[#This Row],[Tech Start Date]],12),IF(Main[[#This Row],[Class]]="A",WORKDAY(Main[[#This Row],[Tech Start Date]],4),""))))</f>
        <v>40966</v>
      </c>
      <c r="O1454" s="179">
        <f>IF(Main[[#This Row],[Tech Start Date]]&lt;1/1/1990,"",IF(Main[[#This Row],[Class]]="C",WORKDAY(Main[[#This Row],[Tech Start Date]],23),IF(Main[[#This Row],[Class]]="B", WORKDAY(Main[[#This Row],[Tech Start Date]],15),IF(Main[[#This Row],[Class]]="A",WORKDAY(Main[[#This Row],[Tech Start Date]],5),""))))</f>
        <v>40969</v>
      </c>
      <c r="P1454" s="179">
        <f>IF(Main[[#This Row],[Tech Start Date]]&lt;1/1/1990,"",IF(Main[[#This Row],[Class]]="C",WORKDAY(Main[[#This Row],[Tech Start Date]],28),IF(Main[[#This Row],[Class]]="B", WORKDAY(Main[[#This Row],[Tech Start Date]],19),IF(Main[[#This Row],[Class]]="A",WORKDAY(Main[[#This Row],[Tech Start Date]],9),""))))</f>
        <v>40975</v>
      </c>
      <c r="Q1454" s="176">
        <v>40983</v>
      </c>
      <c r="R1454" s="176"/>
      <c r="S1454" s="153" t="s">
        <v>11</v>
      </c>
      <c r="T1454" s="180" t="s">
        <v>3901</v>
      </c>
      <c r="U1454" s="153" t="s">
        <v>534</v>
      </c>
      <c r="V1454" s="153" t="s">
        <v>1920</v>
      </c>
      <c r="W1454" s="153" t="s">
        <v>1923</v>
      </c>
      <c r="X1454" s="153" t="s">
        <v>2854</v>
      </c>
      <c r="Y1454" s="153" t="s">
        <v>2985</v>
      </c>
      <c r="Z1454" s="153" t="s">
        <v>530</v>
      </c>
      <c r="AA1454" s="153" t="s">
        <v>2854</v>
      </c>
    </row>
    <row r="1455" spans="1:27" ht="18.600000000000001" customHeight="1">
      <c r="A1455" s="174" t="str">
        <f>IF(priority(Main[[#This Row],[Comments]])&lt;&gt;0, priority(Main[[#This Row],[Comments]]),"")</f>
        <v/>
      </c>
      <c r="B1455" s="145" t="s">
        <v>3582</v>
      </c>
      <c r="C1455" s="153" t="s">
        <v>122</v>
      </c>
      <c r="D1455" s="175" t="s">
        <v>3583</v>
      </c>
      <c r="E1455" s="176">
        <v>40946.693032407406</v>
      </c>
      <c r="F1455" s="176"/>
      <c r="G1455" s="177" t="str">
        <f>IF(stdProdLT(Main[[#This Row],[Comments]])=0.1,"N/A",IF(stdProdLT(Main[[#This Row],[Comments]])=0,"",stdProdLT(Main[[#This Row],[Comments]])))</f>
        <v/>
      </c>
      <c r="H1455" s="178" t="str">
        <f>IF(AND(Main[[#This Row],[In Stock Date]]&lt;&gt;"",Main[[#This Row],[Revised Due Date]]&lt;&gt;""),Main[[#This Row],[In Stock Date]]-Main[[#This Row],[Revised Due Date]],"")</f>
        <v/>
      </c>
      <c r="I1455" s="153" t="s">
        <v>562</v>
      </c>
      <c r="J1455" s="153" t="s">
        <v>21</v>
      </c>
      <c r="K1455" s="153" t="s">
        <v>1926</v>
      </c>
      <c r="L1455" s="176">
        <v>40948</v>
      </c>
      <c r="M1455" s="179">
        <f>IF(Main[[#This Row],[Tech Start Date]]&lt;1/1/1990,"",IF(Main[[#This Row],[Class]]="C",WORKDAY(Main[[#This Row],[Tech Start Date]],9),IF(Main[[#This Row],[Class]]="B", WORKDAY(Main[[#This Row],[Tech Start Date]],6),IF(Main[[#This Row],[Class]]="A",WORKDAY(Main[[#This Row],[Tech Start Date]],2),""))))</f>
        <v>40952</v>
      </c>
      <c r="N1455" s="179">
        <f>IF(Main[[#This Row],[Tech Start Date]]&lt;1/1/1990,"",IF(Main[[#This Row],[Class]]="C",WORKDAY(Main[[#This Row],[Tech Start Date]],19),IF(Main[[#This Row],[Class]]="B", WORKDAY(Main[[#This Row],[Tech Start Date]],12),IF(Main[[#This Row],[Class]]="A",WORKDAY(Main[[#This Row],[Tech Start Date]],4),""))))</f>
        <v>40954</v>
      </c>
      <c r="O1455" s="179">
        <f>IF(Main[[#This Row],[Tech Start Date]]&lt;1/1/1990,"",IF(Main[[#This Row],[Class]]="C",WORKDAY(Main[[#This Row],[Tech Start Date]],23),IF(Main[[#This Row],[Class]]="B", WORKDAY(Main[[#This Row],[Tech Start Date]],15),IF(Main[[#This Row],[Class]]="A",WORKDAY(Main[[#This Row],[Tech Start Date]],5),""))))</f>
        <v>40955</v>
      </c>
      <c r="P1455" s="179">
        <f>IF(Main[[#This Row],[Tech Start Date]]&lt;1/1/1990,"",IF(Main[[#This Row],[Class]]="C",WORKDAY(Main[[#This Row],[Tech Start Date]],28),IF(Main[[#This Row],[Class]]="B", WORKDAY(Main[[#This Row],[Tech Start Date]],19),IF(Main[[#This Row],[Class]]="A",WORKDAY(Main[[#This Row],[Tech Start Date]],9),""))))</f>
        <v>40961</v>
      </c>
      <c r="Q1455" s="176"/>
      <c r="R1455" s="176">
        <v>40959</v>
      </c>
      <c r="S1455" s="153" t="s">
        <v>17</v>
      </c>
      <c r="T1455" s="180" t="s">
        <v>4</v>
      </c>
      <c r="U1455" s="153" t="s">
        <v>29</v>
      </c>
      <c r="V1455" s="153" t="s">
        <v>1917</v>
      </c>
      <c r="W1455" s="153" t="s">
        <v>1919</v>
      </c>
      <c r="X1455" s="153" t="s">
        <v>2845</v>
      </c>
      <c r="Y1455" s="153" t="s">
        <v>2976</v>
      </c>
      <c r="Z1455" s="153" t="s">
        <v>129</v>
      </c>
      <c r="AA1455" s="153" t="s">
        <v>2845</v>
      </c>
    </row>
    <row r="1456" spans="1:27" ht="18.600000000000001" customHeight="1">
      <c r="A1456" s="142" t="str">
        <f>IF(priority(Main[[#This Row],[Comments]])&lt;&gt;0, priority(Main[[#This Row],[Comments]]),"")</f>
        <v/>
      </c>
      <c r="B1456" s="127" t="s">
        <v>3734</v>
      </c>
      <c r="C1456" s="128" t="s">
        <v>3559</v>
      </c>
      <c r="D1456" s="159" t="s">
        <v>3735</v>
      </c>
      <c r="E1456" s="161">
        <v>40967.587476851855</v>
      </c>
      <c r="F1456" s="161"/>
      <c r="G1456" s="163" t="str">
        <f>IF(stdProdLT(Main[[#This Row],[Comments]])=0.1,"N/A",IF(stdProdLT(Main[[#This Row],[Comments]])=0,"",stdProdLT(Main[[#This Row],[Comments]])))</f>
        <v/>
      </c>
      <c r="H1456" s="165" t="str">
        <f>IF(AND(Main[[#This Row],[In Stock Date]]&lt;&gt;"",Main[[#This Row],[Revised Due Date]]&lt;&gt;""),Main[[#This Row],[In Stock Date]]-Main[[#This Row],[Revised Due Date]],"")</f>
        <v/>
      </c>
      <c r="I1456" s="128" t="s">
        <v>4</v>
      </c>
      <c r="J1456" s="128" t="s">
        <v>4</v>
      </c>
      <c r="K1456" s="128" t="s">
        <v>4</v>
      </c>
      <c r="L1456" s="161"/>
      <c r="M1456" s="168" t="str">
        <f>IF(Main[[#This Row],[Tech Start Date]]&lt;1/1/1990,"",IF(Main[[#This Row],[Class]]="C",WORKDAY(Main[[#This Row],[Tech Start Date]],9),IF(Main[[#This Row],[Class]]="B", WORKDAY(Main[[#This Row],[Tech Start Date]],6),IF(Main[[#This Row],[Class]]="A",WORKDAY(Main[[#This Row],[Tech Start Date]],2),""))))</f>
        <v/>
      </c>
      <c r="N1456" s="168" t="str">
        <f>IF(Main[[#This Row],[Tech Start Date]]&lt;1/1/1990,"",IF(Main[[#This Row],[Class]]="C",WORKDAY(Main[[#This Row],[Tech Start Date]],19),IF(Main[[#This Row],[Class]]="B", WORKDAY(Main[[#This Row],[Tech Start Date]],12),IF(Main[[#This Row],[Class]]="A",WORKDAY(Main[[#This Row],[Tech Start Date]],4),""))))</f>
        <v/>
      </c>
      <c r="O1456" s="168" t="str">
        <f>IF(Main[[#This Row],[Tech Start Date]]&lt;1/1/1990,"",IF(Main[[#This Row],[Class]]="C",WORKDAY(Main[[#This Row],[Tech Start Date]],23),IF(Main[[#This Row],[Class]]="B", WORKDAY(Main[[#This Row],[Tech Start Date]],15),IF(Main[[#This Row],[Class]]="A",WORKDAY(Main[[#This Row],[Tech Start Date]],5),""))))</f>
        <v/>
      </c>
      <c r="P1456" s="168" t="str">
        <f>IF(Main[[#This Row],[Tech Start Date]]&lt;1/1/1990,"",IF(Main[[#This Row],[Class]]="C",WORKDAY(Main[[#This Row],[Tech Start Date]],28),IF(Main[[#This Row],[Class]]="B", WORKDAY(Main[[#This Row],[Tech Start Date]],19),IF(Main[[#This Row],[Class]]="A",WORKDAY(Main[[#This Row],[Tech Start Date]],9),""))))</f>
        <v/>
      </c>
      <c r="Q1456" s="161"/>
      <c r="R1456" s="161"/>
      <c r="S1456" s="128" t="s">
        <v>11</v>
      </c>
      <c r="T1456" s="172" t="s">
        <v>4</v>
      </c>
      <c r="U1456" s="128" t="s">
        <v>7</v>
      </c>
      <c r="V1456" s="128" t="s">
        <v>1917</v>
      </c>
      <c r="W1456" s="128" t="s">
        <v>1925</v>
      </c>
      <c r="X1456" s="128" t="s">
        <v>3483</v>
      </c>
      <c r="Y1456" s="128" t="s">
        <v>3498</v>
      </c>
      <c r="Z1456" s="128" t="s">
        <v>4</v>
      </c>
      <c r="AA1456" s="146" t="s">
        <v>3483</v>
      </c>
    </row>
    <row r="1457" spans="1:27" ht="18.600000000000001" customHeight="1">
      <c r="A1457" s="174" t="str">
        <f>IF(priority(Main[[#This Row],[Comments]])&lt;&gt;0, priority(Main[[#This Row],[Comments]]),"")</f>
        <v/>
      </c>
      <c r="B1457" s="145" t="s">
        <v>3916</v>
      </c>
      <c r="C1457" s="153" t="s">
        <v>4</v>
      </c>
      <c r="D1457" s="175" t="s">
        <v>3917</v>
      </c>
      <c r="E1457" s="176">
        <v>40955.366423611114</v>
      </c>
      <c r="F1457" s="176">
        <v>40959</v>
      </c>
      <c r="G1457" s="177" t="str">
        <f>IF(stdProdLT(Main[[#This Row],[Comments]])=0.1,"N/A",IF(stdProdLT(Main[[#This Row],[Comments]])=0,"",stdProdLT(Main[[#This Row],[Comments]])))</f>
        <v/>
      </c>
      <c r="H1457" s="178" t="str">
        <f>IF(AND(Main[[#This Row],[In Stock Date]]&lt;&gt;"",Main[[#This Row],[Revised Due Date]]&lt;&gt;""),Main[[#This Row],[In Stock Date]]-Main[[#This Row],[Revised Due Date]],"")</f>
        <v/>
      </c>
      <c r="I1457" s="153" t="s">
        <v>2047</v>
      </c>
      <c r="J1457" s="153" t="s">
        <v>28</v>
      </c>
      <c r="K1457" s="153" t="s">
        <v>1926</v>
      </c>
      <c r="L1457" s="176">
        <v>40955</v>
      </c>
      <c r="M1457" s="179">
        <f>IF(Main[[#This Row],[Tech Start Date]]&lt;1/1/1990,"",IF(Main[[#This Row],[Class]]="C",WORKDAY(Main[[#This Row],[Tech Start Date]],9),IF(Main[[#This Row],[Class]]="B", WORKDAY(Main[[#This Row],[Tech Start Date]],6),IF(Main[[#This Row],[Class]]="A",WORKDAY(Main[[#This Row],[Tech Start Date]],2),""))))</f>
        <v>40959</v>
      </c>
      <c r="N1457" s="179">
        <f>IF(Main[[#This Row],[Tech Start Date]]&lt;1/1/1990,"",IF(Main[[#This Row],[Class]]="C",WORKDAY(Main[[#This Row],[Tech Start Date]],19),IF(Main[[#This Row],[Class]]="B", WORKDAY(Main[[#This Row],[Tech Start Date]],12),IF(Main[[#This Row],[Class]]="A",WORKDAY(Main[[#This Row],[Tech Start Date]],4),""))))</f>
        <v>40961</v>
      </c>
      <c r="O1457" s="179">
        <f>IF(Main[[#This Row],[Tech Start Date]]&lt;1/1/1990,"",IF(Main[[#This Row],[Class]]="C",WORKDAY(Main[[#This Row],[Tech Start Date]],23),IF(Main[[#This Row],[Class]]="B", WORKDAY(Main[[#This Row],[Tech Start Date]],15),IF(Main[[#This Row],[Class]]="A",WORKDAY(Main[[#This Row],[Tech Start Date]],5),""))))</f>
        <v>40962</v>
      </c>
      <c r="P1457" s="179">
        <f>IF(Main[[#This Row],[Tech Start Date]]&lt;1/1/1990,"",IF(Main[[#This Row],[Class]]="C",WORKDAY(Main[[#This Row],[Tech Start Date]],28),IF(Main[[#This Row],[Class]]="B", WORKDAY(Main[[#This Row],[Tech Start Date]],19),IF(Main[[#This Row],[Class]]="A",WORKDAY(Main[[#This Row],[Tech Start Date]],9),""))))</f>
        <v>40968</v>
      </c>
      <c r="Q1457" s="176"/>
      <c r="R1457" s="176"/>
      <c r="S1457" s="153" t="s">
        <v>11</v>
      </c>
      <c r="T1457" s="180" t="s">
        <v>3918</v>
      </c>
      <c r="U1457" s="153" t="s">
        <v>534</v>
      </c>
      <c r="V1457" s="153" t="s">
        <v>1920</v>
      </c>
      <c r="W1457" s="153" t="s">
        <v>1925</v>
      </c>
      <c r="X1457" s="153" t="s">
        <v>50</v>
      </c>
      <c r="Y1457" s="153" t="s">
        <v>3920</v>
      </c>
      <c r="Z1457" s="153" t="s">
        <v>530</v>
      </c>
      <c r="AA1457" s="153" t="s">
        <v>3919</v>
      </c>
    </row>
    <row r="1458" spans="1:27" ht="18.600000000000001" customHeight="1">
      <c r="A1458" s="142" t="str">
        <f>IF(priority(Main[[#This Row],[Comments]])&lt;&gt;0, priority(Main[[#This Row],[Comments]]),"")</f>
        <v/>
      </c>
      <c r="B1458" s="127" t="s">
        <v>1661</v>
      </c>
      <c r="C1458" s="128" t="s">
        <v>122</v>
      </c>
      <c r="D1458" s="159" t="s">
        <v>2793</v>
      </c>
      <c r="E1458" s="161">
        <v>40959.441145833334</v>
      </c>
      <c r="F1458" s="161">
        <v>41244</v>
      </c>
      <c r="G1458" s="163">
        <f>IF(stdProdLT(Main[[#This Row],[Comments]])=0.1,"N/A",IF(stdProdLT(Main[[#This Row],[Comments]])=0,"",stdProdLT(Main[[#This Row],[Comments]])))</f>
        <v>126</v>
      </c>
      <c r="H1458" s="165" t="str">
        <f>IF(AND(Main[[#This Row],[In Stock Date]]&lt;&gt;"",Main[[#This Row],[Revised Due Date]]&lt;&gt;""),Main[[#This Row],[In Stock Date]]-Main[[#This Row],[Revised Due Date]],"")</f>
        <v/>
      </c>
      <c r="I1458" s="128" t="s">
        <v>4</v>
      </c>
      <c r="J1458" s="128" t="s">
        <v>28</v>
      </c>
      <c r="K1458" s="128" t="s">
        <v>1930</v>
      </c>
      <c r="L1458" s="161"/>
      <c r="M1458" s="168" t="str">
        <f>IF(Main[[#This Row],[Tech Start Date]]&lt;1/1/1990,"",IF(Main[[#This Row],[Class]]="C",WORKDAY(Main[[#This Row],[Tech Start Date]],9),IF(Main[[#This Row],[Class]]="B", WORKDAY(Main[[#This Row],[Tech Start Date]],6),IF(Main[[#This Row],[Class]]="A",WORKDAY(Main[[#This Row],[Tech Start Date]],2),""))))</f>
        <v/>
      </c>
      <c r="N1458" s="168" t="str">
        <f>IF(Main[[#This Row],[Tech Start Date]]&lt;1/1/1990,"",IF(Main[[#This Row],[Class]]="C",WORKDAY(Main[[#This Row],[Tech Start Date]],19),IF(Main[[#This Row],[Class]]="B", WORKDAY(Main[[#This Row],[Tech Start Date]],12),IF(Main[[#This Row],[Class]]="A",WORKDAY(Main[[#This Row],[Tech Start Date]],4),""))))</f>
        <v/>
      </c>
      <c r="O1458" s="168" t="str">
        <f>IF(Main[[#This Row],[Tech Start Date]]&lt;1/1/1990,"",IF(Main[[#This Row],[Class]]="C",WORKDAY(Main[[#This Row],[Tech Start Date]],23),IF(Main[[#This Row],[Class]]="B", WORKDAY(Main[[#This Row],[Tech Start Date]],15),IF(Main[[#This Row],[Class]]="A",WORKDAY(Main[[#This Row],[Tech Start Date]],5),""))))</f>
        <v/>
      </c>
      <c r="P1458" s="168" t="str">
        <f>IF(Main[[#This Row],[Tech Start Date]]&lt;1/1/1990,"",IF(Main[[#This Row],[Class]]="C",WORKDAY(Main[[#This Row],[Tech Start Date]],28),IF(Main[[#This Row],[Class]]="B", WORKDAY(Main[[#This Row],[Tech Start Date]],19),IF(Main[[#This Row],[Class]]="A",WORKDAY(Main[[#This Row],[Tech Start Date]],9),""))))</f>
        <v/>
      </c>
      <c r="Q1458" s="161">
        <v>40711</v>
      </c>
      <c r="R1458" s="161"/>
      <c r="S1458" s="128" t="s">
        <v>11</v>
      </c>
      <c r="T1458" s="172" t="s">
        <v>3756</v>
      </c>
      <c r="U1458" s="128" t="s">
        <v>696</v>
      </c>
      <c r="V1458" s="128" t="s">
        <v>1917</v>
      </c>
      <c r="W1458" s="128" t="s">
        <v>1919</v>
      </c>
      <c r="X1458" s="128" t="s">
        <v>2858</v>
      </c>
      <c r="Y1458" s="128" t="s">
        <v>3140</v>
      </c>
      <c r="Z1458" s="128" t="s">
        <v>129</v>
      </c>
      <c r="AA1458" s="146" t="s">
        <v>2858</v>
      </c>
    </row>
    <row r="1459" spans="1:27" ht="18.600000000000001" customHeight="1">
      <c r="A1459" s="142" t="str">
        <f>IF(priority(Main[[#This Row],[Comments]])&lt;&gt;0, priority(Main[[#This Row],[Comments]]),"")</f>
        <v/>
      </c>
      <c r="B1459" s="127" t="s">
        <v>3566</v>
      </c>
      <c r="C1459" s="128" t="s">
        <v>4</v>
      </c>
      <c r="D1459" s="159" t="s">
        <v>3823</v>
      </c>
      <c r="E1459" s="161">
        <v>40949.616782407407</v>
      </c>
      <c r="F1459" s="161"/>
      <c r="G1459" s="163" t="str">
        <f>IF(stdProdLT(Main[[#This Row],[Comments]])=0.1,"N/A",IF(stdProdLT(Main[[#This Row],[Comments]])=0,"",stdProdLT(Main[[#This Row],[Comments]])))</f>
        <v/>
      </c>
      <c r="H1459" s="165" t="str">
        <f>IF(AND(Main[[#This Row],[In Stock Date]]&lt;&gt;"",Main[[#This Row],[Revised Due Date]]&lt;&gt;""),Main[[#This Row],[In Stock Date]]-Main[[#This Row],[Revised Due Date]],"")</f>
        <v/>
      </c>
      <c r="I1459" s="128" t="s">
        <v>4</v>
      </c>
      <c r="J1459" s="128" t="s">
        <v>4</v>
      </c>
      <c r="K1459" s="128" t="s">
        <v>4</v>
      </c>
      <c r="L1459" s="161"/>
      <c r="M1459" s="168" t="str">
        <f>IF(Main[[#This Row],[Tech Start Date]]&lt;1/1/1990,"",IF(Main[[#This Row],[Class]]="C",WORKDAY(Main[[#This Row],[Tech Start Date]],9),IF(Main[[#This Row],[Class]]="B", WORKDAY(Main[[#This Row],[Tech Start Date]],6),IF(Main[[#This Row],[Class]]="A",WORKDAY(Main[[#This Row],[Tech Start Date]],2),""))))</f>
        <v/>
      </c>
      <c r="N1459" s="168" t="str">
        <f>IF(Main[[#This Row],[Tech Start Date]]&lt;1/1/1990,"",IF(Main[[#This Row],[Class]]="C",WORKDAY(Main[[#This Row],[Tech Start Date]],19),IF(Main[[#This Row],[Class]]="B", WORKDAY(Main[[#This Row],[Tech Start Date]],12),IF(Main[[#This Row],[Class]]="A",WORKDAY(Main[[#This Row],[Tech Start Date]],4),""))))</f>
        <v/>
      </c>
      <c r="O1459" s="168" t="str">
        <f>IF(Main[[#This Row],[Tech Start Date]]&lt;1/1/1990,"",IF(Main[[#This Row],[Class]]="C",WORKDAY(Main[[#This Row],[Tech Start Date]],23),IF(Main[[#This Row],[Class]]="B", WORKDAY(Main[[#This Row],[Tech Start Date]],15),IF(Main[[#This Row],[Class]]="A",WORKDAY(Main[[#This Row],[Tech Start Date]],5),""))))</f>
        <v/>
      </c>
      <c r="P1459" s="168" t="str">
        <f>IF(Main[[#This Row],[Tech Start Date]]&lt;1/1/1990,"",IF(Main[[#This Row],[Class]]="C",WORKDAY(Main[[#This Row],[Tech Start Date]],28),IF(Main[[#This Row],[Class]]="B", WORKDAY(Main[[#This Row],[Tech Start Date]],19),IF(Main[[#This Row],[Class]]="A",WORKDAY(Main[[#This Row],[Tech Start Date]],9),""))))</f>
        <v/>
      </c>
      <c r="Q1459" s="161"/>
      <c r="R1459" s="161"/>
      <c r="S1459" s="128" t="s">
        <v>11</v>
      </c>
      <c r="T1459" s="172" t="s">
        <v>4</v>
      </c>
      <c r="U1459" s="128" t="s">
        <v>696</v>
      </c>
      <c r="V1459" s="128" t="s">
        <v>1917</v>
      </c>
      <c r="W1459" s="128" t="s">
        <v>1925</v>
      </c>
      <c r="X1459" s="128" t="s">
        <v>3483</v>
      </c>
      <c r="Y1459" s="128" t="s">
        <v>3498</v>
      </c>
      <c r="Z1459" s="128" t="s">
        <v>4</v>
      </c>
      <c r="AA1459" s="146" t="s">
        <v>3483</v>
      </c>
    </row>
    <row r="1460" spans="1:27" ht="18.600000000000001" customHeight="1">
      <c r="A1460" s="142" t="str">
        <f>IF(priority(Main[[#This Row],[Comments]])&lt;&gt;0, priority(Main[[#This Row],[Comments]]),"")</f>
        <v/>
      </c>
      <c r="B1460" s="127" t="s">
        <v>2555</v>
      </c>
      <c r="C1460" s="128" t="s">
        <v>2556</v>
      </c>
      <c r="D1460" s="159" t="s">
        <v>3824</v>
      </c>
      <c r="E1460" s="161">
        <v>40855.339328703703</v>
      </c>
      <c r="F1460" s="161">
        <v>40890</v>
      </c>
      <c r="G1460" s="163">
        <f>IF(stdProdLT(Main[[#This Row],[Comments]])=0.1,"N/A",IF(stdProdLT(Main[[#This Row],[Comments]])=0,"",stdProdLT(Main[[#This Row],[Comments]])))</f>
        <v>84</v>
      </c>
      <c r="H1460" s="165" t="str">
        <f>IF(AND(Main[[#This Row],[In Stock Date]]&lt;&gt;"",Main[[#This Row],[Revised Due Date]]&lt;&gt;""),Main[[#This Row],[In Stock Date]]-Main[[#This Row],[Revised Due Date]],"")</f>
        <v/>
      </c>
      <c r="I1460" s="128" t="s">
        <v>126</v>
      </c>
      <c r="J1460" s="128" t="s">
        <v>28</v>
      </c>
      <c r="K1460" s="128" t="s">
        <v>4</v>
      </c>
      <c r="L1460" s="161"/>
      <c r="M1460" s="168" t="str">
        <f>IF(Main[[#This Row],[Tech Start Date]]&lt;1/1/1990,"",IF(Main[[#This Row],[Class]]="C",WORKDAY(Main[[#This Row],[Tech Start Date]],9),IF(Main[[#This Row],[Class]]="B", WORKDAY(Main[[#This Row],[Tech Start Date]],6),IF(Main[[#This Row],[Class]]="A",WORKDAY(Main[[#This Row],[Tech Start Date]],2),""))))</f>
        <v/>
      </c>
      <c r="N1460" s="168" t="str">
        <f>IF(Main[[#This Row],[Tech Start Date]]&lt;1/1/1990,"",IF(Main[[#This Row],[Class]]="C",WORKDAY(Main[[#This Row],[Tech Start Date]],19),IF(Main[[#This Row],[Class]]="B", WORKDAY(Main[[#This Row],[Tech Start Date]],12),IF(Main[[#This Row],[Class]]="A",WORKDAY(Main[[#This Row],[Tech Start Date]],4),""))))</f>
        <v/>
      </c>
      <c r="O1460" s="168" t="str">
        <f>IF(Main[[#This Row],[Tech Start Date]]&lt;1/1/1990,"",IF(Main[[#This Row],[Class]]="C",WORKDAY(Main[[#This Row],[Tech Start Date]],23),IF(Main[[#This Row],[Class]]="B", WORKDAY(Main[[#This Row],[Tech Start Date]],15),IF(Main[[#This Row],[Class]]="A",WORKDAY(Main[[#This Row],[Tech Start Date]],5),""))))</f>
        <v/>
      </c>
      <c r="P1460" s="168" t="str">
        <f>IF(Main[[#This Row],[Tech Start Date]]&lt;1/1/1990,"",IF(Main[[#This Row],[Class]]="C",WORKDAY(Main[[#This Row],[Tech Start Date]],28),IF(Main[[#This Row],[Class]]="B", WORKDAY(Main[[#This Row],[Tech Start Date]],19),IF(Main[[#This Row],[Class]]="A",WORKDAY(Main[[#This Row],[Tech Start Date]],9),""))))</f>
        <v/>
      </c>
      <c r="Q1460" s="161">
        <v>40877</v>
      </c>
      <c r="R1460" s="161"/>
      <c r="S1460" s="128" t="s">
        <v>11</v>
      </c>
      <c r="T1460" s="172" t="s">
        <v>3825</v>
      </c>
      <c r="U1460" s="128" t="s">
        <v>534</v>
      </c>
      <c r="V1460" s="128" t="s">
        <v>1917</v>
      </c>
      <c r="W1460" s="128" t="s">
        <v>1931</v>
      </c>
      <c r="X1460" s="128" t="s">
        <v>2911</v>
      </c>
      <c r="Y1460" s="128" t="s">
        <v>3137</v>
      </c>
      <c r="Z1460" s="128" t="s">
        <v>4</v>
      </c>
      <c r="AA1460" s="146" t="s">
        <v>3476</v>
      </c>
    </row>
    <row r="1461" spans="1:27" ht="18.600000000000001" customHeight="1">
      <c r="A1461" s="142" t="str">
        <f>IF(priority(Main[[#This Row],[Comments]])&lt;&gt;0, priority(Main[[#This Row],[Comments]]),"")</f>
        <v/>
      </c>
      <c r="B1461" s="127" t="s">
        <v>1888</v>
      </c>
      <c r="C1461" s="128" t="s">
        <v>941</v>
      </c>
      <c r="D1461" s="159" t="s">
        <v>2799</v>
      </c>
      <c r="E1461" s="161">
        <v>40617.624050925922</v>
      </c>
      <c r="F1461" s="161">
        <v>40967</v>
      </c>
      <c r="G1461" s="163">
        <f>IF(stdProdLT(Main[[#This Row],[Comments]])=0.1,"N/A",IF(stdProdLT(Main[[#This Row],[Comments]])=0,"",stdProdLT(Main[[#This Row],[Comments]])))</f>
        <v>112</v>
      </c>
      <c r="H1461" s="165" t="str">
        <f>IF(AND(Main[[#This Row],[In Stock Date]]&lt;&gt;"",Main[[#This Row],[Revised Due Date]]&lt;&gt;""),Main[[#This Row],[In Stock Date]]-Main[[#This Row],[Revised Due Date]],"")</f>
        <v/>
      </c>
      <c r="I1461" s="128" t="s">
        <v>562</v>
      </c>
      <c r="J1461" s="128" t="s">
        <v>28</v>
      </c>
      <c r="K1461" s="128" t="s">
        <v>1930</v>
      </c>
      <c r="L1461" s="161">
        <v>40666</v>
      </c>
      <c r="M1461" s="168">
        <f>IF(Main[[#This Row],[Tech Start Date]]&lt;1/1/1990,"",IF(Main[[#This Row],[Class]]="C",WORKDAY(Main[[#This Row],[Tech Start Date]],9),IF(Main[[#This Row],[Class]]="B", WORKDAY(Main[[#This Row],[Tech Start Date]],6),IF(Main[[#This Row],[Class]]="A",WORKDAY(Main[[#This Row],[Tech Start Date]],2),""))))</f>
        <v>40679</v>
      </c>
      <c r="N1461" s="168">
        <f>IF(Main[[#This Row],[Tech Start Date]]&lt;1/1/1990,"",IF(Main[[#This Row],[Class]]="C",WORKDAY(Main[[#This Row],[Tech Start Date]],19),IF(Main[[#This Row],[Class]]="B", WORKDAY(Main[[#This Row],[Tech Start Date]],12),IF(Main[[#This Row],[Class]]="A",WORKDAY(Main[[#This Row],[Tech Start Date]],4),""))))</f>
        <v>40693</v>
      </c>
      <c r="O1461" s="168">
        <f>IF(Main[[#This Row],[Tech Start Date]]&lt;1/1/1990,"",IF(Main[[#This Row],[Class]]="C",WORKDAY(Main[[#This Row],[Tech Start Date]],23),IF(Main[[#This Row],[Class]]="B", WORKDAY(Main[[#This Row],[Tech Start Date]],15),IF(Main[[#This Row],[Class]]="A",WORKDAY(Main[[#This Row],[Tech Start Date]],5),""))))</f>
        <v>40697</v>
      </c>
      <c r="P1461" s="168">
        <f>IF(Main[[#This Row],[Tech Start Date]]&lt;1/1/1990,"",IF(Main[[#This Row],[Class]]="C",WORKDAY(Main[[#This Row],[Tech Start Date]],28),IF(Main[[#This Row],[Class]]="B", WORKDAY(Main[[#This Row],[Tech Start Date]],19),IF(Main[[#This Row],[Class]]="A",WORKDAY(Main[[#This Row],[Tech Start Date]],9),""))))</f>
        <v>40704</v>
      </c>
      <c r="Q1461" s="161">
        <v>40767</v>
      </c>
      <c r="R1461" s="161"/>
      <c r="S1461" s="128" t="s">
        <v>11</v>
      </c>
      <c r="T1461" s="214" t="s">
        <v>3571</v>
      </c>
      <c r="U1461" s="128" t="s">
        <v>534</v>
      </c>
      <c r="V1461" s="128" t="s">
        <v>1917</v>
      </c>
      <c r="W1461" s="128" t="s">
        <v>1925</v>
      </c>
      <c r="X1461" s="128" t="s">
        <v>2927</v>
      </c>
      <c r="Y1461" s="128" t="s">
        <v>3155</v>
      </c>
      <c r="Z1461" s="128" t="s">
        <v>129</v>
      </c>
      <c r="AA1461" s="146" t="s">
        <v>2927</v>
      </c>
    </row>
    <row r="1462" spans="1:27" ht="18.600000000000001" customHeight="1">
      <c r="A1462" s="142" t="str">
        <f>IF(priority(Main[[#This Row],[Comments]])&lt;&gt;0, priority(Main[[#This Row],[Comments]]),"")</f>
        <v/>
      </c>
      <c r="B1462" s="127" t="s">
        <v>1906</v>
      </c>
      <c r="C1462" s="128" t="s">
        <v>113</v>
      </c>
      <c r="D1462" s="159" t="s">
        <v>2800</v>
      </c>
      <c r="E1462" s="161">
        <v>40709.602083333331</v>
      </c>
      <c r="F1462" s="161">
        <v>41091</v>
      </c>
      <c r="G1462" s="163">
        <f>IF(stdProdLT(Main[[#This Row],[Comments]])=0.1,"N/A",IF(stdProdLT(Main[[#This Row],[Comments]])=0,"",stdProdLT(Main[[#This Row],[Comments]])))</f>
        <v>126</v>
      </c>
      <c r="H1462" s="165" t="str">
        <f>IF(AND(Main[[#This Row],[In Stock Date]]&lt;&gt;"",Main[[#This Row],[Revised Due Date]]&lt;&gt;""),Main[[#This Row],[In Stock Date]]-Main[[#This Row],[Revised Due Date]],"")</f>
        <v/>
      </c>
      <c r="I1462" s="128" t="s">
        <v>562</v>
      </c>
      <c r="J1462" s="128" t="s">
        <v>28</v>
      </c>
      <c r="K1462" s="128" t="s">
        <v>1930</v>
      </c>
      <c r="L1462" s="161">
        <v>40709</v>
      </c>
      <c r="M1462" s="168">
        <f>IF(Main[[#This Row],[Tech Start Date]]&lt;1/1/1990,"",IF(Main[[#This Row],[Class]]="C",WORKDAY(Main[[#This Row],[Tech Start Date]],9),IF(Main[[#This Row],[Class]]="B", WORKDAY(Main[[#This Row],[Tech Start Date]],6),IF(Main[[#This Row],[Class]]="A",WORKDAY(Main[[#This Row],[Tech Start Date]],2),""))))</f>
        <v>40722</v>
      </c>
      <c r="N1462" s="168">
        <f>IF(Main[[#This Row],[Tech Start Date]]&lt;1/1/1990,"",IF(Main[[#This Row],[Class]]="C",WORKDAY(Main[[#This Row],[Tech Start Date]],19),IF(Main[[#This Row],[Class]]="B", WORKDAY(Main[[#This Row],[Tech Start Date]],12),IF(Main[[#This Row],[Class]]="A",WORKDAY(Main[[#This Row],[Tech Start Date]],4),""))))</f>
        <v>40736</v>
      </c>
      <c r="O1462" s="168">
        <f>IF(Main[[#This Row],[Tech Start Date]]&lt;1/1/1990,"",IF(Main[[#This Row],[Class]]="C",WORKDAY(Main[[#This Row],[Tech Start Date]],23),IF(Main[[#This Row],[Class]]="B", WORKDAY(Main[[#This Row],[Tech Start Date]],15),IF(Main[[#This Row],[Class]]="A",WORKDAY(Main[[#This Row],[Tech Start Date]],5),""))))</f>
        <v>40742</v>
      </c>
      <c r="P1462" s="168">
        <f>IF(Main[[#This Row],[Tech Start Date]]&lt;1/1/1990,"",IF(Main[[#This Row],[Class]]="C",WORKDAY(Main[[#This Row],[Tech Start Date]],28),IF(Main[[#This Row],[Class]]="B", WORKDAY(Main[[#This Row],[Tech Start Date]],19),IF(Main[[#This Row],[Class]]="A",WORKDAY(Main[[#This Row],[Tech Start Date]],9),""))))</f>
        <v>40749</v>
      </c>
      <c r="Q1462" s="161"/>
      <c r="R1462" s="161"/>
      <c r="S1462" s="128" t="s">
        <v>11</v>
      </c>
      <c r="T1462" s="172" t="s">
        <v>3572</v>
      </c>
      <c r="U1462" s="128" t="s">
        <v>534</v>
      </c>
      <c r="V1462" s="128" t="s">
        <v>1917</v>
      </c>
      <c r="W1462" s="128" t="s">
        <v>1928</v>
      </c>
      <c r="X1462" s="128" t="s">
        <v>2839</v>
      </c>
      <c r="Y1462" s="128" t="s">
        <v>2945</v>
      </c>
      <c r="Z1462" s="128" t="s">
        <v>129</v>
      </c>
      <c r="AA1462" s="146" t="s">
        <v>2839</v>
      </c>
    </row>
    <row r="1463" spans="1:27" ht="18.600000000000001" customHeight="1">
      <c r="A1463" s="142" t="str">
        <f>IF(priority(Main[[#This Row],[Comments]])&lt;&gt;0, priority(Main[[#This Row],[Comments]]),"")</f>
        <v/>
      </c>
      <c r="B1463" s="127" t="s">
        <v>2079</v>
      </c>
      <c r="C1463" s="128" t="s">
        <v>33</v>
      </c>
      <c r="D1463" s="159" t="s">
        <v>3838</v>
      </c>
      <c r="E1463" s="161">
        <v>40776.124837962961</v>
      </c>
      <c r="F1463" s="161">
        <v>41007</v>
      </c>
      <c r="G1463" s="163">
        <f>IF(stdProdLT(Main[[#This Row],[Comments]])=0.1,"N/A",IF(stdProdLT(Main[[#This Row],[Comments]])=0,"",stdProdLT(Main[[#This Row],[Comments]])))</f>
        <v>112</v>
      </c>
      <c r="H1463" s="165" t="str">
        <f>IF(AND(Main[[#This Row],[In Stock Date]]&lt;&gt;"",Main[[#This Row],[Revised Due Date]]&lt;&gt;""),Main[[#This Row],[In Stock Date]]-Main[[#This Row],[Revised Due Date]],"")</f>
        <v/>
      </c>
      <c r="I1463" s="128" t="s">
        <v>914</v>
      </c>
      <c r="J1463" s="128" t="s">
        <v>52</v>
      </c>
      <c r="K1463" s="128" t="s">
        <v>1930</v>
      </c>
      <c r="L1463" s="161">
        <v>40805</v>
      </c>
      <c r="M1463" s="168">
        <f>IF(Main[[#This Row],[Tech Start Date]]&lt;1/1/1990,"",IF(Main[[#This Row],[Class]]="C",WORKDAY(Main[[#This Row],[Tech Start Date]],9),IF(Main[[#This Row],[Class]]="B", WORKDAY(Main[[#This Row],[Tech Start Date]],6),IF(Main[[#This Row],[Class]]="A",WORKDAY(Main[[#This Row],[Tech Start Date]],2),""))))</f>
        <v>40816</v>
      </c>
      <c r="N1463" s="168">
        <f>IF(Main[[#This Row],[Tech Start Date]]&lt;1/1/1990,"",IF(Main[[#This Row],[Class]]="C",WORKDAY(Main[[#This Row],[Tech Start Date]],19),IF(Main[[#This Row],[Class]]="B", WORKDAY(Main[[#This Row],[Tech Start Date]],12),IF(Main[[#This Row],[Class]]="A",WORKDAY(Main[[#This Row],[Tech Start Date]],4),""))))</f>
        <v>40830</v>
      </c>
      <c r="O1463" s="168">
        <f>IF(Main[[#This Row],[Tech Start Date]]&lt;1/1/1990,"",IF(Main[[#This Row],[Class]]="C",WORKDAY(Main[[#This Row],[Tech Start Date]],23),IF(Main[[#This Row],[Class]]="B", WORKDAY(Main[[#This Row],[Tech Start Date]],15),IF(Main[[#This Row],[Class]]="A",WORKDAY(Main[[#This Row],[Tech Start Date]],5),""))))</f>
        <v>40836</v>
      </c>
      <c r="P1463" s="168">
        <f>IF(Main[[#This Row],[Tech Start Date]]&lt;1/1/1990,"",IF(Main[[#This Row],[Class]]="C",WORKDAY(Main[[#This Row],[Tech Start Date]],28),IF(Main[[#This Row],[Class]]="B", WORKDAY(Main[[#This Row],[Tech Start Date]],19),IF(Main[[#This Row],[Class]]="A",WORKDAY(Main[[#This Row],[Tech Start Date]],9),""))))</f>
        <v>40843</v>
      </c>
      <c r="Q1463" s="161">
        <v>40811</v>
      </c>
      <c r="R1463" s="161"/>
      <c r="S1463" s="128" t="s">
        <v>11</v>
      </c>
      <c r="T1463" s="172" t="s">
        <v>3839</v>
      </c>
      <c r="U1463" s="128" t="s">
        <v>534</v>
      </c>
      <c r="V1463" s="128" t="s">
        <v>1917</v>
      </c>
      <c r="W1463" s="128" t="s">
        <v>1922</v>
      </c>
      <c r="X1463" s="128" t="s">
        <v>2832</v>
      </c>
      <c r="Y1463" s="128" t="s">
        <v>2952</v>
      </c>
      <c r="Z1463" s="128" t="s">
        <v>129</v>
      </c>
      <c r="AA1463" s="146" t="s">
        <v>2832</v>
      </c>
    </row>
    <row r="1464" spans="1:27" ht="18.600000000000001" customHeight="1">
      <c r="A1464" s="174" t="str">
        <f>IF(priority(Main[[#This Row],[Comments]])&lt;&gt;0, priority(Main[[#This Row],[Comments]]),"")</f>
        <v/>
      </c>
      <c r="B1464" s="145" t="s">
        <v>3961</v>
      </c>
      <c r="C1464" s="153" t="s">
        <v>33</v>
      </c>
      <c r="D1464" s="175" t="s">
        <v>3962</v>
      </c>
      <c r="E1464" s="176">
        <v>40961.412997685184</v>
      </c>
      <c r="F1464" s="176">
        <v>40969</v>
      </c>
      <c r="G1464" s="177" t="str">
        <f>IF(stdProdLT(Main[[#This Row],[Comments]])=0.1,"N/A",IF(stdProdLT(Main[[#This Row],[Comments]])=0,"",stdProdLT(Main[[#This Row],[Comments]])))</f>
        <v>N/A</v>
      </c>
      <c r="H1464" s="178">
        <f>IF(AND(Main[[#This Row],[In Stock Date]]&lt;&gt;"",Main[[#This Row],[Revised Due Date]]&lt;&gt;""),Main[[#This Row],[In Stock Date]]-Main[[#This Row],[Revised Due Date]],"")</f>
        <v>-4</v>
      </c>
      <c r="I1464" s="153" t="s">
        <v>2047</v>
      </c>
      <c r="J1464" s="153" t="s">
        <v>52</v>
      </c>
      <c r="K1464" s="153" t="s">
        <v>1926</v>
      </c>
      <c r="L1464" s="176">
        <v>40966</v>
      </c>
      <c r="M1464" s="179">
        <f>IF(Main[[#This Row],[Tech Start Date]]&lt;1/1/1990,"",IF(Main[[#This Row],[Class]]="C",WORKDAY(Main[[#This Row],[Tech Start Date]],9),IF(Main[[#This Row],[Class]]="B", WORKDAY(Main[[#This Row],[Tech Start Date]],6),IF(Main[[#This Row],[Class]]="A",WORKDAY(Main[[#This Row],[Tech Start Date]],2),""))))</f>
        <v>40968</v>
      </c>
      <c r="N1464" s="179">
        <f>IF(Main[[#This Row],[Tech Start Date]]&lt;1/1/1990,"",IF(Main[[#This Row],[Class]]="C",WORKDAY(Main[[#This Row],[Tech Start Date]],19),IF(Main[[#This Row],[Class]]="B", WORKDAY(Main[[#This Row],[Tech Start Date]],12),IF(Main[[#This Row],[Class]]="A",WORKDAY(Main[[#This Row],[Tech Start Date]],4),""))))</f>
        <v>40970</v>
      </c>
      <c r="O1464" s="179">
        <f>IF(Main[[#This Row],[Tech Start Date]]&lt;1/1/1990,"",IF(Main[[#This Row],[Class]]="C",WORKDAY(Main[[#This Row],[Tech Start Date]],23),IF(Main[[#This Row],[Class]]="B", WORKDAY(Main[[#This Row],[Tech Start Date]],15),IF(Main[[#This Row],[Class]]="A",WORKDAY(Main[[#This Row],[Tech Start Date]],5),""))))</f>
        <v>40973</v>
      </c>
      <c r="P1464" s="179">
        <f>IF(Main[[#This Row],[Tech Start Date]]&lt;1/1/1990,"",IF(Main[[#This Row],[Class]]="C",WORKDAY(Main[[#This Row],[Tech Start Date]],28),IF(Main[[#This Row],[Class]]="B", WORKDAY(Main[[#This Row],[Tech Start Date]],19),IF(Main[[#This Row],[Class]]="A",WORKDAY(Main[[#This Row],[Tech Start Date]],9),""))))</f>
        <v>40977</v>
      </c>
      <c r="Q1464" s="176">
        <v>40960</v>
      </c>
      <c r="R1464" s="176">
        <v>40973</v>
      </c>
      <c r="S1464" s="153" t="s">
        <v>11</v>
      </c>
      <c r="T1464" s="180" t="s">
        <v>3963</v>
      </c>
      <c r="U1464" s="153" t="s">
        <v>29</v>
      </c>
      <c r="V1464" s="153" t="s">
        <v>1927</v>
      </c>
      <c r="W1464" s="153" t="s">
        <v>1922</v>
      </c>
      <c r="X1464" s="153" t="s">
        <v>2881</v>
      </c>
      <c r="Y1464" s="153" t="s">
        <v>3027</v>
      </c>
      <c r="Z1464" s="153" t="s">
        <v>530</v>
      </c>
      <c r="AA1464" s="153" t="s">
        <v>2881</v>
      </c>
    </row>
    <row r="1465" spans="1:27" ht="18.600000000000001" customHeight="1">
      <c r="A1465" s="142" t="str">
        <f>IF(priority(Main[[#This Row],[Comments]])&lt;&gt;0, priority(Main[[#This Row],[Comments]]),"")</f>
        <v/>
      </c>
      <c r="B1465" s="127" t="s">
        <v>2295</v>
      </c>
      <c r="C1465" s="128" t="s">
        <v>2296</v>
      </c>
      <c r="D1465" s="159" t="s">
        <v>3841</v>
      </c>
      <c r="E1465" s="161">
        <v>40814.583657407406</v>
      </c>
      <c r="F1465" s="161">
        <v>41150</v>
      </c>
      <c r="G1465" s="163">
        <f>IF(stdProdLT(Main[[#This Row],[Comments]])=0.1,"N/A",IF(stdProdLT(Main[[#This Row],[Comments]])=0,"",stdProdLT(Main[[#This Row],[Comments]])))</f>
        <v>112</v>
      </c>
      <c r="H1465" s="165" t="str">
        <f>IF(AND(Main[[#This Row],[In Stock Date]]&lt;&gt;"",Main[[#This Row],[Revised Due Date]]&lt;&gt;""),Main[[#This Row],[In Stock Date]]-Main[[#This Row],[Revised Due Date]],"")</f>
        <v/>
      </c>
      <c r="I1465" s="128" t="s">
        <v>562</v>
      </c>
      <c r="J1465" s="128" t="s">
        <v>28</v>
      </c>
      <c r="K1465" s="128" t="s">
        <v>1930</v>
      </c>
      <c r="L1465" s="161">
        <v>40828</v>
      </c>
      <c r="M1465" s="168">
        <f>IF(Main[[#This Row],[Tech Start Date]]&lt;1/1/1990,"",IF(Main[[#This Row],[Class]]="C",WORKDAY(Main[[#This Row],[Tech Start Date]],9),IF(Main[[#This Row],[Class]]="B", WORKDAY(Main[[#This Row],[Tech Start Date]],6),IF(Main[[#This Row],[Class]]="A",WORKDAY(Main[[#This Row],[Tech Start Date]],2),""))))</f>
        <v>40841</v>
      </c>
      <c r="N1465" s="168">
        <f>IF(Main[[#This Row],[Tech Start Date]]&lt;1/1/1990,"",IF(Main[[#This Row],[Class]]="C",WORKDAY(Main[[#This Row],[Tech Start Date]],19),IF(Main[[#This Row],[Class]]="B", WORKDAY(Main[[#This Row],[Tech Start Date]],12),IF(Main[[#This Row],[Class]]="A",WORKDAY(Main[[#This Row],[Tech Start Date]],4),""))))</f>
        <v>40855</v>
      </c>
      <c r="O1465" s="168">
        <f>IF(Main[[#This Row],[Tech Start Date]]&lt;1/1/1990,"",IF(Main[[#This Row],[Class]]="C",WORKDAY(Main[[#This Row],[Tech Start Date]],23),IF(Main[[#This Row],[Class]]="B", WORKDAY(Main[[#This Row],[Tech Start Date]],15),IF(Main[[#This Row],[Class]]="A",WORKDAY(Main[[#This Row],[Tech Start Date]],5),""))))</f>
        <v>40861</v>
      </c>
      <c r="P1465" s="168">
        <f>IF(Main[[#This Row],[Tech Start Date]]&lt;1/1/1990,"",IF(Main[[#This Row],[Class]]="C",WORKDAY(Main[[#This Row],[Tech Start Date]],28),IF(Main[[#This Row],[Class]]="B", WORKDAY(Main[[#This Row],[Tech Start Date]],19),IF(Main[[#This Row],[Class]]="A",WORKDAY(Main[[#This Row],[Tech Start Date]],9),""))))</f>
        <v>40868</v>
      </c>
      <c r="Q1465" s="161">
        <v>40876</v>
      </c>
      <c r="R1465" s="161"/>
      <c r="S1465" s="128" t="s">
        <v>11</v>
      </c>
      <c r="T1465" s="172" t="s">
        <v>3842</v>
      </c>
      <c r="U1465" s="128" t="s">
        <v>534</v>
      </c>
      <c r="V1465" s="128" t="s">
        <v>1917</v>
      </c>
      <c r="W1465" s="128" t="s">
        <v>1923</v>
      </c>
      <c r="X1465" s="128" t="s">
        <v>2929</v>
      </c>
      <c r="Y1465" s="128" t="s">
        <v>4</v>
      </c>
      <c r="Z1465" s="128" t="s">
        <v>129</v>
      </c>
      <c r="AA1465" s="146" t="s">
        <v>3489</v>
      </c>
    </row>
    <row r="1466" spans="1:27" ht="18.600000000000001" customHeight="1">
      <c r="A1466" s="174" t="str">
        <f>IF(priority(Main[[#This Row],[Comments]])&lt;&gt;0, priority(Main[[#This Row],[Comments]]),"")</f>
        <v/>
      </c>
      <c r="B1466" s="145" t="s">
        <v>3971</v>
      </c>
      <c r="C1466" s="153" t="s">
        <v>2755</v>
      </c>
      <c r="D1466" s="175" t="s">
        <v>3972</v>
      </c>
      <c r="E1466" s="176">
        <v>40967.578032407408</v>
      </c>
      <c r="F1466" s="176">
        <v>40977</v>
      </c>
      <c r="G1466" s="177" t="str">
        <f>IF(stdProdLT(Main[[#This Row],[Comments]])=0.1,"N/A",IF(stdProdLT(Main[[#This Row],[Comments]])=0,"",stdProdLT(Main[[#This Row],[Comments]])))</f>
        <v>N/A</v>
      </c>
      <c r="H1466" s="178">
        <f>IF(AND(Main[[#This Row],[In Stock Date]]&lt;&gt;"",Main[[#This Row],[Revised Due Date]]&lt;&gt;""),Main[[#This Row],[In Stock Date]]-Main[[#This Row],[Revised Due Date]],"")</f>
        <v>3</v>
      </c>
      <c r="I1466" s="153" t="s">
        <v>3951</v>
      </c>
      <c r="J1466" s="153" t="s">
        <v>4</v>
      </c>
      <c r="K1466" s="153" t="s">
        <v>1926</v>
      </c>
      <c r="L1466" s="176">
        <v>40967</v>
      </c>
      <c r="M1466" s="179">
        <f>IF(Main[[#This Row],[Tech Start Date]]&lt;1/1/1990,"",IF(Main[[#This Row],[Class]]="C",WORKDAY(Main[[#This Row],[Tech Start Date]],9),IF(Main[[#This Row],[Class]]="B", WORKDAY(Main[[#This Row],[Tech Start Date]],6),IF(Main[[#This Row],[Class]]="A",WORKDAY(Main[[#This Row],[Tech Start Date]],2),""))))</f>
        <v>40969</v>
      </c>
      <c r="N1466" s="179">
        <f>IF(Main[[#This Row],[Tech Start Date]]&lt;1/1/1990,"",IF(Main[[#This Row],[Class]]="C",WORKDAY(Main[[#This Row],[Tech Start Date]],19),IF(Main[[#This Row],[Class]]="B", WORKDAY(Main[[#This Row],[Tech Start Date]],12),IF(Main[[#This Row],[Class]]="A",WORKDAY(Main[[#This Row],[Tech Start Date]],4),""))))</f>
        <v>40973</v>
      </c>
      <c r="O1466" s="179">
        <f>IF(Main[[#This Row],[Tech Start Date]]&lt;1/1/1990,"",IF(Main[[#This Row],[Class]]="C",WORKDAY(Main[[#This Row],[Tech Start Date]],23),IF(Main[[#This Row],[Class]]="B", WORKDAY(Main[[#This Row],[Tech Start Date]],15),IF(Main[[#This Row],[Class]]="A",WORKDAY(Main[[#This Row],[Tech Start Date]],5),""))))</f>
        <v>40974</v>
      </c>
      <c r="P1466" s="179">
        <f>IF(Main[[#This Row],[Tech Start Date]]&lt;1/1/1990,"",IF(Main[[#This Row],[Class]]="C",WORKDAY(Main[[#This Row],[Tech Start Date]],28),IF(Main[[#This Row],[Class]]="B", WORKDAY(Main[[#This Row],[Tech Start Date]],19),IF(Main[[#This Row],[Class]]="A",WORKDAY(Main[[#This Row],[Tech Start Date]],9),""))))</f>
        <v>40980</v>
      </c>
      <c r="Q1466" s="176"/>
      <c r="R1466" s="176">
        <v>40974</v>
      </c>
      <c r="S1466" s="153" t="s">
        <v>11</v>
      </c>
      <c r="T1466" s="180" t="s">
        <v>3244</v>
      </c>
      <c r="U1466" s="153" t="s">
        <v>29</v>
      </c>
      <c r="V1466" s="153" t="s">
        <v>1927</v>
      </c>
      <c r="W1466" s="153" t="s">
        <v>1925</v>
      </c>
      <c r="X1466" s="153" t="s">
        <v>50</v>
      </c>
      <c r="Y1466" s="153" t="s">
        <v>3626</v>
      </c>
      <c r="Z1466" s="153" t="s">
        <v>530</v>
      </c>
      <c r="AA1466" s="153" t="s">
        <v>3461</v>
      </c>
    </row>
    <row r="1467" spans="1:27" ht="18.600000000000001" customHeight="1">
      <c r="A1467" s="174" t="str">
        <f>IF(priority(Main[[#This Row],[Comments]])&lt;&gt;0, priority(Main[[#This Row],[Comments]]),"")</f>
        <v/>
      </c>
      <c r="B1467" s="145" t="s">
        <v>3228</v>
      </c>
      <c r="C1467" s="153" t="s">
        <v>137</v>
      </c>
      <c r="D1467" s="175" t="s">
        <v>3229</v>
      </c>
      <c r="E1467" s="176">
        <v>40967.513715277775</v>
      </c>
      <c r="F1467" s="176">
        <v>41008</v>
      </c>
      <c r="G1467" s="177">
        <f>IF(stdProdLT(Main[[#This Row],[Comments]])=0.1,"N/A",IF(stdProdLT(Main[[#This Row],[Comments]])=0,"",stdProdLT(Main[[#This Row],[Comments]])))</f>
        <v>84</v>
      </c>
      <c r="H1467" s="178">
        <f>IF(AND(Main[[#This Row],[In Stock Date]]&lt;&gt;"",Main[[#This Row],[Revised Due Date]]&lt;&gt;""),Main[[#This Row],[In Stock Date]]-Main[[#This Row],[Revised Due Date]],"")</f>
        <v>34</v>
      </c>
      <c r="I1467" s="153" t="s">
        <v>3951</v>
      </c>
      <c r="J1467" s="153" t="s">
        <v>28</v>
      </c>
      <c r="K1467" s="153" t="s">
        <v>1926</v>
      </c>
      <c r="L1467" s="176">
        <v>40967</v>
      </c>
      <c r="M1467" s="179">
        <f>IF(Main[[#This Row],[Tech Start Date]]&lt;1/1/1990,"",IF(Main[[#This Row],[Class]]="C",WORKDAY(Main[[#This Row],[Tech Start Date]],9),IF(Main[[#This Row],[Class]]="B", WORKDAY(Main[[#This Row],[Tech Start Date]],6),IF(Main[[#This Row],[Class]]="A",WORKDAY(Main[[#This Row],[Tech Start Date]],2),""))))</f>
        <v>40969</v>
      </c>
      <c r="N1467" s="179">
        <f>IF(Main[[#This Row],[Tech Start Date]]&lt;1/1/1990,"",IF(Main[[#This Row],[Class]]="C",WORKDAY(Main[[#This Row],[Tech Start Date]],19),IF(Main[[#This Row],[Class]]="B", WORKDAY(Main[[#This Row],[Tech Start Date]],12),IF(Main[[#This Row],[Class]]="A",WORKDAY(Main[[#This Row],[Tech Start Date]],4),""))))</f>
        <v>40973</v>
      </c>
      <c r="O1467" s="179">
        <f>IF(Main[[#This Row],[Tech Start Date]]&lt;1/1/1990,"",IF(Main[[#This Row],[Class]]="C",WORKDAY(Main[[#This Row],[Tech Start Date]],23),IF(Main[[#This Row],[Class]]="B", WORKDAY(Main[[#This Row],[Tech Start Date]],15),IF(Main[[#This Row],[Class]]="A",WORKDAY(Main[[#This Row],[Tech Start Date]],5),""))))</f>
        <v>40974</v>
      </c>
      <c r="P1467" s="179">
        <f>IF(Main[[#This Row],[Tech Start Date]]&lt;1/1/1990,"",IF(Main[[#This Row],[Class]]="C",WORKDAY(Main[[#This Row],[Tech Start Date]],28),IF(Main[[#This Row],[Class]]="B", WORKDAY(Main[[#This Row],[Tech Start Date]],19),IF(Main[[#This Row],[Class]]="A",WORKDAY(Main[[#This Row],[Tech Start Date]],9),""))))</f>
        <v>40980</v>
      </c>
      <c r="Q1467" s="176">
        <v>40945</v>
      </c>
      <c r="R1467" s="176">
        <v>40974</v>
      </c>
      <c r="S1467" s="153" t="s">
        <v>11</v>
      </c>
      <c r="T1467" s="180" t="s">
        <v>3964</v>
      </c>
      <c r="U1467" s="153" t="s">
        <v>29</v>
      </c>
      <c r="V1467" s="153" t="s">
        <v>1927</v>
      </c>
      <c r="W1467" s="153" t="s">
        <v>1925</v>
      </c>
      <c r="X1467" s="153" t="s">
        <v>2912</v>
      </c>
      <c r="Y1467" s="153" t="s">
        <v>3102</v>
      </c>
      <c r="Z1467" s="153" t="s">
        <v>530</v>
      </c>
      <c r="AA1467" s="153" t="s">
        <v>2912</v>
      </c>
    </row>
    <row r="1468" spans="1:27" ht="18.600000000000001" customHeight="1">
      <c r="A1468" s="174" t="str">
        <f>IF(priority(Main[[#This Row],[Comments]])&lt;&gt;0, priority(Main[[#This Row],[Comments]]),"")</f>
        <v/>
      </c>
      <c r="B1468" s="145" t="s">
        <v>3514</v>
      </c>
      <c r="C1468" s="153" t="s">
        <v>79</v>
      </c>
      <c r="D1468" s="175" t="s">
        <v>3515</v>
      </c>
      <c r="E1468" s="176">
        <v>40967.732847222222</v>
      </c>
      <c r="F1468" s="176">
        <v>40967</v>
      </c>
      <c r="G1468" s="177" t="str">
        <f>IF(stdProdLT(Main[[#This Row],[Comments]])=0.1,"N/A",IF(stdProdLT(Main[[#This Row],[Comments]])=0,"",stdProdLT(Main[[#This Row],[Comments]])))</f>
        <v>N/A</v>
      </c>
      <c r="H1468" s="178">
        <f>IF(AND(Main[[#This Row],[In Stock Date]]&lt;&gt;"",Main[[#This Row],[Revised Due Date]]&lt;&gt;""),Main[[#This Row],[In Stock Date]]-Main[[#This Row],[Revised Due Date]],"")</f>
        <v>-7</v>
      </c>
      <c r="I1468" s="153" t="s">
        <v>3951</v>
      </c>
      <c r="J1468" s="153" t="s">
        <v>28</v>
      </c>
      <c r="K1468" s="153" t="s">
        <v>1926</v>
      </c>
      <c r="L1468" s="176">
        <v>40967</v>
      </c>
      <c r="M1468" s="179">
        <f>IF(Main[[#This Row],[Tech Start Date]]&lt;1/1/1990,"",IF(Main[[#This Row],[Class]]="C",WORKDAY(Main[[#This Row],[Tech Start Date]],9),IF(Main[[#This Row],[Class]]="B", WORKDAY(Main[[#This Row],[Tech Start Date]],6),IF(Main[[#This Row],[Class]]="A",WORKDAY(Main[[#This Row],[Tech Start Date]],2),""))))</f>
        <v>40969</v>
      </c>
      <c r="N1468" s="179">
        <f>IF(Main[[#This Row],[Tech Start Date]]&lt;1/1/1990,"",IF(Main[[#This Row],[Class]]="C",WORKDAY(Main[[#This Row],[Tech Start Date]],19),IF(Main[[#This Row],[Class]]="B", WORKDAY(Main[[#This Row],[Tech Start Date]],12),IF(Main[[#This Row],[Class]]="A",WORKDAY(Main[[#This Row],[Tech Start Date]],4),""))))</f>
        <v>40973</v>
      </c>
      <c r="O1468" s="179">
        <f>IF(Main[[#This Row],[Tech Start Date]]&lt;1/1/1990,"",IF(Main[[#This Row],[Class]]="C",WORKDAY(Main[[#This Row],[Tech Start Date]],23),IF(Main[[#This Row],[Class]]="B", WORKDAY(Main[[#This Row],[Tech Start Date]],15),IF(Main[[#This Row],[Class]]="A",WORKDAY(Main[[#This Row],[Tech Start Date]],5),""))))</f>
        <v>40974</v>
      </c>
      <c r="P1468" s="179">
        <f>IF(Main[[#This Row],[Tech Start Date]]&lt;1/1/1990,"",IF(Main[[#This Row],[Class]]="C",WORKDAY(Main[[#This Row],[Tech Start Date]],28),IF(Main[[#This Row],[Class]]="B", WORKDAY(Main[[#This Row],[Tech Start Date]],19),IF(Main[[#This Row],[Class]]="A",WORKDAY(Main[[#This Row],[Tech Start Date]],9),""))))</f>
        <v>40980</v>
      </c>
      <c r="Q1468" s="176">
        <v>40949</v>
      </c>
      <c r="R1468" s="176">
        <v>40974</v>
      </c>
      <c r="S1468" s="153" t="s">
        <v>11</v>
      </c>
      <c r="T1468" s="180" t="s">
        <v>3965</v>
      </c>
      <c r="U1468" s="153" t="s">
        <v>29</v>
      </c>
      <c r="V1468" s="153" t="s">
        <v>1927</v>
      </c>
      <c r="W1468" s="153" t="s">
        <v>1922</v>
      </c>
      <c r="X1468" s="153" t="s">
        <v>3516</v>
      </c>
      <c r="Y1468" s="153" t="s">
        <v>3517</v>
      </c>
      <c r="Z1468" s="153" t="s">
        <v>530</v>
      </c>
      <c r="AA1468" s="153" t="s">
        <v>3516</v>
      </c>
    </row>
    <row r="1469" spans="1:27" ht="18.600000000000001" customHeight="1">
      <c r="A1469" s="174" t="str">
        <f>IF(priority(Main[[#This Row],[Comments]])&lt;&gt;0, priority(Main[[#This Row],[Comments]]),"")</f>
        <v/>
      </c>
      <c r="B1469" s="145" t="s">
        <v>3976</v>
      </c>
      <c r="C1469" s="153" t="s">
        <v>53</v>
      </c>
      <c r="D1469" s="175" t="s">
        <v>3977</v>
      </c>
      <c r="E1469" s="176">
        <v>40967.607476851852</v>
      </c>
      <c r="F1469" s="176"/>
      <c r="G1469" s="177" t="str">
        <f>IF(stdProdLT(Main[[#This Row],[Comments]])=0.1,"N/A",IF(stdProdLT(Main[[#This Row],[Comments]])=0,"",stdProdLT(Main[[#This Row],[Comments]])))</f>
        <v>N/A</v>
      </c>
      <c r="H1469" s="178" t="str">
        <f>IF(AND(Main[[#This Row],[In Stock Date]]&lt;&gt;"",Main[[#This Row],[Revised Due Date]]&lt;&gt;""),Main[[#This Row],[In Stock Date]]-Main[[#This Row],[Revised Due Date]],"")</f>
        <v/>
      </c>
      <c r="I1469" s="153" t="s">
        <v>943</v>
      </c>
      <c r="J1469" s="153" t="s">
        <v>28</v>
      </c>
      <c r="K1469" s="153" t="s">
        <v>1926</v>
      </c>
      <c r="L1469" s="176">
        <v>40967</v>
      </c>
      <c r="M1469" s="179">
        <f>IF(Main[[#This Row],[Tech Start Date]]&lt;1/1/1990,"",IF(Main[[#This Row],[Class]]="C",WORKDAY(Main[[#This Row],[Tech Start Date]],9),IF(Main[[#This Row],[Class]]="B", WORKDAY(Main[[#This Row],[Tech Start Date]],6),IF(Main[[#This Row],[Class]]="A",WORKDAY(Main[[#This Row],[Tech Start Date]],2),""))))</f>
        <v>40969</v>
      </c>
      <c r="N1469" s="179">
        <f>IF(Main[[#This Row],[Tech Start Date]]&lt;1/1/1990,"",IF(Main[[#This Row],[Class]]="C",WORKDAY(Main[[#This Row],[Tech Start Date]],19),IF(Main[[#This Row],[Class]]="B", WORKDAY(Main[[#This Row],[Tech Start Date]],12),IF(Main[[#This Row],[Class]]="A",WORKDAY(Main[[#This Row],[Tech Start Date]],4),""))))</f>
        <v>40973</v>
      </c>
      <c r="O1469" s="179">
        <f>IF(Main[[#This Row],[Tech Start Date]]&lt;1/1/1990,"",IF(Main[[#This Row],[Class]]="C",WORKDAY(Main[[#This Row],[Tech Start Date]],23),IF(Main[[#This Row],[Class]]="B", WORKDAY(Main[[#This Row],[Tech Start Date]],15),IF(Main[[#This Row],[Class]]="A",WORKDAY(Main[[#This Row],[Tech Start Date]],5),""))))</f>
        <v>40974</v>
      </c>
      <c r="P1469" s="179">
        <f>IF(Main[[#This Row],[Tech Start Date]]&lt;1/1/1990,"",IF(Main[[#This Row],[Class]]="C",WORKDAY(Main[[#This Row],[Tech Start Date]],28),IF(Main[[#This Row],[Class]]="B", WORKDAY(Main[[#This Row],[Tech Start Date]],19),IF(Main[[#This Row],[Class]]="A",WORKDAY(Main[[#This Row],[Tech Start Date]],9),""))))</f>
        <v>40980</v>
      </c>
      <c r="Q1469" s="176">
        <v>40974</v>
      </c>
      <c r="R1469" s="176">
        <v>40982</v>
      </c>
      <c r="S1469" s="153" t="s">
        <v>11</v>
      </c>
      <c r="T1469" s="180" t="s">
        <v>3244</v>
      </c>
      <c r="U1469" s="153" t="s">
        <v>29</v>
      </c>
      <c r="V1469" s="153" t="s">
        <v>1918</v>
      </c>
      <c r="W1469" s="153" t="s">
        <v>1919</v>
      </c>
      <c r="X1469" s="153" t="s">
        <v>2822</v>
      </c>
      <c r="Y1469" s="153" t="s">
        <v>4</v>
      </c>
      <c r="Z1469" s="153" t="s">
        <v>2056</v>
      </c>
      <c r="AA1469" s="153" t="s">
        <v>2822</v>
      </c>
    </row>
    <row r="1470" spans="1:27" ht="18.600000000000001" customHeight="1">
      <c r="A1470" s="142" t="str">
        <f>IF(priority(Main[[#This Row],[Comments]])&lt;&gt;0, priority(Main[[#This Row],[Comments]]),"")</f>
        <v/>
      </c>
      <c r="B1470" s="127" t="s">
        <v>2633</v>
      </c>
      <c r="C1470" s="128" t="s">
        <v>2573</v>
      </c>
      <c r="D1470" s="159" t="s">
        <v>2809</v>
      </c>
      <c r="E1470" s="161">
        <v>40847.264097222222</v>
      </c>
      <c r="F1470" s="161">
        <v>40983</v>
      </c>
      <c r="G1470" s="163" t="str">
        <f>IF(stdProdLT(Main[[#This Row],[Comments]])=0.1,"N/A",IF(stdProdLT(Main[[#This Row],[Comments]])=0,"",stdProdLT(Main[[#This Row],[Comments]])))</f>
        <v>N/A</v>
      </c>
      <c r="H1470" s="165" t="str">
        <f>IF(AND(Main[[#This Row],[In Stock Date]]&lt;&gt;"",Main[[#This Row],[Revised Due Date]]&lt;&gt;""),Main[[#This Row],[In Stock Date]]-Main[[#This Row],[Revised Due Date]],"")</f>
        <v/>
      </c>
      <c r="I1470" s="128" t="s">
        <v>914</v>
      </c>
      <c r="J1470" s="128" t="s">
        <v>28</v>
      </c>
      <c r="K1470" s="128" t="s">
        <v>1930</v>
      </c>
      <c r="L1470" s="161">
        <v>40848</v>
      </c>
      <c r="M1470" s="168">
        <f>IF(Main[[#This Row],[Tech Start Date]]&lt;1/1/1990,"",IF(Main[[#This Row],[Class]]="C",WORKDAY(Main[[#This Row],[Tech Start Date]],9),IF(Main[[#This Row],[Class]]="B", WORKDAY(Main[[#This Row],[Tech Start Date]],6),IF(Main[[#This Row],[Class]]="A",WORKDAY(Main[[#This Row],[Tech Start Date]],2),""))))</f>
        <v>40861</v>
      </c>
      <c r="N1470" s="168">
        <f>IF(Main[[#This Row],[Tech Start Date]]&lt;1/1/1990,"",IF(Main[[#This Row],[Class]]="C",WORKDAY(Main[[#This Row],[Tech Start Date]],19),IF(Main[[#This Row],[Class]]="B", WORKDAY(Main[[#This Row],[Tech Start Date]],12),IF(Main[[#This Row],[Class]]="A",WORKDAY(Main[[#This Row],[Tech Start Date]],4),""))))</f>
        <v>40875</v>
      </c>
      <c r="O1470" s="168">
        <f>IF(Main[[#This Row],[Tech Start Date]]&lt;1/1/1990,"",IF(Main[[#This Row],[Class]]="C",WORKDAY(Main[[#This Row],[Tech Start Date]],23),IF(Main[[#This Row],[Class]]="B", WORKDAY(Main[[#This Row],[Tech Start Date]],15),IF(Main[[#This Row],[Class]]="A",WORKDAY(Main[[#This Row],[Tech Start Date]],5),""))))</f>
        <v>40879</v>
      </c>
      <c r="P1470" s="168">
        <f>IF(Main[[#This Row],[Tech Start Date]]&lt;1/1/1990,"",IF(Main[[#This Row],[Class]]="C",WORKDAY(Main[[#This Row],[Tech Start Date]],28),IF(Main[[#This Row],[Class]]="B", WORKDAY(Main[[#This Row],[Tech Start Date]],19),IF(Main[[#This Row],[Class]]="A",WORKDAY(Main[[#This Row],[Tech Start Date]],9),""))))</f>
        <v>40886</v>
      </c>
      <c r="Q1470" s="161">
        <v>40885</v>
      </c>
      <c r="R1470" s="161"/>
      <c r="S1470" s="128" t="s">
        <v>11</v>
      </c>
      <c r="T1470" s="172" t="s">
        <v>3235</v>
      </c>
      <c r="U1470" s="128" t="s">
        <v>534</v>
      </c>
      <c r="V1470" s="128" t="s">
        <v>1917</v>
      </c>
      <c r="W1470" s="128" t="s">
        <v>1925</v>
      </c>
      <c r="X1470" s="128" t="s">
        <v>2910</v>
      </c>
      <c r="Y1470" s="128" t="s">
        <v>3163</v>
      </c>
      <c r="Z1470" s="128" t="s">
        <v>129</v>
      </c>
      <c r="AA1470" s="146" t="s">
        <v>2910</v>
      </c>
    </row>
    <row r="1471" spans="1:27" ht="18.600000000000001" customHeight="1">
      <c r="A1471" s="174" t="str">
        <f>IF(priority(Main[[#This Row],[Comments]])&lt;&gt;0, priority(Main[[#This Row],[Comments]]),"")</f>
        <v/>
      </c>
      <c r="B1471" s="145" t="s">
        <v>3978</v>
      </c>
      <c r="C1471" s="153" t="s">
        <v>3979</v>
      </c>
      <c r="D1471" s="175" t="s">
        <v>3980</v>
      </c>
      <c r="E1471" s="176">
        <v>40961.04891203704</v>
      </c>
      <c r="F1471" s="176">
        <v>41105</v>
      </c>
      <c r="G1471" s="177" t="str">
        <f>IF(stdProdLT(Main[[#This Row],[Comments]])=0.1,"N/A",IF(stdProdLT(Main[[#This Row],[Comments]])=0,"",stdProdLT(Main[[#This Row],[Comments]])))</f>
        <v/>
      </c>
      <c r="H1471" s="178">
        <f>IF(AND(Main[[#This Row],[In Stock Date]]&lt;&gt;"",Main[[#This Row],[Revised Due Date]]&lt;&gt;""),Main[[#This Row],[In Stock Date]]-Main[[#This Row],[Revised Due Date]],"")</f>
        <v>117</v>
      </c>
      <c r="I1471" s="153" t="s">
        <v>44</v>
      </c>
      <c r="J1471" s="153" t="s">
        <v>28</v>
      </c>
      <c r="K1471" s="153" t="s">
        <v>1926</v>
      </c>
      <c r="L1471" s="176">
        <v>40967</v>
      </c>
      <c r="M1471" s="179">
        <f>IF(Main[[#This Row],[Tech Start Date]]&lt;1/1/1990,"",IF(Main[[#This Row],[Class]]="C",WORKDAY(Main[[#This Row],[Tech Start Date]],9),IF(Main[[#This Row],[Class]]="B", WORKDAY(Main[[#This Row],[Tech Start Date]],6),IF(Main[[#This Row],[Class]]="A",WORKDAY(Main[[#This Row],[Tech Start Date]],2),""))))</f>
        <v>40969</v>
      </c>
      <c r="N1471" s="179">
        <f>IF(Main[[#This Row],[Tech Start Date]]&lt;1/1/1990,"",IF(Main[[#This Row],[Class]]="C",WORKDAY(Main[[#This Row],[Tech Start Date]],19),IF(Main[[#This Row],[Class]]="B", WORKDAY(Main[[#This Row],[Tech Start Date]],12),IF(Main[[#This Row],[Class]]="A",WORKDAY(Main[[#This Row],[Tech Start Date]],4),""))))</f>
        <v>40973</v>
      </c>
      <c r="O1471" s="179">
        <f>IF(Main[[#This Row],[Tech Start Date]]&lt;1/1/1990,"",IF(Main[[#This Row],[Class]]="C",WORKDAY(Main[[#This Row],[Tech Start Date]],23),IF(Main[[#This Row],[Class]]="B", WORKDAY(Main[[#This Row],[Tech Start Date]],15),IF(Main[[#This Row],[Class]]="A",WORKDAY(Main[[#This Row],[Tech Start Date]],5),""))))</f>
        <v>40974</v>
      </c>
      <c r="P1471" s="179">
        <f>IF(Main[[#This Row],[Tech Start Date]]&lt;1/1/1990,"",IF(Main[[#This Row],[Class]]="C",WORKDAY(Main[[#This Row],[Tech Start Date]],28),IF(Main[[#This Row],[Class]]="B", WORKDAY(Main[[#This Row],[Tech Start Date]],19),IF(Main[[#This Row],[Class]]="A",WORKDAY(Main[[#This Row],[Tech Start Date]],9),""))))</f>
        <v>40980</v>
      </c>
      <c r="Q1471" s="176">
        <v>40969</v>
      </c>
      <c r="R1471" s="176">
        <v>40988</v>
      </c>
      <c r="S1471" s="153" t="s">
        <v>11</v>
      </c>
      <c r="T1471" s="180" t="s">
        <v>3981</v>
      </c>
      <c r="U1471" s="153" t="s">
        <v>29</v>
      </c>
      <c r="V1471" s="153" t="s">
        <v>1927</v>
      </c>
      <c r="W1471" s="153" t="s">
        <v>1923</v>
      </c>
      <c r="X1471" s="153" t="s">
        <v>2851</v>
      </c>
      <c r="Y1471" s="153" t="s">
        <v>3958</v>
      </c>
      <c r="Z1471" s="153" t="s">
        <v>530</v>
      </c>
      <c r="AA1471" s="153" t="s">
        <v>2851</v>
      </c>
    </row>
    <row r="1472" spans="1:27" ht="18.600000000000001" customHeight="1">
      <c r="A1472" s="174" t="str">
        <f>IF(priority(Main[[#This Row],[Comments]])&lt;&gt;0, priority(Main[[#This Row],[Comments]]),"")</f>
        <v/>
      </c>
      <c r="B1472" s="145" t="s">
        <v>3982</v>
      </c>
      <c r="C1472" s="153" t="s">
        <v>3979</v>
      </c>
      <c r="D1472" s="175" t="s">
        <v>3983</v>
      </c>
      <c r="E1472" s="176">
        <v>40961.047662037039</v>
      </c>
      <c r="F1472" s="176">
        <v>41091</v>
      </c>
      <c r="G1472" s="177" t="str">
        <f>IF(stdProdLT(Main[[#This Row],[Comments]])=0.1,"N/A",IF(stdProdLT(Main[[#This Row],[Comments]])=0,"",stdProdLT(Main[[#This Row],[Comments]])))</f>
        <v/>
      </c>
      <c r="H1472" s="178">
        <f>IF(AND(Main[[#This Row],[In Stock Date]]&lt;&gt;"",Main[[#This Row],[Revised Due Date]]&lt;&gt;""),Main[[#This Row],[In Stock Date]]-Main[[#This Row],[Revised Due Date]],"")</f>
        <v>103</v>
      </c>
      <c r="I1472" s="153" t="s">
        <v>44</v>
      </c>
      <c r="J1472" s="153" t="s">
        <v>28</v>
      </c>
      <c r="K1472" s="153" t="s">
        <v>1926</v>
      </c>
      <c r="L1472" s="176">
        <v>40967</v>
      </c>
      <c r="M1472" s="179">
        <f>IF(Main[[#This Row],[Tech Start Date]]&lt;1/1/1990,"",IF(Main[[#This Row],[Class]]="C",WORKDAY(Main[[#This Row],[Tech Start Date]],9),IF(Main[[#This Row],[Class]]="B", WORKDAY(Main[[#This Row],[Tech Start Date]],6),IF(Main[[#This Row],[Class]]="A",WORKDAY(Main[[#This Row],[Tech Start Date]],2),""))))</f>
        <v>40969</v>
      </c>
      <c r="N1472" s="179">
        <f>IF(Main[[#This Row],[Tech Start Date]]&lt;1/1/1990,"",IF(Main[[#This Row],[Class]]="C",WORKDAY(Main[[#This Row],[Tech Start Date]],19),IF(Main[[#This Row],[Class]]="B", WORKDAY(Main[[#This Row],[Tech Start Date]],12),IF(Main[[#This Row],[Class]]="A",WORKDAY(Main[[#This Row],[Tech Start Date]],4),""))))</f>
        <v>40973</v>
      </c>
      <c r="O1472" s="179">
        <f>IF(Main[[#This Row],[Tech Start Date]]&lt;1/1/1990,"",IF(Main[[#This Row],[Class]]="C",WORKDAY(Main[[#This Row],[Tech Start Date]],23),IF(Main[[#This Row],[Class]]="B", WORKDAY(Main[[#This Row],[Tech Start Date]],15),IF(Main[[#This Row],[Class]]="A",WORKDAY(Main[[#This Row],[Tech Start Date]],5),""))))</f>
        <v>40974</v>
      </c>
      <c r="P1472" s="179">
        <f>IF(Main[[#This Row],[Tech Start Date]]&lt;1/1/1990,"",IF(Main[[#This Row],[Class]]="C",WORKDAY(Main[[#This Row],[Tech Start Date]],28),IF(Main[[#This Row],[Class]]="B", WORKDAY(Main[[#This Row],[Tech Start Date]],19),IF(Main[[#This Row],[Class]]="A",WORKDAY(Main[[#This Row],[Tech Start Date]],9),""))))</f>
        <v>40980</v>
      </c>
      <c r="Q1472" s="176">
        <v>40969</v>
      </c>
      <c r="R1472" s="176">
        <v>40988</v>
      </c>
      <c r="S1472" s="153" t="s">
        <v>11</v>
      </c>
      <c r="T1472" s="180" t="s">
        <v>3984</v>
      </c>
      <c r="U1472" s="153" t="s">
        <v>29</v>
      </c>
      <c r="V1472" s="153" t="s">
        <v>1927</v>
      </c>
      <c r="W1472" s="153" t="s">
        <v>1923</v>
      </c>
      <c r="X1472" s="153" t="s">
        <v>2851</v>
      </c>
      <c r="Y1472" s="153" t="s">
        <v>3958</v>
      </c>
      <c r="Z1472" s="153" t="s">
        <v>530</v>
      </c>
      <c r="AA1472" s="153" t="s">
        <v>2851</v>
      </c>
    </row>
    <row r="1473" spans="1:27" ht="18.600000000000001" customHeight="1">
      <c r="A1473" s="174" t="str">
        <f>IF(priority(Main[[#This Row],[Comments]])&lt;&gt;0, priority(Main[[#This Row],[Comments]]),"")</f>
        <v/>
      </c>
      <c r="B1473" s="145" t="s">
        <v>3985</v>
      </c>
      <c r="C1473" s="153" t="s">
        <v>72</v>
      </c>
      <c r="D1473" s="175" t="s">
        <v>3986</v>
      </c>
      <c r="E1473" s="176">
        <v>40961.058425925927</v>
      </c>
      <c r="F1473" s="176">
        <v>40996</v>
      </c>
      <c r="G1473" s="177" t="str">
        <f>IF(stdProdLT(Main[[#This Row],[Comments]])=0.1,"N/A",IF(stdProdLT(Main[[#This Row],[Comments]])=0,"",stdProdLT(Main[[#This Row],[Comments]])))</f>
        <v>N/A</v>
      </c>
      <c r="H1473" s="178">
        <f>IF(AND(Main[[#This Row],[In Stock Date]]&lt;&gt;"",Main[[#This Row],[Revised Due Date]]&lt;&gt;""),Main[[#This Row],[In Stock Date]]-Main[[#This Row],[Revised Due Date]],"")</f>
        <v>14</v>
      </c>
      <c r="I1473" s="153" t="s">
        <v>2047</v>
      </c>
      <c r="J1473" s="153" t="s">
        <v>28</v>
      </c>
      <c r="K1473" s="153" t="s">
        <v>1926</v>
      </c>
      <c r="L1473" s="176">
        <v>40967</v>
      </c>
      <c r="M1473" s="179">
        <f>IF(Main[[#This Row],[Tech Start Date]]&lt;1/1/1990,"",IF(Main[[#This Row],[Class]]="C",WORKDAY(Main[[#This Row],[Tech Start Date]],9),IF(Main[[#This Row],[Class]]="B", WORKDAY(Main[[#This Row],[Tech Start Date]],6),IF(Main[[#This Row],[Class]]="A",WORKDAY(Main[[#This Row],[Tech Start Date]],2),""))))</f>
        <v>40969</v>
      </c>
      <c r="N1473" s="179">
        <f>IF(Main[[#This Row],[Tech Start Date]]&lt;1/1/1990,"",IF(Main[[#This Row],[Class]]="C",WORKDAY(Main[[#This Row],[Tech Start Date]],19),IF(Main[[#This Row],[Class]]="B", WORKDAY(Main[[#This Row],[Tech Start Date]],12),IF(Main[[#This Row],[Class]]="A",WORKDAY(Main[[#This Row],[Tech Start Date]],4),""))))</f>
        <v>40973</v>
      </c>
      <c r="O1473" s="179">
        <f>IF(Main[[#This Row],[Tech Start Date]]&lt;1/1/1990,"",IF(Main[[#This Row],[Class]]="C",WORKDAY(Main[[#This Row],[Tech Start Date]],23),IF(Main[[#This Row],[Class]]="B", WORKDAY(Main[[#This Row],[Tech Start Date]],15),IF(Main[[#This Row],[Class]]="A",WORKDAY(Main[[#This Row],[Tech Start Date]],5),""))))</f>
        <v>40974</v>
      </c>
      <c r="P1473" s="179">
        <f>IF(Main[[#This Row],[Tech Start Date]]&lt;1/1/1990,"",IF(Main[[#This Row],[Class]]="C",WORKDAY(Main[[#This Row],[Tech Start Date]],28),IF(Main[[#This Row],[Class]]="B", WORKDAY(Main[[#This Row],[Tech Start Date]],19),IF(Main[[#This Row],[Class]]="A",WORKDAY(Main[[#This Row],[Tech Start Date]],9),""))))</f>
        <v>40980</v>
      </c>
      <c r="Q1473" s="176">
        <v>40814</v>
      </c>
      <c r="R1473" s="176">
        <v>40982</v>
      </c>
      <c r="S1473" s="153" t="s">
        <v>11</v>
      </c>
      <c r="T1473" s="180" t="s">
        <v>3987</v>
      </c>
      <c r="U1473" s="153" t="s">
        <v>29</v>
      </c>
      <c r="V1473" s="153" t="s">
        <v>1920</v>
      </c>
      <c r="W1473" s="153" t="s">
        <v>1925</v>
      </c>
      <c r="X1473" s="153" t="s">
        <v>2870</v>
      </c>
      <c r="Y1473" s="153" t="s">
        <v>4</v>
      </c>
      <c r="Z1473" s="153" t="s">
        <v>530</v>
      </c>
      <c r="AA1473" s="153" t="s">
        <v>2870</v>
      </c>
    </row>
    <row r="1474" spans="1:27" ht="18.600000000000001" customHeight="1">
      <c r="A1474" s="174" t="str">
        <f>IF(priority(Main[[#This Row],[Comments]])&lt;&gt;0, priority(Main[[#This Row],[Comments]]),"")</f>
        <v/>
      </c>
      <c r="B1474" s="145" t="s">
        <v>3988</v>
      </c>
      <c r="C1474" s="153" t="s">
        <v>3989</v>
      </c>
      <c r="D1474" s="175" t="s">
        <v>3990</v>
      </c>
      <c r="E1474" s="176">
        <v>40961.049814814818</v>
      </c>
      <c r="F1474" s="176">
        <v>41153</v>
      </c>
      <c r="G1474" s="177">
        <f>IF(stdProdLT(Main[[#This Row],[Comments]])=0.1,"N/A",IF(stdProdLT(Main[[#This Row],[Comments]])=0,"",stdProdLT(Main[[#This Row],[Comments]])))</f>
        <v>126</v>
      </c>
      <c r="H1474" s="178">
        <f>IF(AND(Main[[#This Row],[In Stock Date]]&lt;&gt;"",Main[[#This Row],[Revised Due Date]]&lt;&gt;""),Main[[#This Row],[In Stock Date]]-Main[[#This Row],[Revised Due Date]],"")</f>
        <v>143</v>
      </c>
      <c r="I1474" s="153" t="s">
        <v>767</v>
      </c>
      <c r="J1474" s="153" t="s">
        <v>28</v>
      </c>
      <c r="K1474" s="153" t="s">
        <v>1930</v>
      </c>
      <c r="L1474" s="176">
        <v>40967</v>
      </c>
      <c r="M1474" s="179">
        <f>IF(Main[[#This Row],[Tech Start Date]]&lt;1/1/1990,"",IF(Main[[#This Row],[Class]]="C",WORKDAY(Main[[#This Row],[Tech Start Date]],9),IF(Main[[#This Row],[Class]]="B", WORKDAY(Main[[#This Row],[Tech Start Date]],6),IF(Main[[#This Row],[Class]]="A",WORKDAY(Main[[#This Row],[Tech Start Date]],2),""))))</f>
        <v>40980</v>
      </c>
      <c r="N1474" s="179">
        <f>IF(Main[[#This Row],[Tech Start Date]]&lt;1/1/1990,"",IF(Main[[#This Row],[Class]]="C",WORKDAY(Main[[#This Row],[Tech Start Date]],19),IF(Main[[#This Row],[Class]]="B", WORKDAY(Main[[#This Row],[Tech Start Date]],12),IF(Main[[#This Row],[Class]]="A",WORKDAY(Main[[#This Row],[Tech Start Date]],4),""))))</f>
        <v>40994</v>
      </c>
      <c r="O1474" s="179">
        <f>IF(Main[[#This Row],[Tech Start Date]]&lt;1/1/1990,"",IF(Main[[#This Row],[Class]]="C",WORKDAY(Main[[#This Row],[Tech Start Date]],23),IF(Main[[#This Row],[Class]]="B", WORKDAY(Main[[#This Row],[Tech Start Date]],15),IF(Main[[#This Row],[Class]]="A",WORKDAY(Main[[#This Row],[Tech Start Date]],5),""))))</f>
        <v>40998</v>
      </c>
      <c r="P1474" s="179">
        <f>IF(Main[[#This Row],[Tech Start Date]]&lt;1/1/1990,"",IF(Main[[#This Row],[Class]]="C",WORKDAY(Main[[#This Row],[Tech Start Date]],28),IF(Main[[#This Row],[Class]]="B", WORKDAY(Main[[#This Row],[Tech Start Date]],19),IF(Main[[#This Row],[Class]]="A",WORKDAY(Main[[#This Row],[Tech Start Date]],9),""))))</f>
        <v>41005</v>
      </c>
      <c r="Q1474" s="176">
        <v>40909</v>
      </c>
      <c r="R1474" s="176">
        <v>41010</v>
      </c>
      <c r="S1474" s="153" t="s">
        <v>11</v>
      </c>
      <c r="T1474" s="180" t="s">
        <v>3991</v>
      </c>
      <c r="U1474" s="153" t="s">
        <v>29</v>
      </c>
      <c r="V1474" s="153" t="s">
        <v>1920</v>
      </c>
      <c r="W1474" s="153" t="s">
        <v>1922</v>
      </c>
      <c r="X1474" s="153" t="s">
        <v>2849</v>
      </c>
      <c r="Y1474" s="153" t="s">
        <v>4</v>
      </c>
      <c r="Z1474" s="153" t="s">
        <v>530</v>
      </c>
      <c r="AA1474" s="153" t="s">
        <v>2849</v>
      </c>
    </row>
    <row r="1475" spans="1:27" ht="18.600000000000001" customHeight="1">
      <c r="A1475" s="174" t="str">
        <f>IF(priority(Main[[#This Row],[Comments]])&lt;&gt;0, priority(Main[[#This Row],[Comments]]),"")</f>
        <v/>
      </c>
      <c r="B1475" s="145" t="s">
        <v>3361</v>
      </c>
      <c r="C1475" s="153" t="s">
        <v>148</v>
      </c>
      <c r="D1475" s="175" t="s">
        <v>3992</v>
      </c>
      <c r="E1475" s="176">
        <v>40967.72111111111</v>
      </c>
      <c r="F1475" s="176">
        <v>41045</v>
      </c>
      <c r="G1475" s="177" t="str">
        <f>IF(stdProdLT(Main[[#This Row],[Comments]])=0.1,"N/A",IF(stdProdLT(Main[[#This Row],[Comments]])=0,"",stdProdLT(Main[[#This Row],[Comments]])))</f>
        <v>N/A</v>
      </c>
      <c r="H1475" s="178">
        <f>IF(AND(Main[[#This Row],[In Stock Date]]&lt;&gt;"",Main[[#This Row],[Revised Due Date]]&lt;&gt;""),Main[[#This Row],[In Stock Date]]-Main[[#This Row],[Revised Due Date]],"")</f>
        <v>71</v>
      </c>
      <c r="I1475" s="153" t="s">
        <v>3951</v>
      </c>
      <c r="J1475" s="153" t="s">
        <v>28</v>
      </c>
      <c r="K1475" s="153" t="s">
        <v>1926</v>
      </c>
      <c r="L1475" s="176">
        <v>40967</v>
      </c>
      <c r="M1475" s="179">
        <f>IF(Main[[#This Row],[Tech Start Date]]&lt;1/1/1990,"",IF(Main[[#This Row],[Class]]="C",WORKDAY(Main[[#This Row],[Tech Start Date]],9),IF(Main[[#This Row],[Class]]="B", WORKDAY(Main[[#This Row],[Tech Start Date]],6),IF(Main[[#This Row],[Class]]="A",WORKDAY(Main[[#This Row],[Tech Start Date]],2),""))))</f>
        <v>40969</v>
      </c>
      <c r="N1475" s="179">
        <f>IF(Main[[#This Row],[Tech Start Date]]&lt;1/1/1990,"",IF(Main[[#This Row],[Class]]="C",WORKDAY(Main[[#This Row],[Tech Start Date]],19),IF(Main[[#This Row],[Class]]="B", WORKDAY(Main[[#This Row],[Tech Start Date]],12),IF(Main[[#This Row],[Class]]="A",WORKDAY(Main[[#This Row],[Tech Start Date]],4),""))))</f>
        <v>40973</v>
      </c>
      <c r="O1475" s="179">
        <f>IF(Main[[#This Row],[Tech Start Date]]&lt;1/1/1990,"",IF(Main[[#This Row],[Class]]="C",WORKDAY(Main[[#This Row],[Tech Start Date]],23),IF(Main[[#This Row],[Class]]="B", WORKDAY(Main[[#This Row],[Tech Start Date]],15),IF(Main[[#This Row],[Class]]="A",WORKDAY(Main[[#This Row],[Tech Start Date]],5),""))))</f>
        <v>40974</v>
      </c>
      <c r="P1475" s="179">
        <f>IF(Main[[#This Row],[Tech Start Date]]&lt;1/1/1990,"",IF(Main[[#This Row],[Class]]="C",WORKDAY(Main[[#This Row],[Tech Start Date]],28),IF(Main[[#This Row],[Class]]="B", WORKDAY(Main[[#This Row],[Tech Start Date]],19),IF(Main[[#This Row],[Class]]="A",WORKDAY(Main[[#This Row],[Tech Start Date]],9),""))))</f>
        <v>40980</v>
      </c>
      <c r="Q1475" s="176">
        <v>40939</v>
      </c>
      <c r="R1475" s="176">
        <v>40974</v>
      </c>
      <c r="S1475" s="153" t="s">
        <v>11</v>
      </c>
      <c r="T1475" s="180" t="s">
        <v>3993</v>
      </c>
      <c r="U1475" s="153" t="s">
        <v>29</v>
      </c>
      <c r="V1475" s="153" t="s">
        <v>1927</v>
      </c>
      <c r="W1475" s="153" t="s">
        <v>1925</v>
      </c>
      <c r="X1475" s="153" t="s">
        <v>3362</v>
      </c>
      <c r="Y1475" s="153" t="s">
        <v>3363</v>
      </c>
      <c r="Z1475" s="153" t="s">
        <v>530</v>
      </c>
      <c r="AA1475" s="153" t="s">
        <v>3362</v>
      </c>
    </row>
    <row r="1476" spans="1:27" ht="18.600000000000001" customHeight="1">
      <c r="A1476" s="174" t="str">
        <f>IF(priority(Main[[#This Row],[Comments]])&lt;&gt;0, priority(Main[[#This Row],[Comments]]),"")</f>
        <v/>
      </c>
      <c r="B1476" s="145" t="s">
        <v>3226</v>
      </c>
      <c r="C1476" s="153" t="s">
        <v>137</v>
      </c>
      <c r="D1476" s="175" t="s">
        <v>3994</v>
      </c>
      <c r="E1476" s="176">
        <v>40960.923657407409</v>
      </c>
      <c r="F1476" s="176">
        <v>41008</v>
      </c>
      <c r="G1476" s="177">
        <f>IF(stdProdLT(Main[[#This Row],[Comments]])=0.1,"N/A",IF(stdProdLT(Main[[#This Row],[Comments]])=0,"",stdProdLT(Main[[#This Row],[Comments]])))</f>
        <v>84</v>
      </c>
      <c r="H1476" s="178">
        <f>IF(AND(Main[[#This Row],[In Stock Date]]&lt;&gt;"",Main[[#This Row],[Revised Due Date]]&lt;&gt;""),Main[[#This Row],[In Stock Date]]-Main[[#This Row],[Revised Due Date]],"")</f>
        <v>34</v>
      </c>
      <c r="I1476" s="153" t="s">
        <v>69</v>
      </c>
      <c r="J1476" s="153" t="s">
        <v>70</v>
      </c>
      <c r="K1476" s="153" t="s">
        <v>1926</v>
      </c>
      <c r="L1476" s="176">
        <v>40967</v>
      </c>
      <c r="M1476" s="179">
        <f>IF(Main[[#This Row],[Tech Start Date]]&lt;1/1/1990,"",IF(Main[[#This Row],[Class]]="C",WORKDAY(Main[[#This Row],[Tech Start Date]],9),IF(Main[[#This Row],[Class]]="B", WORKDAY(Main[[#This Row],[Tech Start Date]],6),IF(Main[[#This Row],[Class]]="A",WORKDAY(Main[[#This Row],[Tech Start Date]],2),""))))</f>
        <v>40969</v>
      </c>
      <c r="N1476" s="179">
        <f>IF(Main[[#This Row],[Tech Start Date]]&lt;1/1/1990,"",IF(Main[[#This Row],[Class]]="C",WORKDAY(Main[[#This Row],[Tech Start Date]],19),IF(Main[[#This Row],[Class]]="B", WORKDAY(Main[[#This Row],[Tech Start Date]],12),IF(Main[[#This Row],[Class]]="A",WORKDAY(Main[[#This Row],[Tech Start Date]],4),""))))</f>
        <v>40973</v>
      </c>
      <c r="O1476" s="179">
        <f>IF(Main[[#This Row],[Tech Start Date]]&lt;1/1/1990,"",IF(Main[[#This Row],[Class]]="C",WORKDAY(Main[[#This Row],[Tech Start Date]],23),IF(Main[[#This Row],[Class]]="B", WORKDAY(Main[[#This Row],[Tech Start Date]],15),IF(Main[[#This Row],[Class]]="A",WORKDAY(Main[[#This Row],[Tech Start Date]],5),""))))</f>
        <v>40974</v>
      </c>
      <c r="P1476" s="179">
        <f>IF(Main[[#This Row],[Tech Start Date]]&lt;1/1/1990,"",IF(Main[[#This Row],[Class]]="C",WORKDAY(Main[[#This Row],[Tech Start Date]],28),IF(Main[[#This Row],[Class]]="B", WORKDAY(Main[[#This Row],[Tech Start Date]],19),IF(Main[[#This Row],[Class]]="A",WORKDAY(Main[[#This Row],[Tech Start Date]],9),""))))</f>
        <v>40980</v>
      </c>
      <c r="Q1476" s="176">
        <v>40935</v>
      </c>
      <c r="R1476" s="176">
        <v>40974</v>
      </c>
      <c r="S1476" s="153" t="s">
        <v>11</v>
      </c>
      <c r="T1476" s="180" t="s">
        <v>3995</v>
      </c>
      <c r="U1476" s="153" t="s">
        <v>29</v>
      </c>
      <c r="V1476" s="153" t="s">
        <v>1927</v>
      </c>
      <c r="W1476" s="153" t="s">
        <v>1925</v>
      </c>
      <c r="X1476" s="153" t="s">
        <v>2912</v>
      </c>
      <c r="Y1476" s="153" t="s">
        <v>3102</v>
      </c>
      <c r="Z1476" s="153" t="s">
        <v>530</v>
      </c>
      <c r="AA1476" s="153" t="s">
        <v>2912</v>
      </c>
    </row>
    <row r="1477" spans="1:27" ht="18.600000000000001" customHeight="1">
      <c r="A1477" s="174" t="str">
        <f>IF(priority(Main[[#This Row],[Comments]])&lt;&gt;0, priority(Main[[#This Row],[Comments]]),"")</f>
        <v/>
      </c>
      <c r="B1477" s="145" t="s">
        <v>3996</v>
      </c>
      <c r="C1477" s="153" t="s">
        <v>2755</v>
      </c>
      <c r="D1477" s="175" t="s">
        <v>3997</v>
      </c>
      <c r="E1477" s="176">
        <v>40962.642118055555</v>
      </c>
      <c r="F1477" s="176">
        <v>41090</v>
      </c>
      <c r="G1477" s="177">
        <f>IF(stdProdLT(Main[[#This Row],[Comments]])=0.1,"N/A",IF(stdProdLT(Main[[#This Row],[Comments]])=0,"",stdProdLT(Main[[#This Row],[Comments]])))</f>
        <v>98</v>
      </c>
      <c r="H1477" s="178">
        <f>IF(AND(Main[[#This Row],[In Stock Date]]&lt;&gt;"",Main[[#This Row],[Revised Due Date]]&lt;&gt;""),Main[[#This Row],[In Stock Date]]-Main[[#This Row],[Revised Due Date]],"")</f>
        <v>94</v>
      </c>
      <c r="I1477" s="153" t="s">
        <v>2047</v>
      </c>
      <c r="J1477" s="153" t="s">
        <v>28</v>
      </c>
      <c r="K1477" s="153" t="s">
        <v>1924</v>
      </c>
      <c r="L1477" s="176">
        <v>40967</v>
      </c>
      <c r="M1477" s="179">
        <f>IF(Main[[#This Row],[Tech Start Date]]&lt;1/1/1990,"",IF(Main[[#This Row],[Class]]="C",WORKDAY(Main[[#This Row],[Tech Start Date]],9),IF(Main[[#This Row],[Class]]="B", WORKDAY(Main[[#This Row],[Tech Start Date]],6),IF(Main[[#This Row],[Class]]="A",WORKDAY(Main[[#This Row],[Tech Start Date]],2),""))))</f>
        <v>40975</v>
      </c>
      <c r="N1477" s="179">
        <f>IF(Main[[#This Row],[Tech Start Date]]&lt;1/1/1990,"",IF(Main[[#This Row],[Class]]="C",WORKDAY(Main[[#This Row],[Tech Start Date]],19),IF(Main[[#This Row],[Class]]="B", WORKDAY(Main[[#This Row],[Tech Start Date]],12),IF(Main[[#This Row],[Class]]="A",WORKDAY(Main[[#This Row],[Tech Start Date]],4),""))))</f>
        <v>40983</v>
      </c>
      <c r="O1477" s="179">
        <f>IF(Main[[#This Row],[Tech Start Date]]&lt;1/1/1990,"",IF(Main[[#This Row],[Class]]="C",WORKDAY(Main[[#This Row],[Tech Start Date]],23),IF(Main[[#This Row],[Class]]="B", WORKDAY(Main[[#This Row],[Tech Start Date]],15),IF(Main[[#This Row],[Class]]="A",WORKDAY(Main[[#This Row],[Tech Start Date]],5),""))))</f>
        <v>40988</v>
      </c>
      <c r="P1477" s="179">
        <f>IF(Main[[#This Row],[Tech Start Date]]&lt;1/1/1990,"",IF(Main[[#This Row],[Class]]="C",WORKDAY(Main[[#This Row],[Tech Start Date]],28),IF(Main[[#This Row],[Class]]="B", WORKDAY(Main[[#This Row],[Tech Start Date]],19),IF(Main[[#This Row],[Class]]="A",WORKDAY(Main[[#This Row],[Tech Start Date]],9),""))))</f>
        <v>40994</v>
      </c>
      <c r="Q1477" s="176"/>
      <c r="R1477" s="176">
        <v>40996</v>
      </c>
      <c r="S1477" s="153" t="s">
        <v>11</v>
      </c>
      <c r="T1477" s="180" t="s">
        <v>3998</v>
      </c>
      <c r="U1477" s="153" t="s">
        <v>29</v>
      </c>
      <c r="V1477" s="153" t="s">
        <v>1920</v>
      </c>
      <c r="W1477" s="153" t="s">
        <v>1922</v>
      </c>
      <c r="X1477" s="153" t="s">
        <v>654</v>
      </c>
      <c r="Y1477" s="153" t="s">
        <v>3132</v>
      </c>
      <c r="Z1477" s="153" t="s">
        <v>530</v>
      </c>
      <c r="AA1477" s="153" t="s">
        <v>654</v>
      </c>
    </row>
  </sheetData>
  <sheetProtection formatCells="0" formatColumns="0" formatRows="0" insertColumns="0" insertRows="0" insertHyperlinks="0" deleteColumns="0" deleteRows="0" selectLockedCells="1" sort="0" autoFilter="0" pivotTables="0"/>
  <dataConsolidate/>
  <mergeCells count="4">
    <mergeCell ref="AB5:AI5"/>
    <mergeCell ref="A1:B1"/>
    <mergeCell ref="C2:C4"/>
    <mergeCell ref="A2:B4"/>
  </mergeCells>
  <conditionalFormatting sqref="B6:B1477">
    <cfRule type="expression" dxfId="41" priority="21">
      <formula>atat($T6)=1</formula>
    </cfRule>
  </conditionalFormatting>
  <conditionalFormatting sqref="M6:P1477">
    <cfRule type="colorScale" priority="15">
      <colorScale>
        <cfvo type="num" val="TODAY()"/>
        <cfvo type="num" val="TODAY()+2"/>
        <cfvo type="num" val="TODAY()+4"/>
        <color rgb="FFD36767"/>
        <color rgb="FFFFFFD1"/>
        <color rgb="FFC0E391"/>
      </colorScale>
    </cfRule>
  </conditionalFormatting>
  <conditionalFormatting sqref="C6:R1048576">
    <cfRule type="expression" dxfId="40" priority="1453">
      <formula>OR($J6="Document Control", $J6="Quality")</formula>
    </cfRule>
  </conditionalFormatting>
  <conditionalFormatting sqref="C6:U1048576">
    <cfRule type="expression" dxfId="39" priority="1638">
      <formula>OR($U6="Design Hold", $U6="Define Requirements")</formula>
    </cfRule>
  </conditionalFormatting>
  <conditionalFormatting sqref="H6:H1437 H1439:H1477">
    <cfRule type="expression" priority="3" stopIfTrue="1">
      <formula>OR($G6="",$G6="N/A",$H6="")</formula>
    </cfRule>
    <cfRule type="cellIs" dxfId="38" priority="4" operator="greaterThan">
      <formula>$G6</formula>
    </cfRule>
    <cfRule type="cellIs" dxfId="37" priority="612" stopIfTrue="1" operator="lessThanOrEqual">
      <formula>$G7-7</formula>
    </cfRule>
  </conditionalFormatting>
  <conditionalFormatting sqref="H6:H1477">
    <cfRule type="cellIs" dxfId="36" priority="11" operator="between">
      <formula>$G6-7</formula>
      <formula>$G6</formula>
    </cfRule>
  </conditionalFormatting>
  <conditionalFormatting sqref="H1393">
    <cfRule type="cellIs" dxfId="35" priority="1815" operator="lessThan">
      <formula>$G1477-7</formula>
    </cfRule>
  </conditionalFormatting>
  <conditionalFormatting sqref="H1403">
    <cfRule type="cellIs" dxfId="34" priority="1837" operator="lessThan">
      <formula>$G1477-7</formula>
    </cfRule>
  </conditionalFormatting>
  <conditionalFormatting sqref="H1407">
    <cfRule type="cellIs" dxfId="33" priority="1859" operator="lessThan">
      <formula>$G1477-7</formula>
    </cfRule>
  </conditionalFormatting>
  <conditionalFormatting sqref="H1413">
    <cfRule type="cellIs" dxfId="32" priority="1881" operator="lessThan">
      <formula>$G1477-7</formula>
    </cfRule>
  </conditionalFormatting>
  <conditionalFormatting sqref="H1436">
    <cfRule type="cellIs" dxfId="31" priority="1903" operator="lessThan">
      <formula>$G1477-7</formula>
    </cfRule>
  </conditionalFormatting>
  <conditionalFormatting sqref="H1438">
    <cfRule type="expression" priority="1923" stopIfTrue="1">
      <formula>OR($G1438="",$G1438="N/A",$H1438="")</formula>
    </cfRule>
    <cfRule type="cellIs" dxfId="30" priority="1924" operator="greaterThan">
      <formula>$G1438</formula>
    </cfRule>
    <cfRule type="cellIs" dxfId="29" priority="1925" stopIfTrue="1" operator="lessThanOrEqual">
      <formula>$G1477-7</formula>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9980" r:id="rId5" name="softSht">
          <controlPr defaultSize="0" print="0" autoLine="0" r:id="rId6">
            <anchor moveWithCells="1">
              <from>
                <xdr:col>3</xdr:col>
                <xdr:colOff>2476500</xdr:colOff>
                <xdr:row>2</xdr:row>
                <xdr:rowOff>533400</xdr:rowOff>
              </from>
              <to>
                <xdr:col>3</xdr:col>
                <xdr:colOff>2790825</xdr:colOff>
                <xdr:row>2</xdr:row>
                <xdr:rowOff>857250</xdr:rowOff>
              </to>
            </anchor>
          </controlPr>
        </control>
      </mc:Choice>
      <mc:Fallback>
        <control shapeId="9980" r:id="rId5" name="softSht"/>
      </mc:Fallback>
    </mc:AlternateContent>
    <mc:AlternateContent xmlns:mc="http://schemas.openxmlformats.org/markup-compatibility/2006">
      <mc:Choice Requires="x14">
        <control shapeId="9979" r:id="rId7" name="diSht">
          <controlPr defaultSize="0" print="0" autoLine="0" r:id="rId6">
            <anchor moveWithCells="1">
              <from>
                <xdr:col>3</xdr:col>
                <xdr:colOff>2476500</xdr:colOff>
                <xdr:row>2</xdr:row>
                <xdr:rowOff>142875</xdr:rowOff>
              </from>
              <to>
                <xdr:col>3</xdr:col>
                <xdr:colOff>2790825</xdr:colOff>
                <xdr:row>2</xdr:row>
                <xdr:rowOff>466725</xdr:rowOff>
              </to>
            </anchor>
          </controlPr>
        </control>
      </mc:Choice>
      <mc:Fallback>
        <control shapeId="9979" r:id="rId7" name="diSht"/>
      </mc:Fallback>
    </mc:AlternateContent>
    <mc:AlternateContent xmlns:mc="http://schemas.openxmlformats.org/markup-compatibility/2006">
      <mc:Choice Requires="x14">
        <control shapeId="9978" r:id="rId8" name="fcSht">
          <controlPr defaultSize="0" print="0" autoLine="0" r:id="rId6">
            <anchor moveWithCells="1">
              <from>
                <xdr:col>3</xdr:col>
                <xdr:colOff>2476500</xdr:colOff>
                <xdr:row>1</xdr:row>
                <xdr:rowOff>581025</xdr:rowOff>
              </from>
              <to>
                <xdr:col>3</xdr:col>
                <xdr:colOff>2790825</xdr:colOff>
                <xdr:row>2</xdr:row>
                <xdr:rowOff>85725</xdr:rowOff>
              </to>
            </anchor>
          </controlPr>
        </control>
      </mc:Choice>
      <mc:Fallback>
        <control shapeId="9978" r:id="rId8" name="fcSht"/>
      </mc:Fallback>
    </mc:AlternateContent>
    <mc:AlternateContent xmlns:mc="http://schemas.openxmlformats.org/markup-compatibility/2006">
      <mc:Choice Requires="x14">
        <control shapeId="9976" r:id="rId9" name="pmSht">
          <controlPr defaultSize="0" print="0" autoLine="0" r:id="rId6">
            <anchor moveWithCells="1">
              <from>
                <xdr:col>3</xdr:col>
                <xdr:colOff>2476500</xdr:colOff>
                <xdr:row>1</xdr:row>
                <xdr:rowOff>200025</xdr:rowOff>
              </from>
              <to>
                <xdr:col>3</xdr:col>
                <xdr:colOff>2790825</xdr:colOff>
                <xdr:row>1</xdr:row>
                <xdr:rowOff>523875</xdr:rowOff>
              </to>
            </anchor>
          </controlPr>
        </control>
      </mc:Choice>
      <mc:Fallback>
        <control shapeId="9976" r:id="rId9" name="pmSht"/>
      </mc:Fallback>
    </mc:AlternateContent>
    <mc:AlternateContent xmlns:mc="http://schemas.openxmlformats.org/markup-compatibility/2006">
      <mc:Choice Requires="x14">
        <control shapeId="9975" r:id="rId10" name="fullScreenMode">
          <controlPr defaultSize="0" print="0" autoLine="0" r:id="rId11">
            <anchor moveWithCells="1">
              <from>
                <xdr:col>2</xdr:col>
                <xdr:colOff>200025</xdr:colOff>
                <xdr:row>1</xdr:row>
                <xdr:rowOff>28575</xdr:rowOff>
              </from>
              <to>
                <xdr:col>2</xdr:col>
                <xdr:colOff>1590675</xdr:colOff>
                <xdr:row>1</xdr:row>
                <xdr:rowOff>285750</xdr:rowOff>
              </to>
            </anchor>
          </controlPr>
        </control>
      </mc:Choice>
      <mc:Fallback>
        <control shapeId="9975" r:id="rId10" name="fullScreenMode"/>
      </mc:Fallback>
    </mc:AlternateContent>
    <mc:AlternateContent xmlns:mc="http://schemas.openxmlformats.org/markup-compatibility/2006">
      <mc:Choice Requires="x14">
        <control shapeId="9974" r:id="rId12" name="posReturn">
          <controlPr defaultSize="0" print="0" autoLine="0" r:id="rId13">
            <anchor moveWithCells="1">
              <from>
                <xdr:col>0</xdr:col>
                <xdr:colOff>104775</xdr:colOff>
                <xdr:row>2</xdr:row>
                <xdr:rowOff>657225</xdr:rowOff>
              </from>
              <to>
                <xdr:col>1</xdr:col>
                <xdr:colOff>647700</xdr:colOff>
                <xdr:row>3</xdr:row>
                <xdr:rowOff>161925</xdr:rowOff>
              </to>
            </anchor>
          </controlPr>
        </control>
      </mc:Choice>
      <mc:Fallback>
        <control shapeId="9974" r:id="rId12" name="posReturn"/>
      </mc:Fallback>
    </mc:AlternateContent>
    <mc:AlternateContent xmlns:mc="http://schemas.openxmlformats.org/markup-compatibility/2006">
      <mc:Choice Requires="x14">
        <control shapeId="9973" r:id="rId14" name="refreshMain">
          <controlPr defaultSize="0" print="0" autoLine="0" r:id="rId15">
            <anchor moveWithCells="1">
              <from>
                <xdr:col>0</xdr:col>
                <xdr:colOff>114300</xdr:colOff>
                <xdr:row>2</xdr:row>
                <xdr:rowOff>266700</xdr:rowOff>
              </from>
              <to>
                <xdr:col>1</xdr:col>
                <xdr:colOff>590550</xdr:colOff>
                <xdr:row>2</xdr:row>
                <xdr:rowOff>619125</xdr:rowOff>
              </to>
            </anchor>
          </controlPr>
        </control>
      </mc:Choice>
      <mc:Fallback>
        <control shapeId="9973" r:id="rId14" name="refreshMain"/>
      </mc:Fallback>
    </mc:AlternateContent>
    <mc:AlternateContent xmlns:mc="http://schemas.openxmlformats.org/markup-compatibility/2006">
      <mc:Choice Requires="x14">
        <control shapeId="9972" r:id="rId16" name="ClearSort">
          <controlPr defaultSize="0" print="0" autoLine="0" r:id="rId17">
            <anchor moveWithCells="1">
              <from>
                <xdr:col>0</xdr:col>
                <xdr:colOff>209550</xdr:colOff>
                <xdr:row>1</xdr:row>
                <xdr:rowOff>95250</xdr:rowOff>
              </from>
              <to>
                <xdr:col>1</xdr:col>
                <xdr:colOff>495300</xdr:colOff>
                <xdr:row>1</xdr:row>
                <xdr:rowOff>438150</xdr:rowOff>
              </to>
            </anchor>
          </controlPr>
        </control>
      </mc:Choice>
      <mc:Fallback>
        <control shapeId="9972" r:id="rId16" name="ClearSort"/>
      </mc:Fallback>
    </mc:AlternateContent>
    <mc:AlternateContent xmlns:mc="http://schemas.openxmlformats.org/markup-compatibility/2006">
      <mc:Choice Requires="x14">
        <control shapeId="9971" r:id="rId18" name="gotoDept">
          <controlPr defaultSize="0" print="0" autoLine="0" r:id="rId19">
            <anchor moveWithCells="1">
              <from>
                <xdr:col>0</xdr:col>
                <xdr:colOff>161925</xdr:colOff>
                <xdr:row>1</xdr:row>
                <xdr:rowOff>514350</xdr:rowOff>
              </from>
              <to>
                <xdr:col>1</xdr:col>
                <xdr:colOff>581025</xdr:colOff>
                <xdr:row>2</xdr:row>
                <xdr:rowOff>200025</xdr:rowOff>
              </to>
            </anchor>
          </controlPr>
        </control>
      </mc:Choice>
      <mc:Fallback>
        <control shapeId="9971" r:id="rId18" name="gotoDept"/>
      </mc:Fallback>
    </mc:AlternateContent>
    <mc:AlternateContent xmlns:mc="http://schemas.openxmlformats.org/markup-compatibility/2006">
      <mc:Choice Requires="x14">
        <control shapeId="9970" r:id="rId20" name="prioritizer">
          <controlPr defaultSize="0" print="0" autoFill="0" autoLine="0" r:id="rId21">
            <anchor moveWithCells="1">
              <from>
                <xdr:col>2</xdr:col>
                <xdr:colOff>76200</xdr:colOff>
                <xdr:row>2</xdr:row>
                <xdr:rowOff>381000</xdr:rowOff>
              </from>
              <to>
                <xdr:col>2</xdr:col>
                <xdr:colOff>1714500</xdr:colOff>
                <xdr:row>2</xdr:row>
                <xdr:rowOff>781050</xdr:rowOff>
              </to>
            </anchor>
          </controlPr>
        </control>
      </mc:Choice>
      <mc:Fallback>
        <control shapeId="9970" r:id="rId20" name="prioritizer"/>
      </mc:Fallback>
    </mc:AlternateContent>
    <mc:AlternateContent xmlns:mc="http://schemas.openxmlformats.org/markup-compatibility/2006">
      <mc:Choice Requires="x14">
        <control shapeId="9969" r:id="rId22" name="printReport">
          <controlPr defaultSize="0" print="0" autoFill="0" autoLine="0" r:id="rId23">
            <anchor moveWithCells="1">
              <from>
                <xdr:col>2</xdr:col>
                <xdr:colOff>76200</xdr:colOff>
                <xdr:row>1</xdr:row>
                <xdr:rowOff>771525</xdr:rowOff>
              </from>
              <to>
                <xdr:col>2</xdr:col>
                <xdr:colOff>1714500</xdr:colOff>
                <xdr:row>2</xdr:row>
                <xdr:rowOff>352425</xdr:rowOff>
              </to>
            </anchor>
          </controlPr>
        </control>
      </mc:Choice>
      <mc:Fallback>
        <control shapeId="9969" r:id="rId22" name="printReport"/>
      </mc:Fallback>
    </mc:AlternateContent>
    <mc:AlternateContent xmlns:mc="http://schemas.openxmlformats.org/markup-compatibility/2006">
      <mc:Choice Requires="x14">
        <control shapeId="9968" r:id="rId24" name="tools">
          <controlPr defaultSize="0" print="0" autoFill="0" autoLine="0" r:id="rId25">
            <anchor moveWithCells="1">
              <from>
                <xdr:col>2</xdr:col>
                <xdr:colOff>76200</xdr:colOff>
                <xdr:row>1</xdr:row>
                <xdr:rowOff>342900</xdr:rowOff>
              </from>
              <to>
                <xdr:col>2</xdr:col>
                <xdr:colOff>1714500</xdr:colOff>
                <xdr:row>1</xdr:row>
                <xdr:rowOff>742950</xdr:rowOff>
              </to>
            </anchor>
          </controlPr>
        </control>
      </mc:Choice>
      <mc:Fallback>
        <control shapeId="9968" r:id="rId24" name="tools"/>
      </mc:Fallback>
    </mc:AlternateContent>
    <mc:AlternateContent xmlns:mc="http://schemas.openxmlformats.org/markup-compatibility/2006">
      <mc:Choice Requires="x14">
        <control shapeId="9967" r:id="rId26" name="searchButton">
          <controlPr defaultSize="0" print="0" autoLine="0" r:id="rId27">
            <anchor moveWithCells="1">
              <from>
                <xdr:col>2</xdr:col>
                <xdr:colOff>1143000</xdr:colOff>
                <xdr:row>2</xdr:row>
                <xdr:rowOff>819150</xdr:rowOff>
              </from>
              <to>
                <xdr:col>2</xdr:col>
                <xdr:colOff>1524000</xdr:colOff>
                <xdr:row>3</xdr:row>
                <xdr:rowOff>219075</xdr:rowOff>
              </to>
            </anchor>
          </controlPr>
        </control>
      </mc:Choice>
      <mc:Fallback>
        <control shapeId="9967" r:id="rId26" name="searchButton"/>
      </mc:Fallback>
    </mc:AlternateContent>
    <mc:AlternateContent xmlns:mc="http://schemas.openxmlformats.org/markup-compatibility/2006">
      <mc:Choice Requires="x14">
        <control shapeId="9961" r:id="rId28" name="rtasearch">
          <controlPr defaultSize="0" print="0" autoLine="0" listFillRange="B6:B2288" r:id="rId29">
            <anchor moveWithCells="1">
              <from>
                <xdr:col>2</xdr:col>
                <xdr:colOff>276225</xdr:colOff>
                <xdr:row>2</xdr:row>
                <xdr:rowOff>819150</xdr:rowOff>
              </from>
              <to>
                <xdr:col>2</xdr:col>
                <xdr:colOff>1114425</xdr:colOff>
                <xdr:row>3</xdr:row>
                <xdr:rowOff>209550</xdr:rowOff>
              </to>
            </anchor>
          </controlPr>
        </control>
      </mc:Choice>
      <mc:Fallback>
        <control shapeId="9961" r:id="rId28" name="rtasearch"/>
      </mc:Fallback>
    </mc:AlternateContent>
    <mc:AlternateContent xmlns:mc="http://schemas.openxmlformats.org/markup-compatibility/2006">
      <mc:Choice Requires="x14">
        <control shapeId="1045" r:id="rId30" name="PM">
          <controlPr defaultSize="0" print="0" autoFill="0" autoLine="0" r:id="rId31">
            <anchor moveWithCells="1">
              <from>
                <xdr:col>3</xdr:col>
                <xdr:colOff>209550</xdr:colOff>
                <xdr:row>1</xdr:row>
                <xdr:rowOff>200025</xdr:rowOff>
              </from>
              <to>
                <xdr:col>3</xdr:col>
                <xdr:colOff>2400300</xdr:colOff>
                <xdr:row>1</xdr:row>
                <xdr:rowOff>523875</xdr:rowOff>
              </to>
            </anchor>
          </controlPr>
        </control>
      </mc:Choice>
      <mc:Fallback>
        <control shapeId="1045" r:id="rId30" name="PM"/>
      </mc:Fallback>
    </mc:AlternateContent>
    <mc:AlternateContent xmlns:mc="http://schemas.openxmlformats.org/markup-compatibility/2006">
      <mc:Choice Requires="x14">
        <control shapeId="1046" r:id="rId32" name="fc">
          <controlPr defaultSize="0" print="0" autoFill="0" autoLine="0" r:id="rId33">
            <anchor moveWithCells="1">
              <from>
                <xdr:col>3</xdr:col>
                <xdr:colOff>209550</xdr:colOff>
                <xdr:row>1</xdr:row>
                <xdr:rowOff>581025</xdr:rowOff>
              </from>
              <to>
                <xdr:col>3</xdr:col>
                <xdr:colOff>2400300</xdr:colOff>
                <xdr:row>2</xdr:row>
                <xdr:rowOff>85725</xdr:rowOff>
              </to>
            </anchor>
          </controlPr>
        </control>
      </mc:Choice>
      <mc:Fallback>
        <control shapeId="1046" r:id="rId32" name="fc"/>
      </mc:Fallback>
    </mc:AlternateContent>
    <mc:AlternateContent xmlns:mc="http://schemas.openxmlformats.org/markup-compatibility/2006">
      <mc:Choice Requires="x14">
        <control shapeId="1047" r:id="rId34" name="di">
          <controlPr defaultSize="0" print="0" autoFill="0" autoLine="0" r:id="rId35">
            <anchor moveWithCells="1">
              <from>
                <xdr:col>3</xdr:col>
                <xdr:colOff>209550</xdr:colOff>
                <xdr:row>2</xdr:row>
                <xdr:rowOff>142875</xdr:rowOff>
              </from>
              <to>
                <xdr:col>3</xdr:col>
                <xdr:colOff>2400300</xdr:colOff>
                <xdr:row>2</xdr:row>
                <xdr:rowOff>466725</xdr:rowOff>
              </to>
            </anchor>
          </controlPr>
        </control>
      </mc:Choice>
      <mc:Fallback>
        <control shapeId="1047" r:id="rId34" name="di"/>
      </mc:Fallback>
    </mc:AlternateContent>
    <mc:AlternateContent xmlns:mc="http://schemas.openxmlformats.org/markup-compatibility/2006">
      <mc:Choice Requires="x14">
        <control shapeId="1048" r:id="rId36" name="soft">
          <controlPr defaultSize="0" print="0" autoFill="0" autoLine="0" r:id="rId37">
            <anchor moveWithCells="1">
              <from>
                <xdr:col>3</xdr:col>
                <xdr:colOff>209550</xdr:colOff>
                <xdr:row>2</xdr:row>
                <xdr:rowOff>533400</xdr:rowOff>
              </from>
              <to>
                <xdr:col>3</xdr:col>
                <xdr:colOff>2400300</xdr:colOff>
                <xdr:row>2</xdr:row>
                <xdr:rowOff>857250</xdr:rowOff>
              </to>
            </anchor>
          </controlPr>
        </control>
      </mc:Choice>
      <mc:Fallback>
        <control shapeId="1048" r:id="rId36" name="soft"/>
      </mc:Fallback>
    </mc:AlternateContent>
    <mc:AlternateContent xmlns:mc="http://schemas.openxmlformats.org/markup-compatibility/2006">
      <mc:Choice Requires="x14">
        <control shapeId="1055" r:id="rId38" name="sheetView">
          <controlPr defaultSize="0" print="0" autoLine="0" r:id="rId39">
            <anchor moveWithCells="1">
              <from>
                <xdr:col>3</xdr:col>
                <xdr:colOff>133350</xdr:colOff>
                <xdr:row>0</xdr:row>
                <xdr:rowOff>66675</xdr:rowOff>
              </from>
              <to>
                <xdr:col>3</xdr:col>
                <xdr:colOff>2819400</xdr:colOff>
                <xdr:row>1</xdr:row>
                <xdr:rowOff>190500</xdr:rowOff>
              </to>
            </anchor>
          </controlPr>
        </control>
      </mc:Choice>
      <mc:Fallback>
        <control shapeId="1055" r:id="rId38" name="sheetView"/>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1928" id="{A1FC3F13-76EB-4633-85C9-6092B91F0CE3}">
            <x14:iconSet iconSet="3Symbols2" custom="1">
              <x14:cfvo type="percent">
                <xm:f>0</xm:f>
              </x14:cfvo>
              <x14:cfvo type="num">
                <xm:f>TODAY()</xm:f>
              </x14:cfvo>
              <x14:cfvo type="num">
                <xm:f>TODAY()+2</xm:f>
              </x14:cfvo>
              <x14:cfIcon iconSet="3Flags" iconId="0"/>
              <x14:cfIcon iconSet="3Symbols2" iconId="1"/>
              <x14:cfIcon iconSet="NoIcons" iconId="0"/>
            </x14:iconSet>
          </x14:cfRule>
          <xm:sqref>R6:R1477</xm:sqref>
        </x14:conditionalFormatting>
        <x14:conditionalFormatting xmlns:xm="http://schemas.microsoft.com/office/excel/2006/main">
          <x14:cfRule type="iconSet" priority="1930" id="{2117E296-A918-4CFC-A156-CEDDE2B84118}">
            <x14:iconSet iconSet="3Symbols" custom="1">
              <x14:cfvo type="percent">
                <xm:f>0</xm:f>
              </x14:cfvo>
              <x14:cfvo type="num" gte="0">
                <xm:f>TODAY()</xm:f>
              </x14:cfvo>
              <x14:cfvo type="num" gte="0">
                <xm:f>TODAY()+4</xm:f>
              </x14:cfvo>
              <x14:cfIcon iconSet="3Signs" iconId="0"/>
              <x14:cfIcon iconSet="3Symbols2" iconId="1"/>
              <x14:cfIcon iconSet="3Symbols2" iconId="2"/>
            </x14:iconSet>
          </x14:cfRule>
          <xm:sqref>Q6:Q1477</xm:sqref>
        </x14:conditionalFormatting>
        <x14:conditionalFormatting xmlns:xm="http://schemas.microsoft.com/office/excel/2006/main">
          <x14:cfRule type="colorScale" priority="1932" id="{4B0BC6B7-F52E-48C0-A0DE-8DA28A8CD3F2}">
            <x14:colorScale>
              <x14:cfvo type="formula">
                <xm:f>Settings!#REF!</xm:f>
              </x14:cfvo>
              <x14:cfvo type="percent">
                <xm:f>65</xm:f>
              </x14:cfvo>
              <x14:cfvo type="formula">
                <xm:f>Settings!#REF!</xm:f>
              </x14:cfvo>
              <x14:color rgb="FFD7796F"/>
              <x14:color rgb="FFFFEB84"/>
              <x14:color rgb="FFC0E391"/>
            </x14:colorScale>
          </x14:cfRule>
          <xm:sqref>G6:G1477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3"/>
  <sheetViews>
    <sheetView showGridLines="0" showRowColHeaders="0" zoomScale="70" zoomScaleNormal="70" workbookViewId="0"/>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206" t="s">
        <v>1000</v>
      </c>
      <c r="C2" s="207"/>
      <c r="D2" s="207"/>
      <c r="E2" s="207"/>
      <c r="F2" s="207"/>
      <c r="G2" s="207"/>
      <c r="H2" s="207"/>
      <c r="I2" s="207"/>
      <c r="J2" s="207"/>
      <c r="K2" s="207"/>
      <c r="L2" s="207"/>
      <c r="M2" s="208"/>
      <c r="O2" s="194" t="s">
        <v>3590</v>
      </c>
      <c r="P2" s="195"/>
      <c r="Q2" s="194" t="s">
        <v>1947</v>
      </c>
      <c r="R2" s="195"/>
    </row>
    <row r="3" spans="2:18" s="7" customFormat="1" ht="19.5" customHeight="1" thickTop="1">
      <c r="B3" s="209" t="s">
        <v>984</v>
      </c>
      <c r="C3" s="23" t="s">
        <v>988</v>
      </c>
      <c r="D3" s="17" t="s">
        <v>11</v>
      </c>
      <c r="E3" s="18"/>
      <c r="F3" s="18"/>
      <c r="G3" s="18"/>
      <c r="H3" s="18"/>
      <c r="I3" s="18"/>
      <c r="J3" s="18"/>
      <c r="K3" s="18"/>
      <c r="L3" s="18"/>
      <c r="M3" s="19"/>
      <c r="N3" s="9"/>
      <c r="O3" s="196" t="s">
        <v>3588</v>
      </c>
      <c r="P3" s="196"/>
      <c r="Q3" s="196" t="s">
        <v>2664</v>
      </c>
      <c r="R3" s="196"/>
    </row>
    <row r="4" spans="2:18" s="7" customFormat="1" ht="19.5" customHeight="1">
      <c r="B4" s="210"/>
      <c r="C4" s="24" t="s">
        <v>1939</v>
      </c>
      <c r="D4" s="29" t="s">
        <v>1917</v>
      </c>
      <c r="E4" s="30"/>
      <c r="F4" s="30"/>
      <c r="G4" s="30"/>
      <c r="H4" s="30"/>
      <c r="I4" s="30"/>
      <c r="J4" s="30"/>
      <c r="K4" s="30"/>
      <c r="L4" s="30"/>
      <c r="M4" s="31"/>
      <c r="N4" s="9"/>
      <c r="O4" s="197"/>
      <c r="P4" s="197"/>
      <c r="Q4" s="197"/>
      <c r="R4" s="197"/>
    </row>
    <row r="5" spans="2:18" s="8" customFormat="1" ht="19.5" customHeight="1">
      <c r="B5" s="210"/>
      <c r="C5" s="24" t="s">
        <v>989</v>
      </c>
      <c r="D5" s="20">
        <v>1</v>
      </c>
      <c r="E5" s="21">
        <v>2</v>
      </c>
      <c r="F5" s="21">
        <v>3</v>
      </c>
      <c r="G5" s="21">
        <v>4</v>
      </c>
      <c r="H5" s="21">
        <v>5</v>
      </c>
      <c r="I5" s="21">
        <v>6</v>
      </c>
      <c r="J5" s="21">
        <v>7</v>
      </c>
      <c r="K5" s="21">
        <v>0</v>
      </c>
      <c r="L5" s="21">
        <v>0</v>
      </c>
      <c r="M5" s="22">
        <v>0</v>
      </c>
      <c r="N5" s="9"/>
      <c r="O5" s="197"/>
      <c r="P5" s="197"/>
      <c r="Q5" s="197"/>
      <c r="R5" s="197"/>
    </row>
    <row r="6" spans="2:18" ht="19.5" customHeight="1">
      <c r="B6" s="210"/>
      <c r="C6" s="24" t="s">
        <v>990</v>
      </c>
      <c r="D6" s="20" t="s">
        <v>7</v>
      </c>
      <c r="E6" s="21" t="s">
        <v>29</v>
      </c>
      <c r="F6" s="21" t="s">
        <v>534</v>
      </c>
      <c r="G6" s="21" t="s">
        <v>696</v>
      </c>
      <c r="H6" s="21"/>
      <c r="I6" s="21"/>
      <c r="J6" s="21"/>
      <c r="K6" s="21"/>
      <c r="L6" s="21"/>
      <c r="M6" s="22"/>
      <c r="O6" s="197"/>
      <c r="P6" s="197"/>
      <c r="Q6" s="197"/>
      <c r="R6" s="197"/>
    </row>
    <row r="7" spans="2:18" ht="19.5" customHeight="1" thickBot="1">
      <c r="B7" s="210"/>
      <c r="C7" s="24" t="s">
        <v>3169</v>
      </c>
      <c r="D7" s="27" t="s">
        <v>7</v>
      </c>
      <c r="E7" s="27" t="s">
        <v>29</v>
      </c>
      <c r="F7" s="27" t="s">
        <v>534</v>
      </c>
      <c r="G7" s="27" t="s">
        <v>696</v>
      </c>
      <c r="H7" s="27"/>
      <c r="I7" s="27"/>
      <c r="J7" s="27"/>
      <c r="K7" s="27"/>
      <c r="L7" s="27"/>
      <c r="M7" s="27"/>
      <c r="O7" s="197"/>
      <c r="P7" s="197"/>
      <c r="Q7" s="197"/>
      <c r="R7" s="197"/>
    </row>
    <row r="8" spans="2:18" ht="19.5" customHeight="1" thickTop="1" thickBot="1">
      <c r="B8" s="211"/>
      <c r="C8" s="25" t="s">
        <v>3170</v>
      </c>
      <c r="D8" s="28" t="s">
        <v>3224</v>
      </c>
      <c r="E8" s="28"/>
      <c r="F8" s="28"/>
      <c r="G8" s="28"/>
      <c r="H8" s="28"/>
      <c r="I8" s="28"/>
      <c r="J8" s="28"/>
      <c r="K8" s="28"/>
      <c r="L8" s="28"/>
      <c r="M8" s="28"/>
      <c r="O8" s="198" t="s">
        <v>2158</v>
      </c>
      <c r="P8" s="198"/>
      <c r="Q8" s="198" t="s">
        <v>3188</v>
      </c>
      <c r="R8" s="198"/>
    </row>
    <row r="9" spans="2:18" ht="19.5" customHeight="1" thickTop="1" thickBot="1">
      <c r="B9" s="209" t="s">
        <v>985</v>
      </c>
      <c r="C9" s="23" t="s">
        <v>991</v>
      </c>
      <c r="D9" s="17" t="s">
        <v>11</v>
      </c>
      <c r="E9" s="18"/>
      <c r="F9" s="18"/>
      <c r="G9" s="18"/>
      <c r="H9" s="18"/>
      <c r="I9" s="18"/>
      <c r="J9" s="18"/>
      <c r="K9" s="18"/>
      <c r="L9" s="18"/>
      <c r="M9" s="19"/>
      <c r="O9" s="199">
        <v>0</v>
      </c>
      <c r="P9" s="199"/>
      <c r="Q9" s="199" t="b">
        <v>1</v>
      </c>
      <c r="R9" s="199"/>
    </row>
    <row r="10" spans="2:18" s="7" customFormat="1" ht="19.5" customHeight="1" thickTop="1" thickBot="1">
      <c r="B10" s="210"/>
      <c r="C10" s="24" t="s">
        <v>1942</v>
      </c>
      <c r="D10" s="29" t="s">
        <v>1920</v>
      </c>
      <c r="E10" s="30" t="s">
        <v>1927</v>
      </c>
      <c r="F10" s="30"/>
      <c r="G10" s="30"/>
      <c r="H10" s="30"/>
      <c r="I10" s="30"/>
      <c r="J10" s="30"/>
      <c r="K10" s="30"/>
      <c r="L10" s="30"/>
      <c r="M10" s="31"/>
      <c r="N10" s="9"/>
      <c r="O10" s="198" t="s">
        <v>2269</v>
      </c>
      <c r="P10" s="198"/>
      <c r="Q10" s="198" t="s">
        <v>2270</v>
      </c>
      <c r="R10" s="198"/>
    </row>
    <row r="11" spans="2:18" ht="19.5" customHeight="1" thickTop="1" thickBot="1">
      <c r="B11" s="210"/>
      <c r="C11" s="24" t="s">
        <v>992</v>
      </c>
      <c r="D11" s="20">
        <v>1</v>
      </c>
      <c r="E11" s="21">
        <v>2</v>
      </c>
      <c r="F11" s="21">
        <v>3</v>
      </c>
      <c r="G11" s="21">
        <v>4</v>
      </c>
      <c r="H11" s="21">
        <v>5</v>
      </c>
      <c r="I11" s="21">
        <v>6</v>
      </c>
      <c r="J11" s="21">
        <v>7</v>
      </c>
      <c r="K11" s="21">
        <v>0</v>
      </c>
      <c r="L11" s="21">
        <v>0</v>
      </c>
      <c r="M11" s="22">
        <v>0</v>
      </c>
      <c r="O11" s="199" t="s">
        <v>86</v>
      </c>
      <c r="P11" s="199"/>
      <c r="Q11" s="199" t="s">
        <v>1926</v>
      </c>
      <c r="R11" s="199"/>
    </row>
    <row r="12" spans="2:18" ht="19.5" customHeight="1" thickTop="1" thickBot="1">
      <c r="B12" s="210"/>
      <c r="C12" s="24" t="s">
        <v>993</v>
      </c>
      <c r="D12" s="20" t="s">
        <v>7</v>
      </c>
      <c r="E12" s="21" t="s">
        <v>29</v>
      </c>
      <c r="F12" s="21" t="s">
        <v>534</v>
      </c>
      <c r="G12" s="21" t="s">
        <v>696</v>
      </c>
      <c r="H12" s="21"/>
      <c r="I12" s="21"/>
      <c r="J12" s="21"/>
      <c r="K12" s="21"/>
      <c r="L12" s="21"/>
      <c r="M12" s="22"/>
      <c r="O12" s="198" t="s">
        <v>3168</v>
      </c>
      <c r="P12" s="198"/>
      <c r="Q12" s="198" t="s">
        <v>3591</v>
      </c>
      <c r="R12" s="198"/>
    </row>
    <row r="13" spans="2:18" ht="19.5" customHeight="1" thickTop="1" thickBot="1">
      <c r="B13" s="210"/>
      <c r="C13" s="24" t="s">
        <v>3171</v>
      </c>
      <c r="D13" s="27"/>
      <c r="E13" s="27"/>
      <c r="F13" s="27"/>
      <c r="G13" s="27"/>
      <c r="H13" s="27"/>
      <c r="I13" s="27"/>
      <c r="J13" s="27"/>
      <c r="K13" s="27"/>
      <c r="L13" s="27"/>
      <c r="M13" s="27"/>
      <c r="O13" s="199"/>
      <c r="P13" s="199"/>
      <c r="Q13" s="199" t="s">
        <v>3592</v>
      </c>
      <c r="R13" s="199"/>
    </row>
    <row r="14" spans="2:18" ht="19.5" customHeight="1" thickTop="1" thickBot="1">
      <c r="B14" s="211"/>
      <c r="C14" s="25" t="s">
        <v>3172</v>
      </c>
      <c r="D14" s="28"/>
      <c r="E14" s="28"/>
      <c r="F14" s="28"/>
      <c r="G14" s="28"/>
      <c r="H14" s="28"/>
      <c r="I14" s="28"/>
      <c r="J14" s="28"/>
      <c r="K14" s="28"/>
      <c r="L14" s="28"/>
      <c r="M14" s="28"/>
      <c r="O14" s="7"/>
      <c r="P14" s="7"/>
      <c r="Q14" s="7"/>
      <c r="R14" s="7"/>
    </row>
    <row r="15" spans="2:18" ht="19.5" customHeight="1" thickTop="1">
      <c r="B15" s="209" t="s">
        <v>986</v>
      </c>
      <c r="C15" s="23" t="s">
        <v>994</v>
      </c>
      <c r="D15" s="17" t="s">
        <v>11</v>
      </c>
      <c r="E15" s="18"/>
      <c r="F15" s="18"/>
      <c r="G15" s="18"/>
      <c r="H15" s="18"/>
      <c r="I15" s="18"/>
      <c r="J15" s="18"/>
      <c r="K15" s="18"/>
      <c r="L15" s="18"/>
      <c r="M15" s="19"/>
      <c r="O15" s="7"/>
      <c r="P15" s="7"/>
      <c r="Q15" s="7"/>
      <c r="R15" s="7"/>
    </row>
    <row r="16" spans="2:18" ht="19.5" customHeight="1">
      <c r="B16" s="210"/>
      <c r="C16" s="24" t="s">
        <v>1941</v>
      </c>
      <c r="D16" s="29" t="s">
        <v>1918</v>
      </c>
      <c r="E16" s="30"/>
      <c r="F16" s="30"/>
      <c r="G16" s="30"/>
      <c r="H16" s="30"/>
      <c r="I16" s="30"/>
      <c r="J16" s="30"/>
      <c r="K16" s="30"/>
      <c r="L16" s="30"/>
      <c r="M16" s="31"/>
      <c r="O16" s="7"/>
      <c r="P16" s="7"/>
      <c r="Q16" s="7"/>
      <c r="R16" s="7"/>
    </row>
    <row r="17" spans="1:24" ht="19.5" customHeight="1">
      <c r="B17" s="210"/>
      <c r="C17" s="24" t="s">
        <v>995</v>
      </c>
      <c r="D17" s="20">
        <v>1</v>
      </c>
      <c r="E17" s="21">
        <v>2</v>
      </c>
      <c r="F17" s="21">
        <v>3</v>
      </c>
      <c r="G17" s="21">
        <v>4</v>
      </c>
      <c r="H17" s="21">
        <v>5</v>
      </c>
      <c r="I17" s="21">
        <v>6</v>
      </c>
      <c r="J17" s="21">
        <v>7</v>
      </c>
      <c r="K17" s="21">
        <v>0</v>
      </c>
      <c r="L17" s="21">
        <v>0</v>
      </c>
      <c r="M17" s="22">
        <v>0</v>
      </c>
      <c r="O17" s="7"/>
      <c r="P17" s="7"/>
      <c r="Q17" s="7"/>
      <c r="R17" s="7"/>
    </row>
    <row r="18" spans="1:24" ht="19.5" customHeight="1">
      <c r="B18" s="210"/>
      <c r="C18" s="24" t="s">
        <v>996</v>
      </c>
      <c r="D18" s="20" t="s">
        <v>7</v>
      </c>
      <c r="E18" s="21" t="s">
        <v>29</v>
      </c>
      <c r="F18" s="21" t="s">
        <v>534</v>
      </c>
      <c r="G18" s="21" t="s">
        <v>696</v>
      </c>
      <c r="H18" s="21"/>
      <c r="I18" s="21"/>
      <c r="J18" s="21"/>
      <c r="K18" s="21"/>
      <c r="L18" s="21"/>
      <c r="M18" s="22"/>
    </row>
    <row r="19" spans="1:24" ht="19.5" customHeight="1">
      <c r="B19" s="210"/>
      <c r="C19" s="24" t="s">
        <v>3173</v>
      </c>
      <c r="D19" s="27" t="s">
        <v>7</v>
      </c>
      <c r="E19" s="27" t="s">
        <v>29</v>
      </c>
      <c r="F19" s="27" t="s">
        <v>534</v>
      </c>
      <c r="G19" s="27" t="s">
        <v>696</v>
      </c>
      <c r="H19" s="27"/>
      <c r="I19" s="27"/>
      <c r="J19" s="27"/>
      <c r="K19" s="27"/>
      <c r="L19" s="27"/>
      <c r="M19" s="27"/>
    </row>
    <row r="20" spans="1:24" ht="19.5" customHeight="1" thickBot="1">
      <c r="B20" s="211"/>
      <c r="C20" s="25" t="s">
        <v>3174</v>
      </c>
      <c r="D20" s="28"/>
      <c r="E20" s="28"/>
      <c r="F20" s="28"/>
      <c r="G20" s="28"/>
      <c r="H20" s="28"/>
      <c r="I20" s="28"/>
      <c r="J20" s="28"/>
      <c r="K20" s="28"/>
      <c r="L20" s="28"/>
      <c r="M20" s="28"/>
    </row>
    <row r="21" spans="1:24" ht="19.5" customHeight="1" thickTop="1">
      <c r="B21" s="209" t="s">
        <v>987</v>
      </c>
      <c r="C21" s="23" t="s">
        <v>997</v>
      </c>
      <c r="D21" s="17" t="s">
        <v>11</v>
      </c>
      <c r="E21" s="18"/>
      <c r="F21" s="18"/>
      <c r="G21" s="18"/>
      <c r="H21" s="18"/>
      <c r="I21" s="18"/>
      <c r="J21" s="18"/>
      <c r="K21" s="18"/>
      <c r="L21" s="18"/>
      <c r="M21" s="19"/>
    </row>
    <row r="22" spans="1:24" ht="19.5" customHeight="1">
      <c r="B22" s="210"/>
      <c r="C22" s="24" t="s">
        <v>1940</v>
      </c>
      <c r="D22" s="29" t="s">
        <v>1932</v>
      </c>
      <c r="E22" s="30"/>
      <c r="F22" s="30"/>
      <c r="G22" s="30"/>
      <c r="H22" s="30"/>
      <c r="I22" s="30"/>
      <c r="J22" s="30"/>
      <c r="K22" s="30"/>
      <c r="L22" s="30"/>
      <c r="M22" s="31"/>
    </row>
    <row r="23" spans="1:24" ht="19.5" customHeight="1">
      <c r="B23" s="210"/>
      <c r="C23" s="24" t="s">
        <v>998</v>
      </c>
      <c r="D23" s="20">
        <v>1</v>
      </c>
      <c r="E23" s="21">
        <v>2</v>
      </c>
      <c r="F23" s="21">
        <v>3</v>
      </c>
      <c r="G23" s="21">
        <v>4</v>
      </c>
      <c r="H23" s="21">
        <v>5</v>
      </c>
      <c r="I23" s="21">
        <v>6</v>
      </c>
      <c r="J23" s="21">
        <v>7</v>
      </c>
      <c r="K23" s="21">
        <v>0</v>
      </c>
      <c r="L23" s="21">
        <v>0</v>
      </c>
      <c r="M23" s="22">
        <v>0</v>
      </c>
    </row>
    <row r="24" spans="1:24" ht="19.5" customHeight="1">
      <c r="B24" s="210"/>
      <c r="C24" s="24" t="s">
        <v>999</v>
      </c>
      <c r="D24" s="20" t="s">
        <v>7</v>
      </c>
      <c r="E24" s="21" t="s">
        <v>29</v>
      </c>
      <c r="F24" s="21" t="s">
        <v>534</v>
      </c>
      <c r="G24" s="21" t="s">
        <v>696</v>
      </c>
      <c r="H24" s="21"/>
      <c r="I24" s="21"/>
      <c r="J24" s="21"/>
      <c r="K24" s="21"/>
      <c r="L24" s="21"/>
      <c r="M24" s="22"/>
    </row>
    <row r="25" spans="1:24" ht="19.5" customHeight="1">
      <c r="B25" s="210"/>
      <c r="C25" s="24" t="s">
        <v>3175</v>
      </c>
      <c r="D25" s="27"/>
      <c r="E25" s="27"/>
      <c r="F25" s="27"/>
      <c r="G25" s="27"/>
      <c r="H25" s="27"/>
      <c r="I25" s="27"/>
      <c r="J25" s="27"/>
      <c r="K25" s="27"/>
      <c r="L25" s="27"/>
      <c r="M25" s="27"/>
    </row>
    <row r="26" spans="1:24" ht="19.5" customHeight="1" thickBot="1">
      <c r="B26" s="211"/>
      <c r="C26" s="25" t="s">
        <v>3176</v>
      </c>
      <c r="D26" s="28"/>
      <c r="E26" s="28"/>
      <c r="F26" s="28"/>
      <c r="G26" s="28"/>
      <c r="H26" s="28"/>
      <c r="I26" s="28"/>
      <c r="J26" s="28"/>
      <c r="K26" s="28"/>
      <c r="L26" s="28"/>
      <c r="M26" s="28"/>
    </row>
    <row r="27" spans="1:24" ht="35.25" customHeight="1" thickTop="1" thickBot="1">
      <c r="C27" s="200" t="s">
        <v>978</v>
      </c>
      <c r="D27" s="201"/>
      <c r="E27" s="201"/>
      <c r="F27" s="202"/>
      <c r="G27" s="200" t="s">
        <v>983</v>
      </c>
      <c r="H27" s="201"/>
      <c r="I27" s="201"/>
      <c r="J27" s="201"/>
      <c r="K27" s="203" t="s">
        <v>1933</v>
      </c>
      <c r="L27" s="204"/>
      <c r="M27" s="204"/>
      <c r="N27" s="204"/>
      <c r="O27" s="205"/>
    </row>
    <row r="28" spans="1:24" s="11" customFormat="1" ht="21" thickTop="1">
      <c r="A28" s="10"/>
      <c r="B28" s="10"/>
      <c r="C28" s="13" t="s">
        <v>984</v>
      </c>
      <c r="D28" s="13" t="s">
        <v>985</v>
      </c>
      <c r="E28" s="13" t="s">
        <v>986</v>
      </c>
      <c r="F28" s="13" t="s">
        <v>1001</v>
      </c>
      <c r="G28" s="16" t="s">
        <v>1003</v>
      </c>
      <c r="H28" s="14" t="s">
        <v>969</v>
      </c>
      <c r="I28" s="14" t="s">
        <v>3</v>
      </c>
      <c r="J28" s="15" t="s">
        <v>1009</v>
      </c>
      <c r="K28" s="26" t="s">
        <v>968</v>
      </c>
      <c r="L28" s="12" t="s">
        <v>966</v>
      </c>
      <c r="M28" s="12" t="s">
        <v>967</v>
      </c>
      <c r="N28" s="12" t="s">
        <v>979</v>
      </c>
      <c r="O28" s="12" t="s">
        <v>980</v>
      </c>
      <c r="X28" s="4"/>
    </row>
    <row r="29" spans="1:24" ht="17.25" customHeight="1">
      <c r="C29" s="2" t="s">
        <v>879</v>
      </c>
      <c r="D29" s="2" t="s">
        <v>1979</v>
      </c>
      <c r="E29" s="2" t="s">
        <v>958</v>
      </c>
      <c r="F29" s="12" t="s">
        <v>2214</v>
      </c>
      <c r="G29" t="s">
        <v>3281</v>
      </c>
      <c r="H29" s="2" t="s">
        <v>11</v>
      </c>
      <c r="I29" s="2" t="s">
        <v>14</v>
      </c>
      <c r="J29" s="12" t="s">
        <v>1925</v>
      </c>
      <c r="K29" s="12" t="s">
        <v>1926</v>
      </c>
      <c r="L29" s="12">
        <v>2</v>
      </c>
      <c r="M29" s="12">
        <v>4</v>
      </c>
      <c r="N29" s="12">
        <v>5</v>
      </c>
      <c r="O29" s="12">
        <v>9</v>
      </c>
      <c r="X29" s="11"/>
    </row>
    <row r="30" spans="1:24" ht="17.25" customHeight="1">
      <c r="C30" s="2" t="s">
        <v>50</v>
      </c>
      <c r="D30" s="2" t="s">
        <v>973</v>
      </c>
      <c r="E30" s="2" t="s">
        <v>50</v>
      </c>
      <c r="F30" s="12" t="s">
        <v>2016</v>
      </c>
      <c r="G30" t="s">
        <v>2611</v>
      </c>
      <c r="H30" s="2" t="s">
        <v>17</v>
      </c>
      <c r="I30" s="2" t="s">
        <v>981</v>
      </c>
      <c r="J30" s="12" t="s">
        <v>1923</v>
      </c>
      <c r="K30" s="12" t="s">
        <v>1924</v>
      </c>
      <c r="L30" s="12">
        <v>6</v>
      </c>
      <c r="M30" s="12">
        <v>12</v>
      </c>
      <c r="N30" s="12">
        <v>15</v>
      </c>
      <c r="O30" s="12">
        <v>19</v>
      </c>
    </row>
    <row r="31" spans="1:24" ht="17.25" customHeight="1">
      <c r="C31" s="2" t="s">
        <v>970</v>
      </c>
      <c r="D31" s="2" t="s">
        <v>2054</v>
      </c>
      <c r="E31" s="2" t="s">
        <v>2630</v>
      </c>
      <c r="F31" s="12" t="s">
        <v>306</v>
      </c>
      <c r="G31" t="s">
        <v>2029</v>
      </c>
      <c r="H31" s="2" t="s">
        <v>411</v>
      </c>
      <c r="I31" s="3" t="s">
        <v>12</v>
      </c>
      <c r="J31" s="12" t="s">
        <v>1931</v>
      </c>
      <c r="K31" s="12" t="s">
        <v>1930</v>
      </c>
      <c r="L31" s="12">
        <v>9</v>
      </c>
      <c r="M31" s="12">
        <v>19</v>
      </c>
      <c r="N31" s="12">
        <v>23</v>
      </c>
      <c r="O31" s="12">
        <v>28</v>
      </c>
    </row>
    <row r="32" spans="1:24" ht="17.25" customHeight="1">
      <c r="C32" s="2" t="s">
        <v>306</v>
      </c>
      <c r="D32" s="2" t="s">
        <v>239</v>
      </c>
      <c r="E32" s="2" t="s">
        <v>306</v>
      </c>
      <c r="F32" s="12" t="s">
        <v>2209</v>
      </c>
      <c r="G32" t="s">
        <v>75</v>
      </c>
      <c r="H32" s="2" t="s">
        <v>6</v>
      </c>
      <c r="I32" s="2" t="s">
        <v>696</v>
      </c>
      <c r="J32" s="12" t="s">
        <v>1919</v>
      </c>
      <c r="K32" s="12" t="s">
        <v>1929</v>
      </c>
      <c r="L32" s="12">
        <v>15</v>
      </c>
      <c r="M32" s="12">
        <v>19</v>
      </c>
      <c r="N32" s="12">
        <v>35</v>
      </c>
      <c r="O32" s="12">
        <v>60</v>
      </c>
    </row>
    <row r="33" spans="3:14" ht="17.25" customHeight="1">
      <c r="C33" s="2" t="s">
        <v>44</v>
      </c>
      <c r="D33" s="2" t="s">
        <v>2047</v>
      </c>
      <c r="E33" s="2" t="s">
        <v>399</v>
      </c>
      <c r="F33" s="12" t="s">
        <v>399</v>
      </c>
      <c r="G33" t="s">
        <v>1981</v>
      </c>
      <c r="H33" s="3" t="s">
        <v>296</v>
      </c>
      <c r="I33" s="2" t="s">
        <v>534</v>
      </c>
      <c r="J33" s="12" t="s">
        <v>1921</v>
      </c>
      <c r="K33" s="9"/>
      <c r="L33" s="4"/>
      <c r="M33" s="4"/>
      <c r="N33" s="4"/>
    </row>
    <row r="34" spans="3:14" ht="17.25" customHeight="1">
      <c r="C34" s="2" t="s">
        <v>399</v>
      </c>
      <c r="D34" s="2" t="s">
        <v>3951</v>
      </c>
      <c r="E34" s="2" t="s">
        <v>417</v>
      </c>
      <c r="F34" s="39" t="s">
        <v>948</v>
      </c>
      <c r="G34" t="s">
        <v>70</v>
      </c>
      <c r="H34" s="2" t="s">
        <v>318</v>
      </c>
      <c r="I34" s="2" t="s">
        <v>103</v>
      </c>
      <c r="J34" s="12" t="s">
        <v>1922</v>
      </c>
      <c r="K34" s="9"/>
      <c r="L34" s="4"/>
      <c r="M34" s="4"/>
      <c r="N34" s="4"/>
    </row>
    <row r="35" spans="3:14" ht="17.25" customHeight="1">
      <c r="C35" s="2" t="s">
        <v>417</v>
      </c>
      <c r="D35" s="2" t="s">
        <v>81</v>
      </c>
      <c r="E35" s="2" t="s">
        <v>2254</v>
      </c>
      <c r="F35" s="39" t="s">
        <v>102</v>
      </c>
      <c r="G35" t="s">
        <v>2215</v>
      </c>
      <c r="H35" s="2" t="s">
        <v>23</v>
      </c>
      <c r="I35" s="2" t="s">
        <v>7</v>
      </c>
      <c r="J35" s="12" t="s">
        <v>1928</v>
      </c>
      <c r="K35" s="9"/>
      <c r="L35" s="4"/>
      <c r="M35" s="4"/>
      <c r="N35" s="4"/>
    </row>
    <row r="36" spans="3:14" ht="17.25" customHeight="1">
      <c r="C36" s="2" t="s">
        <v>909</v>
      </c>
      <c r="D36" s="2" t="s">
        <v>50</v>
      </c>
      <c r="E36" s="2" t="s">
        <v>948</v>
      </c>
      <c r="F36" s="40" t="s">
        <v>2211</v>
      </c>
      <c r="G36" t="s">
        <v>51</v>
      </c>
      <c r="H36" s="2" t="s">
        <v>49</v>
      </c>
      <c r="I36" s="2" t="s">
        <v>29</v>
      </c>
      <c r="K36" s="9"/>
      <c r="L36" s="4"/>
      <c r="M36" s="4"/>
      <c r="N36" s="4"/>
    </row>
    <row r="37" spans="3:14" ht="17.25" customHeight="1">
      <c r="C37" s="2" t="s">
        <v>562</v>
      </c>
      <c r="D37" s="2" t="s">
        <v>747</v>
      </c>
      <c r="E37" s="2" t="s">
        <v>944</v>
      </c>
      <c r="F37" s="40" t="s">
        <v>924</v>
      </c>
      <c r="G37" t="s">
        <v>982</v>
      </c>
      <c r="K37" s="9"/>
      <c r="L37" s="4"/>
      <c r="M37" s="4"/>
      <c r="N37" s="4"/>
    </row>
    <row r="38" spans="3:14" ht="17.25" customHeight="1">
      <c r="C38" s="2" t="s">
        <v>102</v>
      </c>
      <c r="D38" s="2" t="s">
        <v>970</v>
      </c>
      <c r="E38" s="2" t="s">
        <v>102</v>
      </c>
      <c r="F38" s="40" t="s">
        <v>2017</v>
      </c>
      <c r="G38" t="s">
        <v>52</v>
      </c>
      <c r="H38" s="5"/>
      <c r="K38" s="9"/>
      <c r="L38" s="4"/>
      <c r="M38" s="4"/>
      <c r="N38" s="4"/>
    </row>
    <row r="39" spans="3:14" ht="17.25" customHeight="1">
      <c r="C39" s="2" t="s">
        <v>710</v>
      </c>
      <c r="D39" s="2" t="s">
        <v>885</v>
      </c>
      <c r="E39" s="2" t="s">
        <v>942</v>
      </c>
      <c r="F39" s="213" t="s">
        <v>2021</v>
      </c>
      <c r="G39" t="s">
        <v>21</v>
      </c>
      <c r="K39" s="9"/>
      <c r="L39" s="4"/>
      <c r="M39" s="4"/>
      <c r="N39" s="4"/>
    </row>
    <row r="40" spans="3:14" ht="17.25" customHeight="1">
      <c r="C40" s="2" t="s">
        <v>2211</v>
      </c>
      <c r="D40" s="2" t="s">
        <v>306</v>
      </c>
      <c r="E40" s="2" t="s">
        <v>2211</v>
      </c>
      <c r="F40" s="4"/>
      <c r="G40" t="s">
        <v>28</v>
      </c>
      <c r="K40" s="9"/>
      <c r="L40" s="4"/>
      <c r="M40" s="4"/>
      <c r="N40" s="4"/>
    </row>
    <row r="41" spans="3:14" ht="17.25" customHeight="1">
      <c r="C41" s="2" t="s">
        <v>891</v>
      </c>
      <c r="D41" s="2" t="s">
        <v>44</v>
      </c>
      <c r="E41" s="2" t="s">
        <v>891</v>
      </c>
      <c r="K41" s="9"/>
      <c r="L41" s="4"/>
      <c r="M41" s="4"/>
      <c r="N41" s="4"/>
    </row>
    <row r="42" spans="3:14" ht="17.25" customHeight="1">
      <c r="C42" s="2" t="s">
        <v>2055</v>
      </c>
      <c r="D42" s="2" t="s">
        <v>2028</v>
      </c>
      <c r="E42" s="2" t="s">
        <v>108</v>
      </c>
      <c r="K42" s="9"/>
      <c r="L42" s="4"/>
      <c r="M42" s="4"/>
      <c r="N42" s="4"/>
    </row>
    <row r="43" spans="3:14" ht="17.25" customHeight="1">
      <c r="C43" s="2" t="s">
        <v>126</v>
      </c>
      <c r="D43" s="2" t="s">
        <v>399</v>
      </c>
      <c r="E43" s="34" t="s">
        <v>977</v>
      </c>
      <c r="K43" s="9"/>
    </row>
    <row r="44" spans="3:14" ht="17.25" customHeight="1">
      <c r="C44" s="2" t="s">
        <v>129</v>
      </c>
      <c r="D44" s="2" t="s">
        <v>415</v>
      </c>
      <c r="E44" s="34" t="s">
        <v>943</v>
      </c>
      <c r="K44" s="9"/>
    </row>
    <row r="45" spans="3:14" ht="17.25" customHeight="1">
      <c r="C45" s="2" t="s">
        <v>924</v>
      </c>
      <c r="D45" s="2" t="s">
        <v>417</v>
      </c>
      <c r="E45" s="34" t="s">
        <v>2056</v>
      </c>
      <c r="J45" s="5"/>
      <c r="K45" s="9"/>
    </row>
    <row r="46" spans="3:14" ht="17.25" customHeight="1">
      <c r="C46" s="2" t="s">
        <v>896</v>
      </c>
      <c r="D46" s="2" t="s">
        <v>974</v>
      </c>
      <c r="E46" s="34" t="s">
        <v>971</v>
      </c>
      <c r="H46" s="1"/>
      <c r="I46" s="5"/>
      <c r="J46" s="5"/>
      <c r="K46" s="9"/>
    </row>
    <row r="47" spans="3:14" ht="17.25" customHeight="1">
      <c r="C47" s="2" t="s">
        <v>431</v>
      </c>
      <c r="D47" s="2" t="s">
        <v>163</v>
      </c>
      <c r="E47" s="4"/>
      <c r="H47" s="1"/>
    </row>
    <row r="48" spans="3:14" ht="17.25" customHeight="1">
      <c r="C48" s="2" t="s">
        <v>914</v>
      </c>
      <c r="D48" s="2" t="s">
        <v>130</v>
      </c>
      <c r="H48" s="1"/>
    </row>
    <row r="49" spans="3:25" ht="17.25" customHeight="1">
      <c r="C49" s="2" t="s">
        <v>2632</v>
      </c>
      <c r="D49" s="2" t="s">
        <v>102</v>
      </c>
      <c r="H49" s="1"/>
    </row>
    <row r="50" spans="3:25" ht="17.25" customHeight="1">
      <c r="C50" s="2" t="s">
        <v>939</v>
      </c>
      <c r="D50" s="2" t="s">
        <v>65</v>
      </c>
      <c r="H50" s="1"/>
    </row>
    <row r="51" spans="3:25" ht="17.25" customHeight="1">
      <c r="C51" s="2" t="s">
        <v>971</v>
      </c>
      <c r="D51" s="2" t="s">
        <v>2211</v>
      </c>
      <c r="G51" s="5"/>
      <c r="H51" s="1"/>
      <c r="N51" s="1"/>
      <c r="O51" s="1"/>
    </row>
    <row r="52" spans="3:25" ht="17.25" customHeight="1">
      <c r="C52" s="2" t="s">
        <v>888</v>
      </c>
      <c r="D52" s="2" t="s">
        <v>2055</v>
      </c>
      <c r="H52" s="1"/>
      <c r="L52" s="1"/>
      <c r="M52" s="1"/>
      <c r="N52" s="1"/>
      <c r="O52" s="1"/>
    </row>
    <row r="53" spans="3:25" ht="17.25" customHeight="1">
      <c r="C53" s="34" t="s">
        <v>972</v>
      </c>
      <c r="D53" s="2" t="s">
        <v>654</v>
      </c>
      <c r="H53" s="1"/>
      <c r="J53" s="1"/>
      <c r="L53" s="1"/>
      <c r="M53" s="1"/>
      <c r="N53" s="1"/>
      <c r="O53" s="1"/>
    </row>
    <row r="54" spans="3:25" ht="17.25" customHeight="1">
      <c r="C54" s="4"/>
      <c r="D54" s="2" t="s">
        <v>854</v>
      </c>
      <c r="H54" s="1"/>
      <c r="I54" s="1"/>
      <c r="J54" s="1"/>
      <c r="L54" s="1"/>
      <c r="M54" s="1"/>
      <c r="N54" s="1"/>
      <c r="O54" s="1"/>
      <c r="P54" s="1"/>
      <c r="Q54" s="1"/>
      <c r="R54" s="1"/>
      <c r="S54" s="1"/>
      <c r="T54" s="1"/>
      <c r="U54" s="1"/>
      <c r="V54" s="1"/>
      <c r="W54" s="1"/>
      <c r="X54" s="1"/>
      <c r="Y54" s="1"/>
    </row>
    <row r="55" spans="3:25" ht="17.25" customHeight="1">
      <c r="D55" s="2" t="s">
        <v>3553</v>
      </c>
      <c r="H55" s="1"/>
      <c r="I55" s="1"/>
      <c r="J55" s="1"/>
      <c r="K55" s="1"/>
      <c r="L55" s="1"/>
      <c r="M55" s="1"/>
      <c r="N55" s="1"/>
      <c r="O55" s="1"/>
      <c r="P55" s="1"/>
      <c r="Q55" s="1"/>
      <c r="R55" s="1"/>
      <c r="S55" s="1"/>
      <c r="T55" s="1"/>
      <c r="U55" s="1"/>
      <c r="V55" s="1"/>
      <c r="W55" s="1"/>
      <c r="X55" s="1"/>
      <c r="Y55" s="1"/>
    </row>
    <row r="56" spans="3:25" ht="17.25" customHeight="1">
      <c r="D56" s="2" t="s">
        <v>30</v>
      </c>
      <c r="H56" s="1"/>
      <c r="I56" s="1"/>
      <c r="J56" s="1"/>
      <c r="K56" s="1"/>
      <c r="L56" s="1"/>
      <c r="M56" s="1"/>
      <c r="N56" s="1"/>
      <c r="O56" s="1"/>
      <c r="P56" s="1"/>
      <c r="Q56" s="1"/>
      <c r="R56" s="1"/>
      <c r="S56" s="1"/>
      <c r="T56" s="1"/>
      <c r="U56" s="1"/>
      <c r="V56" s="1"/>
      <c r="W56" s="1"/>
      <c r="X56" s="1"/>
      <c r="Y56" s="1"/>
    </row>
    <row r="57" spans="3:25" ht="17.25" customHeight="1">
      <c r="D57" s="2" t="s">
        <v>896</v>
      </c>
      <c r="H57" s="1"/>
      <c r="I57" s="1"/>
      <c r="J57" s="1"/>
      <c r="K57" s="1"/>
      <c r="L57" s="1"/>
      <c r="M57" s="1"/>
      <c r="N57" s="1"/>
      <c r="O57" s="1"/>
      <c r="P57" s="1"/>
      <c r="Q57" s="1"/>
      <c r="R57" s="1"/>
      <c r="S57" s="1"/>
      <c r="T57" s="1"/>
      <c r="U57" s="1"/>
      <c r="V57" s="1"/>
      <c r="W57" s="1"/>
      <c r="X57" s="1"/>
      <c r="Y57" s="1"/>
    </row>
    <row r="58" spans="3:25" ht="17.25" customHeight="1">
      <c r="D58" s="2" t="s">
        <v>530</v>
      </c>
      <c r="H58" s="1"/>
      <c r="I58" s="1"/>
      <c r="J58" s="1"/>
      <c r="K58" s="1"/>
      <c r="L58" s="1"/>
      <c r="M58" s="1"/>
      <c r="N58" s="1"/>
      <c r="O58" s="1"/>
      <c r="P58" s="1"/>
      <c r="Q58" s="1"/>
      <c r="R58" s="1"/>
      <c r="S58" s="1"/>
      <c r="T58" s="1"/>
      <c r="U58" s="1"/>
      <c r="V58" s="1"/>
      <c r="W58" s="1"/>
      <c r="X58" s="1"/>
      <c r="Y58" s="1"/>
    </row>
    <row r="59" spans="3:25" ht="17.25" customHeight="1">
      <c r="D59" s="2" t="s">
        <v>431</v>
      </c>
      <c r="G59" s="1"/>
      <c r="H59" s="1"/>
      <c r="I59" s="1"/>
      <c r="J59" s="1"/>
      <c r="K59" s="1"/>
      <c r="L59" s="1"/>
      <c r="M59" s="1"/>
      <c r="N59" s="1"/>
      <c r="O59" s="1"/>
      <c r="P59" s="1"/>
      <c r="Q59" s="1"/>
      <c r="R59" s="1"/>
      <c r="S59" s="1"/>
      <c r="T59" s="1"/>
      <c r="U59" s="1"/>
      <c r="V59" s="1"/>
      <c r="W59" s="1"/>
      <c r="X59" s="1"/>
      <c r="Y59" s="1"/>
    </row>
    <row r="60" spans="3:25" ht="17.25" customHeight="1">
      <c r="D60" s="2" t="s">
        <v>74</v>
      </c>
      <c r="G60" s="1"/>
      <c r="H60" s="1"/>
      <c r="I60" s="1"/>
      <c r="J60" s="1"/>
      <c r="K60" s="1"/>
      <c r="L60" s="1"/>
      <c r="M60" s="1"/>
      <c r="N60" s="1"/>
      <c r="O60" s="1"/>
      <c r="P60" s="1"/>
      <c r="Q60" s="1"/>
      <c r="R60" s="1"/>
      <c r="S60" s="1"/>
      <c r="T60" s="1"/>
      <c r="U60" s="1"/>
      <c r="V60" s="1"/>
      <c r="W60" s="1"/>
      <c r="X60" s="1"/>
      <c r="Y60" s="1"/>
    </row>
    <row r="61" spans="3:25" ht="17.25" customHeight="1">
      <c r="D61" s="2" t="s">
        <v>900</v>
      </c>
      <c r="G61" s="1"/>
      <c r="H61" s="1"/>
      <c r="I61" s="1"/>
      <c r="J61" s="1"/>
      <c r="K61" s="1"/>
      <c r="L61" s="1"/>
      <c r="M61" s="1"/>
      <c r="N61" s="1"/>
      <c r="O61" s="1"/>
      <c r="P61" s="1"/>
      <c r="Q61" s="1"/>
      <c r="R61" s="1"/>
      <c r="S61" s="1"/>
      <c r="T61" s="1"/>
      <c r="U61" s="1"/>
      <c r="V61" s="1"/>
      <c r="W61" s="1"/>
      <c r="X61" s="1"/>
      <c r="Y61" s="1"/>
    </row>
    <row r="62" spans="3:25" ht="17.25" customHeight="1">
      <c r="D62" s="2" t="s">
        <v>2046</v>
      </c>
      <c r="G62" s="1"/>
      <c r="H62" s="1"/>
      <c r="I62" s="1"/>
      <c r="J62" s="1"/>
      <c r="K62" s="1"/>
      <c r="L62" s="1"/>
      <c r="M62" s="1"/>
      <c r="N62" s="1"/>
      <c r="O62" s="1"/>
      <c r="P62" s="1"/>
      <c r="Q62" s="1"/>
      <c r="R62" s="1"/>
      <c r="S62" s="1"/>
      <c r="T62" s="1"/>
      <c r="U62" s="1"/>
      <c r="V62" s="1"/>
      <c r="W62" s="1"/>
      <c r="X62" s="1"/>
      <c r="Y62" s="1"/>
    </row>
    <row r="63" spans="3:25" ht="17.25" customHeight="1">
      <c r="D63" s="2" t="s">
        <v>272</v>
      </c>
      <c r="G63" s="1"/>
      <c r="H63" s="1"/>
      <c r="I63" s="1"/>
      <c r="J63" s="1"/>
      <c r="K63" s="1"/>
      <c r="L63" s="1"/>
      <c r="M63" s="1"/>
      <c r="N63" s="1"/>
      <c r="O63" s="1"/>
      <c r="P63" s="1"/>
      <c r="Q63" s="1"/>
      <c r="R63" s="1"/>
      <c r="S63" s="1"/>
      <c r="T63" s="1"/>
      <c r="U63" s="1"/>
      <c r="V63" s="1"/>
      <c r="W63" s="1"/>
      <c r="X63" s="1"/>
      <c r="Y63" s="1"/>
    </row>
    <row r="64" spans="3:25" ht="17.25" customHeight="1">
      <c r="D64" s="2" t="s">
        <v>975</v>
      </c>
      <c r="F64" s="1"/>
      <c r="G64" s="1"/>
      <c r="H64" s="1"/>
      <c r="I64" s="1"/>
      <c r="J64" s="1"/>
      <c r="K64" s="1"/>
      <c r="L64" s="1"/>
      <c r="M64" s="1"/>
      <c r="N64" s="1"/>
      <c r="O64" s="1"/>
      <c r="P64" s="1"/>
      <c r="Q64" s="1"/>
      <c r="R64" s="1"/>
      <c r="S64" s="1"/>
      <c r="T64" s="1"/>
      <c r="U64" s="1"/>
      <c r="V64" s="1"/>
      <c r="W64" s="1"/>
      <c r="X64" s="1"/>
      <c r="Y64" s="1"/>
    </row>
    <row r="65" spans="4:25" ht="17.25" customHeight="1">
      <c r="D65" s="2" t="s">
        <v>554</v>
      </c>
      <c r="F65" s="1"/>
      <c r="G65" s="1"/>
      <c r="H65" s="1"/>
      <c r="I65" s="1"/>
      <c r="J65" s="1"/>
      <c r="K65" s="1"/>
      <c r="L65" s="1"/>
      <c r="M65" s="1"/>
      <c r="N65" s="1"/>
      <c r="O65" s="1"/>
      <c r="P65" s="1"/>
      <c r="Q65" s="1"/>
      <c r="R65" s="1"/>
      <c r="S65" s="1"/>
      <c r="T65" s="1"/>
      <c r="U65" s="1"/>
      <c r="V65" s="1"/>
      <c r="W65" s="1"/>
      <c r="X65" s="1"/>
      <c r="Y65" s="1"/>
    </row>
    <row r="66" spans="4:25" ht="17.25" customHeight="1">
      <c r="D66" s="34" t="s">
        <v>489</v>
      </c>
      <c r="F66" s="1"/>
      <c r="G66" s="1"/>
      <c r="H66" s="1"/>
      <c r="I66" s="1"/>
      <c r="J66" s="1"/>
      <c r="K66" s="1"/>
      <c r="L66" s="1"/>
      <c r="M66" s="1"/>
      <c r="N66" s="1"/>
      <c r="O66" s="1"/>
      <c r="P66" s="1"/>
      <c r="Q66" s="1"/>
      <c r="R66" s="1"/>
      <c r="S66" s="1"/>
      <c r="T66" s="1"/>
      <c r="U66" s="1"/>
      <c r="V66" s="1"/>
      <c r="W66" s="1"/>
      <c r="X66" s="1"/>
      <c r="Y66" s="1"/>
    </row>
    <row r="67" spans="4:25" ht="17.25" customHeight="1">
      <c r="D67" s="34" t="s">
        <v>767</v>
      </c>
      <c r="F67" s="1"/>
      <c r="G67" s="1"/>
      <c r="H67" s="1"/>
      <c r="I67" s="1"/>
      <c r="J67" s="1"/>
      <c r="K67" s="1"/>
      <c r="L67" s="1"/>
      <c r="M67" s="1"/>
      <c r="N67" s="1"/>
      <c r="O67" s="1"/>
      <c r="P67" s="1"/>
      <c r="Q67" s="1"/>
      <c r="R67" s="1"/>
      <c r="S67" s="1"/>
      <c r="T67" s="1"/>
      <c r="U67" s="1"/>
      <c r="V67" s="1"/>
      <c r="W67" s="1"/>
      <c r="X67" s="1"/>
      <c r="Y67" s="1"/>
    </row>
    <row r="68" spans="4:25" ht="17.25" customHeight="1">
      <c r="D68" s="34" t="s">
        <v>429</v>
      </c>
      <c r="F68" s="1"/>
      <c r="G68" s="1"/>
      <c r="H68" s="1"/>
      <c r="I68" s="1"/>
      <c r="J68" s="1"/>
      <c r="K68" s="1"/>
      <c r="L68" s="1"/>
      <c r="M68" s="1"/>
      <c r="N68" s="1"/>
      <c r="O68" s="1"/>
      <c r="P68" s="1"/>
      <c r="Q68" s="1"/>
      <c r="R68" s="1"/>
      <c r="S68" s="1"/>
      <c r="T68" s="1"/>
      <c r="U68" s="1"/>
      <c r="V68" s="1"/>
      <c r="W68" s="1"/>
      <c r="X68" s="1"/>
      <c r="Y68" s="1"/>
    </row>
    <row r="69" spans="4:25" ht="17.25" customHeight="1">
      <c r="D69" s="34" t="s">
        <v>976</v>
      </c>
      <c r="F69" s="1"/>
      <c r="G69" s="1"/>
      <c r="H69" s="1"/>
      <c r="I69" s="1"/>
      <c r="J69" s="1"/>
      <c r="K69" s="1"/>
      <c r="L69" s="1"/>
      <c r="M69" s="1"/>
      <c r="N69" s="1"/>
      <c r="O69" s="1"/>
      <c r="P69" s="1"/>
      <c r="Q69" s="1"/>
      <c r="R69" s="1"/>
      <c r="S69" s="1"/>
      <c r="T69" s="1"/>
      <c r="U69" s="1"/>
      <c r="V69" s="1"/>
      <c r="W69" s="1"/>
      <c r="X69" s="1"/>
      <c r="Y69" s="1"/>
    </row>
    <row r="70" spans="4:25" ht="17.25" customHeight="1">
      <c r="D70" s="34" t="s">
        <v>69</v>
      </c>
      <c r="F70" s="1"/>
      <c r="G70" s="1"/>
      <c r="H70" s="1"/>
      <c r="I70" s="1"/>
      <c r="J70" s="1"/>
      <c r="K70" s="1"/>
      <c r="L70" s="1"/>
      <c r="M70" s="1"/>
      <c r="N70" s="1"/>
      <c r="O70" s="1"/>
      <c r="P70" s="1"/>
      <c r="Q70" s="1"/>
      <c r="R70" s="1"/>
      <c r="S70" s="1"/>
      <c r="T70" s="1"/>
      <c r="U70" s="1"/>
      <c r="V70" s="1"/>
      <c r="W70" s="1"/>
      <c r="X70" s="1"/>
      <c r="Y70" s="1"/>
    </row>
    <row r="71" spans="4:25" ht="17.25" customHeight="1">
      <c r="D71" s="34" t="s">
        <v>972</v>
      </c>
      <c r="F71" s="1"/>
      <c r="G71" s="1"/>
      <c r="H71" s="1"/>
      <c r="I71" s="1"/>
      <c r="J71" s="1"/>
      <c r="K71" s="1"/>
      <c r="L71" s="1"/>
      <c r="M71" s="1"/>
      <c r="N71" s="1"/>
      <c r="O71" s="1"/>
      <c r="P71" s="1"/>
      <c r="Q71" s="1"/>
      <c r="R71" s="1"/>
      <c r="S71" s="1"/>
      <c r="T71" s="1"/>
      <c r="U71" s="1"/>
      <c r="V71" s="1"/>
      <c r="W71" s="1"/>
      <c r="X71" s="1"/>
      <c r="Y71" s="1"/>
    </row>
    <row r="72" spans="4:25" ht="17.25" customHeight="1">
      <c r="D72" s="34" t="s">
        <v>370</v>
      </c>
      <c r="F72" s="1"/>
      <c r="G72" s="1"/>
      <c r="H72" s="1"/>
      <c r="I72" s="1"/>
      <c r="J72" s="1"/>
      <c r="K72" s="1"/>
      <c r="L72" s="1"/>
      <c r="M72" s="1"/>
      <c r="N72" s="1"/>
      <c r="O72" s="1"/>
      <c r="P72" s="1"/>
      <c r="Q72" s="1"/>
      <c r="R72" s="1"/>
      <c r="S72" s="1"/>
      <c r="T72" s="1"/>
      <c r="U72" s="1"/>
      <c r="V72" s="1"/>
      <c r="W72" s="1"/>
      <c r="X72" s="1"/>
      <c r="Y72" s="1"/>
    </row>
    <row r="73" spans="4:25" ht="17.25" customHeight="1">
      <c r="D73" s="34" t="s">
        <v>171</v>
      </c>
      <c r="F73" s="1"/>
      <c r="G73" s="1"/>
      <c r="H73" s="1"/>
      <c r="I73" s="1"/>
      <c r="J73" s="1"/>
      <c r="K73" s="1"/>
      <c r="L73" s="1"/>
      <c r="M73" s="1"/>
      <c r="N73" s="1"/>
      <c r="O73" s="1"/>
      <c r="P73" s="1"/>
      <c r="Q73" s="1"/>
      <c r="R73" s="1"/>
      <c r="S73" s="1"/>
      <c r="T73" s="1"/>
      <c r="U73" s="1"/>
      <c r="V73" s="1"/>
      <c r="W73" s="1"/>
      <c r="X73" s="1"/>
      <c r="Y73" s="1"/>
    </row>
    <row r="74" spans="4:25" ht="17.25" customHeight="1">
      <c r="D74" s="4"/>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row r="93" spans="6:25" ht="17.25" customHeight="1">
      <c r="F93" s="1"/>
    </row>
  </sheetData>
  <dataConsolidate/>
  <mergeCells count="24">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 ref="Q2:R2"/>
    <mergeCell ref="Q3:R7"/>
    <mergeCell ref="Q10:R10"/>
    <mergeCell ref="Q12:R12"/>
    <mergeCell ref="Q13:R13"/>
    <mergeCell ref="Q11:R11"/>
    <mergeCell ref="Q8:R8"/>
    <mergeCell ref="Q9:R9"/>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969</v>
      </c>
      <c r="B1" s="36" t="s">
        <v>1943</v>
      </c>
      <c r="C1" s="36" t="s">
        <v>0</v>
      </c>
      <c r="D1" s="36" t="s">
        <v>2</v>
      </c>
      <c r="E1" s="36" t="s">
        <v>1944</v>
      </c>
      <c r="F1" s="36" t="s">
        <v>1916</v>
      </c>
      <c r="G1" s="36" t="s">
        <v>1945</v>
      </c>
      <c r="H1" s="37" t="s">
        <v>1946</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pageSetup paperSize="3"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workbookViewId="0"/>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969</v>
      </c>
      <c r="B1" s="36" t="s">
        <v>1943</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dataConsolidate/>
  <pageMargins left="0.7" right="0.7" top="0.75" bottom="0.75" header="0.3" footer="0.3"/>
  <pageSetup paperSize="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sqref="A1:E1"/>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8.25" customHeight="1">
      <c r="A1" s="212" t="s">
        <v>3589</v>
      </c>
      <c r="B1" s="212"/>
      <c r="C1" s="212"/>
      <c r="D1" s="212"/>
      <c r="E1" s="212"/>
      <c r="F1" s="41"/>
    </row>
    <row r="2" spans="1:8" ht="33.75" customHeight="1">
      <c r="A2" s="34" t="s">
        <v>1972</v>
      </c>
      <c r="B2" s="34" t="s">
        <v>965</v>
      </c>
      <c r="C2" s="34" t="s">
        <v>1004</v>
      </c>
      <c r="D2" s="34" t="s">
        <v>0</v>
      </c>
      <c r="E2" s="34" t="s">
        <v>1973</v>
      </c>
      <c r="F2" s="34" t="s">
        <v>1916</v>
      </c>
      <c r="G2" s="34" t="s">
        <v>1971</v>
      </c>
      <c r="H2" s="34" t="s">
        <v>1974</v>
      </c>
    </row>
    <row r="3" spans="1:8" ht="15.95" customHeight="1">
      <c r="A3" s="43"/>
      <c r="B3" s="43"/>
      <c r="C3" s="43"/>
      <c r="D3" s="62"/>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42</vt:i4>
      </vt:variant>
    </vt:vector>
  </HeadingPairs>
  <TitlesOfParts>
    <vt:vector size="48" baseType="lpstr">
      <vt:lpstr>Intro Checker</vt:lpstr>
      <vt:lpstr>RTA Manager</vt:lpstr>
      <vt:lpstr>Settings</vt:lpstr>
      <vt:lpstr>RTAimport</vt:lpstr>
      <vt:lpstr>PriorityLoad</vt:lpstr>
      <vt:lpstr>Report</vt:lpstr>
      <vt:lpstr>aisHide</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reportHide</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2012-02-13T16:13:25Z</cp:lastPrinted>
  <dcterms:created xsi:type="dcterms:W3CDTF">2011-06-24T10:58:18Z</dcterms:created>
  <dcterms:modified xsi:type="dcterms:W3CDTF">2012-02-29T04:37:37Z</dcterms:modified>
</cp:coreProperties>
</file>